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urvey-Raw" sheetId="2" r:id="rId5"/>
    <sheet state="visible" name="Survey-Process-1" sheetId="3" r:id="rId6"/>
    <sheet state="visible" name="Survey-Process-2" sheetId="4" r:id="rId7"/>
    <sheet state="visible" name="Survey-Process-3" sheetId="5" r:id="rId8"/>
    <sheet state="visible" name="Survey-Process-4" sheetId="6" r:id="rId9"/>
    <sheet state="visible" name="Survey-Transform-1" sheetId="7" r:id="rId10"/>
    <sheet state="visible" name="Survey-Transform-2" sheetId="8" r:id="rId11"/>
    <sheet state="visible" name="Survey-Transform-3" sheetId="9" r:id="rId12"/>
    <sheet state="visible" name="Survey-Transform-4" sheetId="10" r:id="rId13"/>
    <sheet state="visible" name="Survey-Transform-5" sheetId="11" r:id="rId14"/>
    <sheet state="visible" name="Survey-Transform-Final" sheetId="12" r:id="rId15"/>
    <sheet state="visible" name="Background-Raw" sheetId="13" r:id="rId16"/>
    <sheet state="visible" name="Background-Cleaned-1" sheetId="14" r:id="rId17"/>
    <sheet state="visible" name="Background-Cleaned-2" sheetId="15" r:id="rId18"/>
    <sheet state="visible" name="Background-Cleaned-3" sheetId="16" r:id="rId19"/>
    <sheet state="visible" name="Background-Cleaned-4" sheetId="17" r:id="rId20"/>
    <sheet state="visible" name="Background-Cleaned-5" sheetId="18" r:id="rId21"/>
    <sheet state="visible" name="Background-Cleaned-6" sheetId="19" r:id="rId22"/>
    <sheet state="visible" name="Background-Cleaned-Final" sheetId="20" r:id="rId23"/>
    <sheet state="visible" name="Dictionary" sheetId="21" r:id="rId24"/>
  </sheets>
  <definedNames/>
  <calcPr/>
</workbook>
</file>

<file path=xl/sharedStrings.xml><?xml version="1.0" encoding="utf-8"?>
<sst xmlns="http://schemas.openxmlformats.org/spreadsheetml/2006/main" count="34053" uniqueCount="961">
  <si>
    <t>Removed/Added</t>
  </si>
  <si>
    <t>Retained</t>
  </si>
  <si>
    <t>Sheet</t>
  </si>
  <si>
    <t>Action</t>
  </si>
  <si>
    <t>Number of Rows</t>
  </si>
  <si>
    <t xml:space="preserve">Number of Columns </t>
  </si>
  <si>
    <t>Survey-Raw</t>
  </si>
  <si>
    <t>N/A</t>
  </si>
  <si>
    <t>Survey-Process-1</t>
  </si>
  <si>
    <t>Removed Duplicate Headers</t>
  </si>
  <si>
    <t>Survey-Process-2</t>
  </si>
  <si>
    <t>Removed Empty Columns</t>
  </si>
  <si>
    <t>Survey-Process-3</t>
  </si>
  <si>
    <t>Removed P1 rows (3 rows) due to incomplete data.</t>
  </si>
  <si>
    <t>Survey-Process-4</t>
  </si>
  <si>
    <t>Removed columns which are of no use or are redundant information. This includes the meta data related to the survey response inclulding (Start date, End date, Latitude, Longitude, Status, IP Address, and similar)</t>
  </si>
  <si>
    <t>Survey-Cleaned-1</t>
  </si>
  <si>
    <t>Replaced the information labels with the values for the scales (1-7) with the following mapping (1: Strongly Disagree-&gt; 7: Strongly Agree) for all variables</t>
  </si>
  <si>
    <t>Survey-Cleaned-2</t>
  </si>
  <si>
    <t>Reversed the scoring  for the reversed variables</t>
  </si>
  <si>
    <t>Survey-Transform-3</t>
  </si>
  <si>
    <t>Created a dummy variable to create the pariticipant number (Numerical value of the participant ID)</t>
  </si>
  <si>
    <t>Survey-Transform-4</t>
  </si>
  <si>
    <t>Reorderd on the basis of the Participant ID (Sorted on the basis of record time within a participant) to add the session number</t>
  </si>
  <si>
    <t>Survey-Transform-5</t>
  </si>
  <si>
    <t>Creating a realism and mode of operation variables</t>
  </si>
  <si>
    <t>Survey-Cleaned-Final</t>
  </si>
  <si>
    <t>Revised the names of the variables as per the explanation</t>
  </si>
  <si>
    <t>Background-Raw</t>
  </si>
  <si>
    <t>Background-Cleaned-1</t>
  </si>
  <si>
    <t>Background-Cleaned-2</t>
  </si>
  <si>
    <t>Background-Cleaned-3</t>
  </si>
  <si>
    <t>Removed P1 rows (1 row) due to incomplete data.</t>
  </si>
  <si>
    <t>Background-Cleaned-4</t>
  </si>
  <si>
    <t>Background-Cleaned-5</t>
  </si>
  <si>
    <t>Standardized the Nationality</t>
  </si>
  <si>
    <t>Background-Cleaned-6</t>
  </si>
  <si>
    <t>Added the categorization for majors and job_title</t>
  </si>
  <si>
    <t>Background-Cleaned-Final</t>
  </si>
  <si>
    <t>Revised the names of the variables as per explanation</t>
  </si>
  <si>
    <t>combined_long_final</t>
  </si>
  <si>
    <t>Combined the survey and background to formulate a single sheet in long format</t>
  </si>
  <si>
    <t>combined_wide_final</t>
  </si>
  <si>
    <t>Combined the survey and the background to formulate a single sheet in short format</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</si>
  <si>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</si>
  <si>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</si>
  <si>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</si>
  <si>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</si>
  <si>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</si>
  <si>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</si>
  <si>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</si>
  <si>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</si>
  <si>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</si>
  <si>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</si>
  <si>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</si>
  <si>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</si>
  <si>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</si>
  <si>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</si>
  <si>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</si>
  <si>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</si>
  <si>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</si>
  <si>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ParticipantID</t>
  </si>
  <si>
    <t>Condition</t>
  </si>
  <si>
    <t>manipulation check_1</t>
  </si>
  <si>
    <t>manipulation check_2</t>
  </si>
  <si>
    <t>understandingPersona</t>
  </si>
  <si>
    <t>PPS_1</t>
  </si>
  <si>
    <t>PPS_2</t>
  </si>
  <si>
    <t>PPS_3</t>
  </si>
  <si>
    <t>PPS_4</t>
  </si>
  <si>
    <t>PPS_5</t>
  </si>
  <si>
    <t>PPS_6</t>
  </si>
  <si>
    <t>PPS_7</t>
  </si>
  <si>
    <t>PPS_8</t>
  </si>
  <si>
    <t>PPS_9</t>
  </si>
  <si>
    <t>PPS_10</t>
  </si>
  <si>
    <t>PPS_11</t>
  </si>
  <si>
    <t>PPS_12</t>
  </si>
  <si>
    <t>open-ended_Persona</t>
  </si>
  <si>
    <t>understandingTask</t>
  </si>
  <si>
    <t>TaskExperience_1</t>
  </si>
  <si>
    <t>TaskExperience_2</t>
  </si>
  <si>
    <t>TaskExperience_3</t>
  </si>
  <si>
    <t>FSS_1</t>
  </si>
  <si>
    <t>FSS_2</t>
  </si>
  <si>
    <t>FSS_3</t>
  </si>
  <si>
    <t>open-ended_Task</t>
  </si>
  <si>
    <t>understandingSystem</t>
  </si>
  <si>
    <t>TAM_1</t>
  </si>
  <si>
    <t>TAM_2</t>
  </si>
  <si>
    <t>TAM_3</t>
  </si>
  <si>
    <t>PhysicalDiscomfort_1</t>
  </si>
  <si>
    <t>PhysicalDiscomfort_2</t>
  </si>
  <si>
    <t>PhysicalDiscomfort_3</t>
  </si>
  <si>
    <t>PhysicalDiscomfort_4</t>
  </si>
  <si>
    <t>open-ended_System</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</si>
  <si>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</si>
  <si>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</si>
  <si>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</si>
  <si>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</si>
  <si>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</si>
  <si>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</si>
  <si>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</si>
  <si>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</si>
  <si>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</si>
  <si>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</si>
  <si>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</si>
  <si>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</si>
  <si>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</si>
  <si>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</si>
  <si>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Participant ID (logged by moderator)</t>
  </si>
  <si>
    <t>Condition (logged by moderator)</t>
  </si>
  <si>
    <t>Please indicate how much you agree or disagree with the following statements about your experience in this condition. - The experience felt like I was actually in the lab environment.</t>
  </si>
  <si>
    <t>Please indicate how much you agree or disagree with the following statements about your experience in this condition. - The persona appeared like a real human.</t>
  </si>
  <si>
    <t>Please indicate how much you agree or disagree with the following statements based on your recent interaction with the persona. - I felt like I understood this persona.</t>
  </si>
  <si>
    <t>Please indicate how much you agree or disagree with the following statements based on your recent interaction with the persona. - I would interact with this type of a persona in the future to learn about different things.</t>
  </si>
  <si>
    <t>Please indicate how much you agree or disagree with the following statements based on your recent interaction with the persona. - The persona felt present in the same space as me.</t>
  </si>
  <si>
    <t>Please indicate how much you agree or disagree with the following statements based on your recent interaction with the persona. - The persona looked like a real human.</t>
  </si>
  <si>
    <t>Please indicate how much you agree or disagree with the following statements based on your recent interaction with the persona. - The persona sounded like a real human.</t>
  </si>
  <si>
    <t>Please indicate how much you agree or disagree with the following statements based on your recent interaction with the persona. - The persona seemed credible and believable.</t>
  </si>
  <si>
    <t>Please indicate how much you agree or disagree with the following statements based on your recent interaction with the persona. - I trusted what the persona said to me.</t>
  </si>
  <si>
    <t>Please indicate how much you agree or disagree with the following statements based on your recent interaction with the persona. - The persona communicated clearly.</t>
  </si>
  <si>
    <t>Please indicate how much you agree or disagree with the following statements based on your recent interaction with the persona. - The personaâ€™s mannerisms and behaviors seemed natural.</t>
  </si>
  <si>
    <t>Please indicate how much you agree or disagree with the following statements based on your recent interaction with the persona. - The persona seemed to have its own thoughts and intentions.</t>
  </si>
  <si>
    <t>Please indicate how much you agree or disagree with the following statements based on your recent interaction with the persona. - I found the persona convincing in its role.</t>
  </si>
  <si>
    <t>Please indicate how much you agree or disagree with the following statements based on your recent interaction with the persona. - Something about the persona felt off or unnatural.</t>
  </si>
  <si>
    <t>Please elaborate on your answers, especially those that you had a strong opinion about.</t>
  </si>
  <si>
    <t>Please indicate how much you agree or disagree with the following statements about your experience performing the lab exploration task. - I feel confident in my learning about this lab.</t>
  </si>
  <si>
    <t>Please indicate how much you agree or disagree with the following statements about your experience performing the lab exploration task. - I was motivated to learn about the lab.</t>
  </si>
  <si>
    <t>Please indicate how much you agree or disagree with the following statements about your experience performing the lab exploration task. - I enjoyed learning about the lab.</t>
  </si>
  <si>
    <t>Please indicate how much you agree or disagree with the following statements about your sense of flow during the interaction. - I was completely focused on the interaction.</t>
  </si>
  <si>
    <t>Please indicate how much you agree or disagree with the following statements about your sense of flow during the interaction. - I felt totally absorbed in what I was doing.</t>
  </si>
  <si>
    <t>Please indicate how much you agree or disagree with the following statements about your sense of flow during the interaction. - Time seemed to pass quickly during the interaction.</t>
  </si>
  <si>
    <t>Please indicate how much you agree or disagree with the following statements about the system you used to interact with the persona. - Using the system helped me learn about the lab.</t>
  </si>
  <si>
    <t>Please indicate how much you agree or disagree with the following statements about the system you used to interact with the persona. - It was easy to interact with the system.</t>
  </si>
  <si>
    <t>Please indicate how much you agree or disagree with the following statements about the system you used to interact with the persona. - I would like to use this type of system in future learning or training experiences.</t>
  </si>
  <si>
    <t>Please indicate how much you agree or disagree with the following statements about your physical comfort during the interaction. - I experienced physical discomfort during the interaction with the system.</t>
  </si>
  <si>
    <t>Please indicate how much you agree or disagree with the following statements about your physical comfort during the interaction. - The interaction with the system caused noticeable strain on my body.</t>
  </si>
  <si>
    <t>Please indicate how much you agree or disagree with the following statements about your physical comfort during the interaction. - My eyes felt tired or strained during or after using the system.</t>
  </si>
  <si>
    <t>Please indicate how much you agree or disagree with the following statements about your physical comfort during the interaction. - Carrying out the task using this system required a lot of physical effort.</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</si>
  <si>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</si>
  <si>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</si>
  <si>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</si>
  <si>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</si>
  <si>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</si>
  <si>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</si>
  <si>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</si>
  <si>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</si>
  <si>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</si>
  <si>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</si>
  <si>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</si>
  <si>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</si>
  <si>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</si>
  <si>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</si>
  <si>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</si>
  <si>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</si>
  <si>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</si>
  <si>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{"ImportId":"QID10_TEXT"}</t>
  </si>
  <si>
    <t>{"ImportId":"QID26"}</t>
  </si>
  <si>
    <t>{"ImportId":"QID21_1"}</t>
  </si>
  <si>
    <t>{"ImportId":"QID21_2"}</t>
  </si>
  <si>
    <t>{"ImportId":"QID36"}</t>
  </si>
  <si>
    <t>{"ImportId":"QID14_1"}</t>
  </si>
  <si>
    <t>{"ImportId":"QID14_2"}</t>
  </si>
  <si>
    <t>{"ImportId":"QID14_3"}</t>
  </si>
  <si>
    <t>{"ImportId":"QID14_4"}</t>
  </si>
  <si>
    <t>{"ImportId":"QID14_5"}</t>
  </si>
  <si>
    <t>{"ImportId":"QID14_6"}</t>
  </si>
  <si>
    <t>{"ImportId":"QID14_7"}</t>
  </si>
  <si>
    <t>{"ImportId":"QID14_8"}</t>
  </si>
  <si>
    <t>{"ImportId":"QID14_9"}</t>
  </si>
  <si>
    <t>{"ImportId":"QID14_10"}</t>
  </si>
  <si>
    <t>{"ImportId":"QID14_11"}</t>
  </si>
  <si>
    <t>{"ImportId":"QID14_12"}</t>
  </si>
  <si>
    <t>{"ImportId":"QID29_TEXT"}</t>
  </si>
  <si>
    <t>{"ImportId":"QID38"}</t>
  </si>
  <si>
    <t>{"ImportId":"QID16_1"}</t>
  </si>
  <si>
    <t>{"ImportId":"QID16_2"}</t>
  </si>
  <si>
    <t>{"ImportId":"QID16_3"}</t>
  </si>
  <si>
    <t>{"ImportId":"QID18_1"}</t>
  </si>
  <si>
    <t>{"ImportId":"QID18_2"}</t>
  </si>
  <si>
    <t>{"ImportId":"QID18_3"}</t>
  </si>
  <si>
    <t>{"ImportId":"QID30_TEXT"}</t>
  </si>
  <si>
    <t>{"ImportId":"QID40"}</t>
  </si>
  <si>
    <t>{"ImportId":"QID17_1"}</t>
  </si>
  <si>
    <t>{"ImportId":"QID17_2"}</t>
  </si>
  <si>
    <t>{"ImportId":"QID17_3"}</t>
  </si>
  <si>
    <t>{"ImportId":"QID20_1"}</t>
  </si>
  <si>
    <t>{"ImportId":"QID20_2"}</t>
  </si>
  <si>
    <t>{"ImportId":"QID20_3"}</t>
  </si>
  <si>
    <t>{"ImportId":"QID20_4"}</t>
  </si>
  <si>
    <t>{"ImportId":"QID31_TEXT"}</t>
  </si>
  <si>
    <t>193.167.1.171</t>
  </si>
  <si>
    <t>R_8yNblYtyofXhso9</t>
  </si>
  <si>
    <t>anonymous</t>
  </si>
  <si>
    <t>EN</t>
  </si>
  <si>
    <t>P1</t>
  </si>
  <si>
    <t>HR-VR</t>
  </si>
  <si>
    <t>Somewhat disagree</t>
  </si>
  <si>
    <t>Okay, I understand</t>
  </si>
  <si>
    <t>Somewhat agree</t>
  </si>
  <si>
    <t>Strongly agree</t>
  </si>
  <si>
    <t>Agree</t>
  </si>
  <si>
    <t>Neither agree nor disagree</t>
  </si>
  <si>
    <t>Strongly disagree</t>
  </si>
  <si>
    <t>during the first part, the persona did not have any facial expression or mouth movement even though the audio was running, however, it worked during the later part of the experience. The audio was unusually fast in compare with normal human behavior, which lead of my strong disagree with the mannerisms and natural behavior above.</t>
  </si>
  <si>
    <t>Okay, I understand.</t>
  </si>
  <si>
    <t>The task was quite unclear, however, as the persona was talking quite fast, I was forced to focus totally on the content of the interaction. Time did pass pretty quickly and it seems quite interesting to learn from the content provided by the persona.</t>
  </si>
  <si>
    <t>Disagree</t>
  </si>
  <si>
    <t>The idea was interesting, however, the persona was constantly on the move which made my eyes experienced some discomforts and the audio was surprisingly fast.</t>
  </si>
  <si>
    <t>R_2eeQeVWrwsVRLUF</t>
  </si>
  <si>
    <t>HR-Web</t>
  </si>
  <si>
    <t>The persona was quite slow to response and it could not listen to many parts my questions, sometimes words were missing and the sound was pretty fast while the content was surprisingly long which made it difficult for me to catch up.</t>
  </si>
  <si>
    <t>It was difficult to get the idea of what I should do in this specific task. Learning about the lab but I dont know what question should I ask. I would prefer to get some introductions about the lab then I can choose to learn more about the lab in whichever function I prefer. In this case, I dont have any knowledge about the lab and even the industry that the lab was working on so making a proper question was quite difficult.</t>
  </si>
  <si>
    <t>This system was easy to use but the mic did not catch lots of my question which made the response quite slow or irrelevant. In addition, there were sometimes that the audio did not response at all which made it difficult to continue the experience.</t>
  </si>
  <si>
    <t>R_2oGQuyaHO1t9dwR</t>
  </si>
  <si>
    <t>LR-Web</t>
  </si>
  <si>
    <t>The persona was clear and even though the audio was still fast, it was easy to follow. The body movement was not so distracted, but again I was mainly focus on the text reading and audio listening than focusing on the persona.</t>
  </si>
  <si>
    <t>It was pretty informative and easy to understand. The task was again quite generic like the rest of the experience, however, it was easier to learn with this method.</t>
  </si>
  <si>
    <t>Even though the system crashed at the beginning, after the reset, it worked pretty well, fast and clear. The responses were on point for short and simple questions, but not very good with long and complex questions.</t>
  </si>
  <si>
    <t>R_2mml0rJkwMc1NW9</t>
  </si>
  <si>
    <t>P2</t>
  </si>
  <si>
    <t>I did not feel that persona is real. The sound and speech sounded really robotic to me. After these questions, i started to feel maybe I overrelied on the persona and what he said to me.</t>
  </si>
  <si>
    <t>If i did not have IT background, probably, I would not understand what this lab is about.</t>
  </si>
  <si>
    <t>I could replace the system with a simple chatbot with audio support</t>
  </si>
  <si>
    <t>R_8CiYyZY4dWdi3K5</t>
  </si>
  <si>
    <t>I trusted this persona more than to the previous one. Maybe because i was more familiar with the lab itself. Maybe because I was in the same environment with this persona.</t>
  </si>
  <si>
    <t>It was interesting</t>
  </si>
  <si>
    <t>I had kind of migraine in the end of the wearing VR googles because my character went through equipment</t>
  </si>
  <si>
    <t>R_8nqGS0k6RbPIcnv</t>
  </si>
  <si>
    <t>There are glithes and bugs that made me feel that the whole experience is not real. Also, after interacting with the same pesona the second time, I think, that i started to change my mind about some things. Also, after answering the same kind of questions, i start to reflect more.
 I do NOT think that VR version of this persona change my attitude to this persona or how i perceived this persona.</t>
  </si>
  <si>
    <t>Actually, in Scene 3 I started to look in windows and check outdoor scene.</t>
  </si>
  <si>
    <t>No easy because of bugs.</t>
  </si>
  <si>
    <t>R_2uR7k3Xah7yBtcs</t>
  </si>
  <si>
    <t>the persona seemed very unnatural to me</t>
  </si>
  <si>
    <t>the system has too many bugs to enjoy it. the persona did not answer my questions..</t>
  </si>
  <si>
    <t>too many bugs and technical issues that made my intercation with a persona too difficult</t>
  </si>
  <si>
    <t>85.76.112.49</t>
  </si>
  <si>
    <t>R_2dKxaNnTZJX5iGn</t>
  </si>
  <si>
    <t>P4</t>
  </si>
  <si>
    <t>I feel that the persona is still animated in his response to me due to lack of spontaneity, but he is trustworthy and I feel confident to ask him questions.</t>
  </si>
  <si>
    <t>The persona answer my questions in very concise manner, when I ask him to convert his response in laymans terms, he did convert his language very fast and the conversation went really well. I think this persona can interact not just with people who are aware of how the usual lab works but even to common people</t>
  </si>
  <si>
    <t>I believe the system works well after the reset, I really dont have much anything to say about the system because I think it worked in the end and the persona was responsive</t>
  </si>
  <si>
    <t>R_8AjXgE5q0vXh9K1</t>
  </si>
  <si>
    <t>P3</t>
  </si>
  <si>
    <t>The persona's body language and speaking style were both robotic and lacked human nuances. The interactions fell flat and it felt a bit awkward that it was trying to mimic a real human with the limitations (body langauge, emotional cues etc.)</t>
  </si>
  <si>
    <t>The interactions with the persona were one-sided and it did not ask any questions from me, which made the conversations feel superficial and flat at times.</t>
  </si>
  <si>
    <t>The interaction with the system caused noticeable strain on my body: the system was quite comfortable to use and did not cause any strain on my body</t>
  </si>
  <si>
    <t>R_2BybqcRtst39rGN</t>
  </si>
  <si>
    <t>The interactions with the personas were very one sided, and it gave very long monologues that were tiring to follow at times. With the dense infomration provided in each response, I would have preferred to just read the responses instead of listening them first and then reading it.</t>
  </si>
  <si>
    <t>I was curious to learn more about the lab, but the interaction felt quite boring and flat. The monologues were quite numbing at times and I wanted to skip them.</t>
  </si>
  <si>
    <t>The system was comfortable to use but lacked immersive touch. However, the environment, namely the lab provided helpful context for the new information which helped information digestion.</t>
  </si>
  <si>
    <t>R_82rxSrI0i53kaw5</t>
  </si>
  <si>
    <t>I enjoyed this persona than the Web one, I feel he is real but his mannerism is not, it is still animated at some point but the environment is entertaining which makes me enjoy the conversation with this persona</t>
  </si>
  <si>
    <t>Being in the VR makes difference because I feel like talking to a real person being in front of me. I feel relaxed, the persona was able to respond well to my answer but he's response is so long which is not normal to people</t>
  </si>
  <si>
    <t>The system for works fine but it can't cater perfectly to someone with eye problems so I need to balance my self a bit in order for me use the system.</t>
  </si>
  <si>
    <t>86.50.140.162</t>
  </si>
  <si>
    <t>R_8XwWrFg3YczGJwZ</t>
  </si>
  <si>
    <t>P6</t>
  </si>
  <si>
    <t>The information and the contents that was provided by this persona was interesting and on point. Ã¬ believed the knowledge that was shared by the persona. Ã¬ think if this kind of systems are developed for the educational purposes, they can help a lot to grasp difficult concepts.</t>
  </si>
  <si>
    <t>Mostly the information that was provided was relevant and interesting as well. The information was quite interesting and technical at the same time and persona provided the information in a holistic way so it made the information interesting and worth the attention.</t>
  </si>
  <si>
    <t>sytem was easy to use. persona information was on point. `the only thing that was off about the system was the robotic voice if the voice is more human maybe the system becomes more interesting however the use of this system did not have any significant strain on body or mind.</t>
  </si>
  <si>
    <t>R_2ONrDm9LN7Jee4T</t>
  </si>
  <si>
    <t>LR-VR</t>
  </si>
  <si>
    <t>The persona really knows about what the lab is about, it also gives useful information for someone who is new to the lab. Though pretty animated, the persona also shy away giving exact figures when I asked about the number of researcher in the laboratory indicating that it limits the information it can share (particularly for the things it don't know) which is similar to human.</t>
  </si>
  <si>
    <t>My interaction with persona is pretty straightforward. It feels as if I am in the lab, and the persona responded faster in my questions to him. I was not fully able to explore the entire lab, but the conversation with persona makes me feel as if I have explored the laboratory</t>
  </si>
  <si>
    <t>I think the system worked well, the only concern is more of the weight of the VR and the strain in my eyes is not because of the system its more of my eye problems</t>
  </si>
  <si>
    <t>R_23DeM7sd8YbcwXO</t>
  </si>
  <si>
    <t>The persona really knows about what he is saying and the information it gave me is trustworthy, I think it is just so happen that it responds differently form what I initially ask. For instance, I asked him to tell me interesting place in the lab, the text that reflects in the screen is that "I am interested"without reflecting all other things that I said, so it responds a bit different.</t>
  </si>
  <si>
    <t>It responds differently so, it decreases the excitement I felt in interacting with him. Furthermore, I think the persona is knowledgeable about the lab but the experience makes it less enjoyable.</t>
  </si>
  <si>
    <t>I didn't experience any physical discomfort with the system rather difficulty in interacting with it because it responds quite different from what I asked him.</t>
  </si>
  <si>
    <t>R_8KyhPlI1313c4aq</t>
  </si>
  <si>
    <t>The information that persona provided was correct and trustworthy. The knowledge was on point but persona felt not natural and not like a human. It only felt like some AI.</t>
  </si>
  <si>
    <t>The interaction with the persona was kind of capturing and new. It gave motivation to learn more about the lab.</t>
  </si>
  <si>
    <t>The interaction with the persona was easy no specific physical discomfort was experienced- It only had some strain on my eyes. Mostly it was easy to handle.</t>
  </si>
  <si>
    <t>R_27OrLGZVW79TrUT</t>
  </si>
  <si>
    <t>The information that persona provided was real and I trusted the persona however the interaction was completely robotic and unnatural.</t>
  </si>
  <si>
    <t>The task was easy and interesting to perform and it helped me to learn about the lab which i enjoyed and felt motivated to learn about.</t>
  </si>
  <si>
    <t>The interaction did not put me any significant physical or mental effort rather it was easy to connect and u se the system and retrieve the information.</t>
  </si>
  <si>
    <t>R_8D1QXrJRWLv4g5w</t>
  </si>
  <si>
    <t>`the persona felt unnatural and did not have its own thinking or intentions, it only relfected what was based on facts and figures. However i understood the information very clearly.</t>
  </si>
  <si>
    <t>The interaction was interesting and the task was not boring rather i felt the task was rightly designed according to the system requirement.</t>
  </si>
  <si>
    <t>The system was easy to use. There was nothing complicated about the system. It was easy to use and operate.</t>
  </si>
  <si>
    <t>R_2qERjMeDe7rwWhj</t>
  </si>
  <si>
    <t>P7</t>
  </si>
  <si>
    <t>the persona provided a great technical information on the ICE lab but the interaction felt a bit unreal because of poor non verbal communication skills. The voice also seemed machine generated and not so real.- If the persona has more context of the questions being asked and has better non-verbal communication skills, it would feel more real.</t>
  </si>
  <si>
    <t>I think time seemed to pass the same way it does in real environments at least to me because of the conversation speed.</t>
  </si>
  <si>
    <t>The eyes feel a bit tired after using VR and there is also concern about eyesight for me at least. The weight of the VR and the temperature also gets a bit hot and makes you sweat.</t>
  </si>
  <si>
    <t>R_2KMXUBCmsat3GuX</t>
  </si>
  <si>
    <t>P8</t>
  </si>
  <si>
    <t>The persona was convincing and human-like, but its movement wasnt as natural as I expected.</t>
  </si>
  <si>
    <t>I think the interaction was very interactive, but the persona was not interactive with me but instead focused specific things preprogrammed in. The lab environment was very realistic looking and I wanted to explore further and walk around.</t>
  </si>
  <si>
    <t>I do think that learning about different topics and subjects through an interactive simulation will make it more efficient and easily rememberable. It was not at all discomforting or straining on my body.</t>
  </si>
  <si>
    <t>R_8qyIMLXIK8w6in1</t>
  </si>
  <si>
    <t>The persona didnt know about the surroundings outside theb lab. It didnt know where I was too. It seemed to be only interested when I am agreeing. DOesnt respond very well when I am not interested in the lab.</t>
  </si>
  <si>
    <t>The speed of walking is faster making time seem faster. No head rotation also adds to the feeling of time moving faster when I\m moving.</t>
  </si>
  <si>
    <t>Pretty used to using PCs makes this seem no hassle.</t>
  </si>
  <si>
    <t>R_8FlcwGbQyaGkQ6d</t>
  </si>
  <si>
    <t>The persona didn't seem too natural due to the random sentence endings and the lack of mouth movement when speaking. The output from the persona did feel credible though and easy to understand.</t>
  </si>
  <si>
    <t>I wanted to explore more and interact with the objects, I did notice that you can click the objects and get more information from them. But when I tried to ask for more information about the "KUKA" robot, it didn't recognize the word and instead thought I was talking about a cooker robot.</t>
  </si>
  <si>
    <t>The VR headset does cause a bit of discomfort on the eyes and head, but it was very easy to use the system and understand how intuitively works.</t>
  </si>
  <si>
    <t>R_23WX5llcF9MiPPP</t>
  </si>
  <si>
    <t>The face seems like two different people stitched together and the response is a bit unnatural when asked about spatial awareness.</t>
  </si>
  <si>
    <t>The only allowed motion is walking and thats faster than normal. The charatcter. also talks fast and gives long responses which seem very hard to follow all the way. It should talk slower and break the sentences down.</t>
  </si>
  <si>
    <t>The task seems like an everyday computer interaction.</t>
  </si>
  <si>
    <t>R_83tbYkE3UfpqPmh</t>
  </si>
  <si>
    <t>The persona did behave naturally and was easy to interact with, despite a small bug when talking to it. It's voice sounds natural and easily understandable. Also the information that it talked about sounded credible.</t>
  </si>
  <si>
    <t>It was enjoyable to talk to the low poly version of the persona, as it's mouth movement and behavior was realistic and it lined up with the speaking.</t>
  </si>
  <si>
    <t>It was easy to interact with low poly VR version of the app, the movement does get stuck when looking at the machines but it was easy to figure out how to move and turn. It didn't cause any discomfort.</t>
  </si>
  <si>
    <t>R_2wdI1yGU3d1NKQX</t>
  </si>
  <si>
    <t>The persona is believable and credible in what it says.</t>
  </si>
  <si>
    <t>Time did go quickly and I was interested in exploring the lab further on my own just walking around.</t>
  </si>
  <si>
    <t>It was not tiresome to use the system and it was easy to use the system.</t>
  </si>
  <si>
    <t>R_89NUPQezTewLgpX</t>
  </si>
  <si>
    <t>The persona responds like a character of an NPC given a script which makes it feel unnatural.</t>
  </si>
  <si>
    <t>Walking and talking are faster than normal</t>
  </si>
  <si>
    <t>The eyes start to hurt in VR after some time</t>
  </si>
  <si>
    <t>R_2phHJe8oaz6KnsF</t>
  </si>
  <si>
    <t>P9</t>
  </si>
  <si>
    <t>The persona was talking in a monotone way and a bit too fast and in a technical manner to understand. It didn't sound as though a real person was having a conversation with me at all. However, I do think the persona was not lying or hallucinating, as the information seemed very specific and credible.</t>
  </si>
  <si>
    <t>I didn't feel like I learned as much as I should have due to the way the persona was explaining things and possibly my own shortcomings when it comes to focusing and absorbing information.</t>
  </si>
  <si>
    <t>I felt as though the language the persona was using was sometimes too technical and they ere speaking too fast and in a monotone voice to grasp what they were saying properly. Other than that, I think it is a good teaching environment.</t>
  </si>
  <si>
    <t>R_8xJmqdV4s0MhBLz</t>
  </si>
  <si>
    <t>This time the persona was easier to understand, maybe due to the kinds of questions. The audio was cutting off so that took me out of the experience and made the persona less believable.</t>
  </si>
  <si>
    <t>This time I felt as though I was able to understand more.</t>
  </si>
  <si>
    <t>This was an easy and familiar way to interact with the system.</t>
  </si>
  <si>
    <t>R_8TFsaXHF8gBKCb5</t>
  </si>
  <si>
    <t>This persona didn\t feel any less realistic despite the lower visual quality, in fact, it felt as though it had more personality than the other one.</t>
  </si>
  <si>
    <t>I felt like I learned a lot and I enjoyed this task.</t>
  </si>
  <si>
    <t>I feel like this could be a great educational took with some refinement and future work on it.</t>
  </si>
  <si>
    <t>R_8snPrhosRIp8PRL</t>
  </si>
  <si>
    <t>P10</t>
  </si>
  <si>
    <t>The persona had good answers, their voice was clear, their cadence was natural. The persona seemed to know a lot about the lab they were in, there wasnt much latency or lag.</t>
  </si>
  <si>
    <t>The environment was very immersive, the layout of the lab felt quite realistic. The area of research is not so well known so this made it even more interesting. The characters seems to know a lot about the environment and were able to give detailed answers with good follow up questions to the user.</t>
  </si>
  <si>
    <t>Having this immersive visual and audible system to learn about an environment makes the process very easy and straightforward. I can see myself using this in the future to learn more about the subject matter and the lab layout.</t>
  </si>
  <si>
    <t>R_2dBw7Sq9wlSUWeK</t>
  </si>
  <si>
    <t>The persona was easy to interact, it felt like there arent wrong questions and i felt i could ask anything and it would attempt to answer. Some of the answers did feel a little convoluted and not stated as simply as they could have been.</t>
  </si>
  <si>
    <t>I was quite focused on the interaction, trying to keep track of what he says and ask good follow-up questions.</t>
  </si>
  <si>
    <t>Using this system is very simple and straightforward, besides sitting, nothing else was being done physically. Most of the effort is mental.</t>
  </si>
  <si>
    <t>R_8dRs66s3hd4mY7Y</t>
  </si>
  <si>
    <t>Despite being low poly, this persona didn't seem any less realistic than the high poly version. If anything, it was the other way around. Maybe due to the way my brain was trying to process the persona's visual image. This persona seems to be slightly more friendly or isn't as monotonous as the other one.</t>
  </si>
  <si>
    <t>I felt as though the task was easy to perform and I learned something new despite the fact this area is completely new to me.</t>
  </si>
  <si>
    <t>Due to the position of the camera I had to stand during this interacting, and the VR headset was not attached as securely to my head as before, leading to having to look up to avoid blurry vision, which also caused me some slight physical discomfort. However, it was still immersive, and with the right setup, VR could be a great system to learn more.</t>
  </si>
  <si>
    <t>R_8o5aOphAUHXOSgL</t>
  </si>
  <si>
    <t>The persona sounded clear and understandable. There was nothing out of the ordinary about him except his floating legs.</t>
  </si>
  <si>
    <t>I was asking the persona more theoretical questions and trying to get precise answer and this seemed more interesting than learning about the actual hardware.</t>
  </si>
  <si>
    <t>I was just sitting on a chair, very little effort, it was very easy.</t>
  </si>
  <si>
    <t>130.233.70.28</t>
  </si>
  <si>
    <t>R_2HBLtgtmv70nsH0</t>
  </si>
  <si>
    <t>The persona had a clear communication style, good body language. However, its explanations were general and felt imprecise.</t>
  </si>
  <si>
    <t>This time i was less focused on the interaction and was instead looking more at the environment and trying to learn more about the layout. Otherwise the task was simple.</t>
  </si>
  <si>
    <t>Using the vr system is very simple, not much physical effort is needed beyond strain from too much use.</t>
  </si>
  <si>
    <t>R_2QYmLIttUt1cC5P</t>
  </si>
  <si>
    <t>P12</t>
  </si>
  <si>
    <t>persona could have use more body language and non scripted answer.</t>
  </si>
  <si>
    <t>i was terrified of the tour person, I would have enjoyed a robotic companion rather that a human being .</t>
  </si>
  <si>
    <t>I think more shaders could have been used to create more realistic environment. knowing that the system runs on rtx 5090</t>
  </si>
  <si>
    <t>R_2C9GBEurNm81XBT</t>
  </si>
  <si>
    <t>I think the test set up can improve human to "human" interaction</t>
  </si>
  <si>
    <t>in general a good work</t>
  </si>
  <si>
    <t>pretty straightforward interaction</t>
  </si>
  <si>
    <t>R_27Et3Sar5JslrZD</t>
  </si>
  <si>
    <t>P11</t>
  </si>
  <si>
    <t>Overall, I felt that the objective of this persona was successfully completed. Since the conversation was mostly about getting to know more the lab, there is essentially nothing to complain about in that aspect. The information was conveyed clearly and constructively by the persona.
 As for the mannerisms and behaviours, this could potentially be improved a bit more so that, minimally, he moves the mouth/lips when he speaks as opposed to having the same body language throughout</t>
  </si>
  <si>
    <t>I was focused on the interaction throughout the experience as there were no other distractions or activity going on within the lab environment. One aspect to consider would maybe to move to specific locations when talking about the equipment. For example, when the persona explains about the conveyor system, it would be ideal if he can go near the system and then start the explanation. That would allow the user to simultaneously see the system while the persona talks about it (currently it is required to stay directly in front of the persona during the interaction in his fixed position within the lab)</t>
  </si>
  <si>
    <t>The system was quite straightforward and easy to use. My voice commands were received correctly for the most part, but even on a couple of occasions when the exact words weren't clear, the persona was still able to ask me again to clarify the question. 
 One immediate part of the interaction that I would recommend upgrading would be to include the ability to turn as opposed to just linear motion so that the lab can be better explored</t>
  </si>
  <si>
    <t>R_8OOsBI6VXH9sVV2</t>
  </si>
  <si>
    <t>need to minimize the body language and having a mouth animation while speaking can really sell the concept.</t>
  </si>
  <si>
    <t>I liked the web version more, not only its more accessable but also shows a clear image of the environment.</t>
  </si>
  <si>
    <t>Web was superior that vr sometimes the best solutions are the simplest ones</t>
  </si>
  <si>
    <t>R_2ETuQvdsfcYS6tz</t>
  </si>
  <si>
    <t>body language was the best but the mouth can use some improvement.</t>
  </si>
  <si>
    <t>I think just having an AI assistant would do the job !</t>
  </si>
  <si>
    <t>web better than VR</t>
  </si>
  <si>
    <t>R_8FwUIkCr7b2SHy4</t>
  </si>
  <si>
    <t>The environment itself was quite good. It was nice to have the ability to turn (the computer UI did not have this). My strongest points to address would be: 1) Making the movements a lot slower (both turning and linear motion) because fast movements felt quite disorienting and that hinders the long time usage of such systems, 2) Enable some type of eye tracking so that the persona actually looks at you during the conversation (this aspect was more noticeable with the VR compared to the screen UI)</t>
  </si>
  <si>
    <t>It was a little bit difficult to stay in the environment for too long (could be a personal thing) as it was a tad bit uncomfortable and disorienting. The web application was comparatively a lot less "stressful" and I was in no hurry to complete the task.</t>
  </si>
  <si>
    <t>Since the interactions were simple (linear motion, rotation, and chat button), and I was not in the environment for too long, there wasn't too much strain. However, it was difficult to move too much as the movements were a bit too fast. For more success in future developments, I feel that the user experience should be improved a bit more especially if the environment involves more interactive actions (e.g. pick and placing objects)</t>
  </si>
  <si>
    <t>R_2fpKrWQ3PRiDqzZ</t>
  </si>
  <si>
    <t>P13</t>
  </si>
  <si>
    <t>Very good development but need to few improvements</t>
  </si>
  <si>
    <t>Encourage to focus</t>
  </si>
  <si>
    <t>very few things to improve such as weight, holdings</t>
  </si>
  <si>
    <t>86.50.140.47</t>
  </si>
  <si>
    <t>R_2lDjZeuoHaQcBq4</t>
  </si>
  <si>
    <t>P14</t>
  </si>
  <si>
    <t>I liked the voice tone, it was clear and seemed more natural.</t>
  </si>
  <si>
    <t>I enjoyed the experience it felt like I was acquiring information directly from the lab expert.</t>
  </si>
  <si>
    <t>The virtual replica of ICE Lab seemed realistic and I could get tailored information through interaction with the lab instructor avatar. Although it seemed there was not live data for e.g room temperature, in the future I would like to be using such environment for training.</t>
  </si>
  <si>
    <t>86.50.140.213</t>
  </si>
  <si>
    <t>R_8BkrLLLE5jPkekL</t>
  </si>
  <si>
    <t>Flow and speed controlling need such as poses</t>
  </si>
  <si>
    <t>Taking to the detail image is needed</t>
  </si>
  <si>
    <t>Easy to use without effort</t>
  </si>
  <si>
    <t>R_8rYRgM52tHvEpRf</t>
  </si>
  <si>
    <t>Good development and need to be improve</t>
  </si>
  <si>
    <t>great work</t>
  </si>
  <si>
    <t>Need some improvement</t>
  </si>
  <si>
    <t>R_2gN10w7rdVJWWgm</t>
  </si>
  <si>
    <t>The persona sounded like a real human. It felt like I am in the same space. It could have been more interactive by showing the components or lab areas he was talking about.</t>
  </si>
  <si>
    <t>I enjoyed learning about the lab through a VR experience, I was absorbed in what I was doing.</t>
  </si>
  <si>
    <t>I felt like I was actually sitting in the lab. The interaction was seamless, it was accurately capturing my questions. It was easy to make the interaction through the VR, I didn't experience any strain.</t>
  </si>
  <si>
    <t>R_8PehJjrBs8xe5m9</t>
  </si>
  <si>
    <t>This persona was more specialised in the CNC machine therefore he was tailoring his answers according to that. The persona sounded like a real human and I felt like in the same space, he correctly addressed my inquiries, and responded that he had no information.</t>
  </si>
  <si>
    <t>The interaction was more immersive and gave me the freedom to explore that lab while I could still hear the instructor</t>
  </si>
  <si>
    <t>My eyes felt overs stimulated initially. Navigation with joysticks was a bit off. on the other hand I could navigate the lab while the instructor was explaining the CNC machine specs.</t>
  </si>
  <si>
    <t>R_2ErQ0JKwIzIDLl8</t>
  </si>
  <si>
    <t>People believe instructors teachers from the culture and tradition, so persona's should provide accurate information.</t>
  </si>
  <si>
    <t>Good approach to learning</t>
  </si>
  <si>
    <t>Conferable to learn</t>
  </si>
  <si>
    <t>R_28BQGWnqtGnQyvn</t>
  </si>
  <si>
    <t>P15</t>
  </si>
  <si>
    <t>Keep shaking and mouth dont moving
 Maybe also because we were a little bit on different levels, it seemed that there was not presence.
 Quite a lot of information. it is natural when you present technical stuff</t>
  </si>
  <si>
    <t>.</t>
  </si>
  <si>
    <t>It was easy to interact, the speech recognition was generally good, but it didn't recognize my AGV</t>
  </si>
  <si>
    <t>R_8oBZCHiZw0J7Gjb</t>
  </si>
  <si>
    <t>I would not interact with an avatar to acquire information only. However it there are further benefits of it like more hands on experimentation that I can learn from the avatar. Now that I have experienced the VR environment the web experience felt less immersive.</t>
  </si>
  <si>
    <t>The lab exploration task felt more immersive than reading about it since I could get machine specific information. it was fun because I could also ask the instructors to explain from a different perspective for e.g I asked him to explain the systems as if I am an art student.</t>
  </si>
  <si>
    <t>The voice communication seemed to be interruptive sometime, I am not sure if it was the communications or that I was navigating the lab. Using the web version seems effortless since I am using a voice command to ask question.</t>
  </si>
  <si>
    <t>R_2lVh3wCNnyFsGC5</t>
  </si>
  <si>
    <t>there is no response in the last minute. text and voice didn't come together sometimes.</t>
  </si>
  <si>
    <t>it takes longer time to get response from the guide. many times there is no voice and only text in the chat. no response in the last minute.</t>
  </si>
  <si>
    <t>the test is easy and no physical tired.</t>
  </si>
  <si>
    <t>R_2iyf8eypGJf9kWJ</t>
  </si>
  <si>
    <t>More natural than the previous
 Dont react to my movement</t>
  </si>
  <si>
    <t>went quite fast. More time would be needed
 Like I already, in VR, I get easily distracted beceause I want to try what is possible in the world and kind of play</t>
  </si>
  <si>
    <t>Felt comfortable, atleast such a short time</t>
  </si>
  <si>
    <t>R_8DVgpqb4MdbCFsh</t>
  </si>
  <si>
    <t>P16</t>
  </si>
  <si>
    <t>the persona's legs seems floating. the sound feels natural.</t>
  </si>
  <si>
    <t>it is a better experience than the last one.</t>
  </si>
  <si>
    <t>no physical effort required</t>
  </si>
  <si>
    <t>R_2F9C4pTZ6kVmjuH</t>
  </si>
  <si>
    <t>P17</t>
  </si>
  <si>
    <t>The person looks more robotic than human, having repeated hand gestures, no eye movement, straight face all the time during conversations.</t>
  </si>
  <si>
    <t>1. The responses are lengthy, even though it was good on certain aspects, I didn't expect lengthy answers for every questions.</t>
  </si>
  <si>
    <t>1. Voice to text is not reflecting what I said.
 2. The responses are not human-like.</t>
  </si>
  <si>
    <t>R_2hbebEEhuuPxZmw</t>
  </si>
  <si>
    <t>1. The persona has good knowledge of the information, the responses are somewhat at the right level, can be more direct and sharp.
 2. The conversation was interuppted few times with unintended breaks.</t>
  </si>
  <si>
    <t>1. The conversations are followed up, the answers are well-connected.
 2. The persona knows good amount of information and details about the lab.</t>
  </si>
  <si>
    <t>The commands are very easy to followup and collect information.</t>
  </si>
  <si>
    <t>R_8n86Kn01U8mhSej</t>
  </si>
  <si>
    <t>P18</t>
  </si>
  <si>
    <t>It would be better if he uses simpler words, shorter sentences, and a bit more interactions.</t>
  </si>
  <si>
    <t>I felt a little bit lost of what my task is here, is it about experiencing VR, should I try to make conversations or what should I do there.</t>
  </si>
  <si>
    <t>It felt like reading information in the end. The system is easy and intuitive to use.</t>
  </si>
  <si>
    <t>R_2PcauYbDwIws7ew</t>
  </si>
  <si>
    <t>He looks knowledgeable. I trust him. But he still feels like a robot to me.</t>
  </si>
  <si>
    <t>I feel I need to choose certain topics to talk with him. Otherwise I am afraid he might no understand it.</t>
  </si>
  <si>
    <t>The system is easy to use.</t>
  </si>
  <si>
    <t>R_24fwJsrTejmD1MB</t>
  </si>
  <si>
    <t>1. The persona knows good amount of information and very convincing. 
 2. It has good hand gestures and facial movements, expect during lengthy answers, his mouth stopped moving after certain point.</t>
  </si>
  <si>
    <t>1. The lab environment looks real and convincing, and that made me look the different objects present in the lab, other than looking at the persona.</t>
  </si>
  <si>
    <t>1. Controlling the character is slightly harder, since the joystick movements are not reflecting the way I expected. Also I can only rotate on the left side only.
 2. The conversation felt like happening in the real environment.
 3. The movement of the character felt fast and abrupt, causing slight inconvenience.</t>
  </si>
  <si>
    <t>R_8ipU6CS9guXT1jX</t>
  </si>
  <si>
    <t>At least for me, it felt easier to talk to a digital guide than a professor.</t>
  </si>
  <si>
    <t>The system becomes easier to use after more trails.</t>
  </si>
  <si>
    <t>I feel I could understand him more with more visual assistance like image presentations.</t>
  </si>
  <si>
    <t>R_2373qU1qwTxzLuI</t>
  </si>
  <si>
    <t>He is not good with small talks.</t>
  </si>
  <si>
    <t>I want to look around in the lab not totally focusing with the conversation. Because he doesn't react to my distractions and continues with his talk, so I felt free to play with the system.</t>
  </si>
  <si>
    <t>It can be a little dizzy for me with VR.</t>
  </si>
  <si>
    <t>R_2Yhxrguj2qCMyHd</t>
  </si>
  <si>
    <t>1. The persona looks real however it was floating in the beginning, and no facial movements and his lips are not moving during the conversation.
 2. The persona knows information about the lab however the responses felt scripted and not human/like.</t>
  </si>
  <si>
    <t>1. The persona is knowledgable and has good amount of information about the lab.</t>
  </si>
  <si>
    <t>1. The navigation of the character is a bit hard and not reflecting the joystick commands.
 2. During the movements, the surround moved fast and it felt a bit uneasy.</t>
  </si>
  <si>
    <t>R_8IEm0spYtIxjJ3q</t>
  </si>
  <si>
    <t>Mouth seemed strange</t>
  </si>
  <si>
    <t>R_22iIdXmZfcGBDrP</t>
  </si>
  <si>
    <t>R_2Dqvy2GpAoJeiqt</t>
  </si>
  <si>
    <t>P19</t>
  </si>
  <si>
    <t>The persons is clear on its role and present in precise and academic languages,but sounds very machine alike and does not feel very real in the sense that it lacks some human touch</t>
  </si>
  <si>
    <t>the task itself is not very relavant to my own knowledge background and therefore &lt;i find it a bit difficult to really understand all the concept and also not really self-motivated to learn and explore</t>
  </si>
  <si>
    <t>This is good setting and i see the potential of using this system in training such as security and privacy, onboarding a to new job tasks, however personally due to my eye condition, it causes some stress to my eye and feel a bit pÃ¥hysically uncomfortable if i need to use this for long</t>
  </si>
  <si>
    <t>R_2qO6RHuvM7uoS4n</t>
  </si>
  <si>
    <t>The persona explians in clear and precise tone, I trust what they say for general knowledge</t>
  </si>
  <si>
    <t>overall feels natural and real, especially with the body movement and hand gesture , but some small details give away the machine side that is the close mouth while talking. also the information is too much and overloaded it is impossible to follow just by listening and it takes cognitive load to process information while also paying attention to the persona behaviour like gestures</t>
  </si>
  <si>
    <t>This feels more real in the lab environment and still a bit physical discomfor due to eye condition</t>
  </si>
  <si>
    <t>R_8LhfIdGiAD1CU4p</t>
  </si>
  <si>
    <t>some response are slow. the persona's attention doesnot follow me movements.</t>
  </si>
  <si>
    <t>the text box moved around during the interaction which is not comfortable. the movement is too fast with control. the response is a bit slow during conversion.</t>
  </si>
  <si>
    <t>the movement is too fast for my eyes and caused uncomfortable.</t>
  </si>
  <si>
    <t>R_2n3ICvTcSxmt4eh</t>
  </si>
  <si>
    <t>due to a technical tehre was a female voice for the first round of the interaction, it was funny to spot but also breaks the flow, and in comparison to the VR setting, this feels more like reading the script from a NPC</t>
  </si>
  <si>
    <t>due to some technical interruption, i was a bit distracted from the tasks,</t>
  </si>
  <si>
    <t>easy to interact, not sure about real life usage, maybe would be faster for me to just check text documentation and ask ai bots with text input</t>
  </si>
  <si>
    <t>R_2PCecvXJoYmCPRv</t>
  </si>
  <si>
    <t>With the body movement and hand gestures this persona feels more engaging</t>
  </si>
  <si>
    <t>the interaction and question this time attracts me more on following up on some ideas, and overall it was intereting</t>
  </si>
  <si>
    <t>overall its easy to interact and clear</t>
  </si>
  <si>
    <t>86.50.140.17</t>
  </si>
  <si>
    <t>R_8J7S76DCg97ZyYm</t>
  </si>
  <si>
    <t>the behaviour does not seem natural. the persona's mouth never open. VR quality is poor, the text box is unreadable.</t>
  </si>
  <si>
    <t>the VR quality is too poor to keep attention with what he introduced.</t>
  </si>
  <si>
    <t>the initial set is facing the production line which caused some efforts to turn to right and be able to talk to the persona. the VR quality is poor and caused unconfortable of the eyes.</t>
  </si>
  <si>
    <t>R_2ND2cmvZcDMfHjz</t>
  </si>
  <si>
    <t>P20</t>
  </si>
  <si>
    <t>The persona communicated clearly: I think the persona acted like a "tour guide" and not so conversational
 The persona clearly acts as a authority figure in the lab</t>
  </si>
  <si>
    <t>It was nice to explore a new space, which i think is a good vibe.</t>
  </si>
  <si>
    <t>It was easy to interact with the system: the collision issues made it hard to navigate in the lab, i think that this is a valuable way to access spaces/situations you cant normally</t>
  </si>
  <si>
    <t>R_8pRkanBcioh52R6</t>
  </si>
  <si>
    <t>P21</t>
  </si>
  <si>
    <t>The persona visibly is not a real person, but interacting with it felt natural and pleasant. The communication was clear.</t>
  </si>
  <si>
    <t>The answers were really thorough and well constructed. I liked that he suggested some new topics to explore and ask.</t>
  </si>
  <si>
    <t>It was physically really comfortable for me during the interaction. It was very fast way to get some idea about the lab, and me being able to ask about my interests made it engaging.</t>
  </si>
  <si>
    <t>R_8L5WYCR9iPH6kD7</t>
  </si>
  <si>
    <t>The game like feel makes interactions feel natural, as you are allready used to such interactions. In general I think the persona was helpful in exploring the space.</t>
  </si>
  <si>
    <t>the system felt easy to use so I could focus solely on the task</t>
  </si>
  <si>
    <t>The interacion had gamelike controls which were intuitive, and usually playing games is a relaxing experience so I didn't have any discomfort</t>
  </si>
  <si>
    <t>R_8n6NNTsx1zNJi4B</t>
  </si>
  <si>
    <t>The persona was really pleasant and easy to interact with. The main reason for some of the questions being not in the "Strongly agree" is the lack of mouth movement. However, the lack of mouth movement did not bother me at all.</t>
  </si>
  <si>
    <t>The simulation was really interesting, as I was able to see the lab in 3D. It was interesting to see the robots as the person was telling about them.</t>
  </si>
  <si>
    <t>Really pleasant experience. The only issues were about the system getting stuck for a little moment (not being able to move).</t>
  </si>
  <si>
    <t>R_8spl1E3SnEwiny8</t>
  </si>
  <si>
    <t>I think the persona seems quite robotic, but he still works well to fill its role</t>
  </si>
  <si>
    <t>The game like setting with the persona as a guide makes it interesting to explore</t>
  </si>
  <si>
    <t>this was a game like experience.</t>
  </si>
  <si>
    <t>R_2gEwo6FAWOyseo9</t>
  </si>
  <si>
    <t>Interaction with the persona felt nice and natural. We had better flow than before, I think it's because I was asking better questions.</t>
  </si>
  <si>
    <t>Time passed faster than in the previous ones. I felt we had a nice flow, and the answers were more engaging.</t>
  </si>
  <si>
    <t>The same opinion as before: really pleasant experience, did end up stuck this time too, but I was able to move backwards and then again forwards.</t>
  </si>
  <si>
    <t>R_2AWM4ZbEejyIiL7</t>
  </si>
  <si>
    <t>The persona felt like a chat bot that wont answer what you actually want to know</t>
  </si>
  <si>
    <t>I feel like i wasnt able to explore due to technical issues</t>
  </si>
  <si>
    <t>the system made me feel quite nauseous in the start, which made it difficult to focus on learning</t>
  </si>
  <si>
    <t>R_2HNgA0mJfEKmS8B</t>
  </si>
  <si>
    <t>A pleasant experience again. Similar compared to the very fist (the other one with computer.)</t>
  </si>
  <si>
    <t>It was really nice experience again. I had some technical issues, which affected the flow a litte.</t>
  </si>
  <si>
    <t>Was a pleasant experience once again.</t>
  </si>
  <si>
    <t>86.50.141.58</t>
  </si>
  <si>
    <t>R_8R8MbQPkXo2ilhe</t>
  </si>
  <si>
    <t>P22</t>
  </si>
  <si>
    <t>The language of the persona was its biggest drawback, as i felt like it spoke only a stream of facts in a dense manner.</t>
  </si>
  <si>
    <t>The conversation itself felt tedious due to the dense nature of the language, but there was no problem immersing to the environment. I felt genuine interest in the lab.</t>
  </si>
  <si>
    <t>The controls are quite simple on the keyboard, although the use of the trackpad to look around was slightly straining.</t>
  </si>
  <si>
    <t>R_2NFMaiwPMdYEwjn</t>
  </si>
  <si>
    <t>P5</t>
  </si>
  <si>
    <t>The persona did his job convincinly. You can tell he is not real. the persona stood inside a machine and sometimes the audio stopped suddenly.</t>
  </si>
  <si>
    <t>the experience was enjoyable. the VR space can be distracting if you are not used to it</t>
  </si>
  <si>
    <t>Easy to use, fast way to learn about the environment.
 Using the system was as straining as any office work</t>
  </si>
  <si>
    <t>R_2ifk6R6bRK8TYti</t>
  </si>
  <si>
    <t>Some physical expressions of the personal ended abruptly and unnaturally.</t>
  </si>
  <si>
    <t>The immersion of the VR helped with motivation and made the interaction pass by more quickly.</t>
  </si>
  <si>
    <t>If moving around was easier, it would inspire the participant to look around more.</t>
  </si>
  <si>
    <t>R_27EBGgl0iS3e9Ox</t>
  </si>
  <si>
    <t>the persona felt very professional.i could tell he is an AI, which made him feel less real</t>
  </si>
  <si>
    <t>Having noise cancelling headphones helped focusing on the VR space. Talking to an AI made me derail the conversation because i wanted to see what it will answer to off-topic questions</t>
  </si>
  <si>
    <t>the experience was not straining at all</t>
  </si>
  <si>
    <t>R_2Pvx1oMmMlAvVcH</t>
  </si>
  <si>
    <t>Asking more difficult questions leads to more personalized answers.</t>
  </si>
  <si>
    <t>The immersion broke due to difficult movement</t>
  </si>
  <si>
    <t>It was difficult to move and look around, which I wouldve liked to do while listening to the answers.</t>
  </si>
  <si>
    <t>R_2TGfLLE9uQRCjpV</t>
  </si>
  <si>
    <t>The persona gave an uncanny touch to the intercation. I would have actually preferred if the persona would have been a robot or some other non/human entity instead. The conversations was very one directional and lacked real interactivity and human touch. However, I do think that if the persona would have been a robot instead I would have "lower standards" for the quality of the dialogue. To summarise, if the persona would have been some non-human entity I would have proably given higher ratings for all the questions above.</t>
  </si>
  <si>
    <t>The actual VR environment was extremely engaging and influenced the learning experince. If it would have been the persona only in a "blank environment" I think the conversation would have been much less engaging.</t>
  </si>
  <si>
    <t>The system was very comfortable and intuitive to use. However, the controllers for navigating within the system can be slightly challenging to get used to when interacting with the system first time.</t>
  </si>
  <si>
    <t>R_2G9PXHPcKyzMFyG</t>
  </si>
  <si>
    <t>When the persona answer's that it doesn't know, it makes it seem more credible than giving unrelated answers.</t>
  </si>
  <si>
    <t>Asking for more and more detail leads to answers that don't exactly answer your questions.</t>
  </si>
  <si>
    <t>Using the systems becomes more natural the more you use it.</t>
  </si>
  <si>
    <t>R_81MfWnThUkIvekp</t>
  </si>
  <si>
    <t>Persona felt professional.</t>
  </si>
  <si>
    <t>noise cancelling headphones are beneficial</t>
  </si>
  <si>
    <t>System is easy to use. The virtual environment looks very detailed which helps learning about the space</t>
  </si>
  <si>
    <t>R_2r1FMSPSdtALbbe</t>
  </si>
  <si>
    <t>The interaction with the persona was more tedious in comparison to the VR environment. Even though the persona "lip synced" to the things it was saying, it was actually more uncomrfrotable to experience it because of its unrealistic and natural presence. Again, if the persona would have been a robot or some other non-human entity this interaction would have been more engaging. Also, if the persona would have been a robot, I think the voice should be "non-human" like voice.</t>
  </si>
  <si>
    <t>The experience was quite boring to be honest. I felt easily distracted not only because of the lack of immersiveness but also for the poor interaction experience with the persona. Again, sicne the persona lacked human body langauge, emotional expressivity, personality, and the converrsations were very flat as it didnt ask any questsions I was turned off by the persona.</t>
  </si>
  <si>
    <t>The system offered some context to the personas responses so it was helpful to situate the new information into its relevant context. However, the system is a slightly distracting and if I need to learn difficult concepts I would rather do them indepentely to give me full agency and control.</t>
  </si>
  <si>
    <t>R_2vLSb9pLz1ewdTb</t>
  </si>
  <si>
    <t>I can tell i was not talking to a human. the persona could not see the space around us so i could not point at machines so that the persona would explain to me what they do</t>
  </si>
  <si>
    <t>VR headset is crucial for immersion and it helps focusing on the task</t>
  </si>
  <si>
    <t>this system makes it possible to visit places easily, even if you could not visit them physically. very good thing</t>
  </si>
  <si>
    <t>R_8N8YQZgKjzigaqt</t>
  </si>
  <si>
    <t>P23</t>
  </si>
  <si>
    <t>The persona sounded like a real human and he seemed very credible and believable. I would gladly interact with it in a training scenario for example.</t>
  </si>
  <si>
    <t>Time passed very quickly an I felt absorbed. Slight issues with audio.</t>
  </si>
  <si>
    <t>The task didn't require physical effort and didn't cause strain.</t>
  </si>
  <si>
    <t>R_2Eae0liLjtAglUx</t>
  </si>
  <si>
    <t>I found the persona very convincing and human like in his behavior. The persona seemed very credible and convincing.</t>
  </si>
  <si>
    <t>I was very absorbed in what I was doing in the lab and I'm very motivated to learn more.</t>
  </si>
  <si>
    <t>The system is great for learning about the lab and its research. I had some trouble moving the character and felt a little dizzy using the glasses.</t>
  </si>
  <si>
    <t>R_8WA7exdZ8XSG6ln</t>
  </si>
  <si>
    <t>P24</t>
  </si>
  <si>
    <t>Persona was quite natural and human like, there could be some improvements regarding the mannerism of the persona and the body movement of the persona.</t>
  </si>
  <si>
    <t>I enjoyed learning about the lab really much, because i haven't used any vr equipment before and there was a lot of new interesting information.
 I felt totally absorbed in what i was doing because there was so much new information and interesting things.
 Time seemed to pass quickly because of the amount of new information and because it was fun.</t>
  </si>
  <si>
    <t>The vr glasses were enjoyable to use. My eyes felt comfortable and the controllers were quite user friendly.</t>
  </si>
  <si>
    <t>R_2CGXXjpfWCXPwDa</t>
  </si>
  <si>
    <t>The mannerism of the persona seemed convincing. One question I asked seemed to cause some trouble it felt like the voice of the persona changed and hes mouth stopped moving.</t>
  </si>
  <si>
    <t>I felt absorbed in the interaction.</t>
  </si>
  <si>
    <t>I get dizzy moving in the system and I have some trouble moving the character.</t>
  </si>
  <si>
    <t>R_8rCaKS9IyHxbbHz</t>
  </si>
  <si>
    <t>I wasn't familiar with all the terminology in the answers and they very very information dense. The answers could have been a little shorter maybe. The personas movement felt natural.</t>
  </si>
  <si>
    <t>I was starting to lose focus a little bit but the interaction was still fun and engaging.</t>
  </si>
  <si>
    <t>No physical strain with this experiment. It was very enjoyable.</t>
  </si>
  <si>
    <t>R_8OOX6gx4vTqqDYC</t>
  </si>
  <si>
    <t>P25</t>
  </si>
  <si>
    <t>R_2FFjRgU7nY79Ghq</t>
  </si>
  <si>
    <t>Persona felt quite natural, maybe the body language improved a bit, for example the persona could move in the lab and point out different objects. Also the persona graphics could be improved a bit.</t>
  </si>
  <si>
    <t>The task was interesting and i was really motivated to learn about the lab. It was easy to concentrate on the task and to feel totally absorbed in it.</t>
  </si>
  <si>
    <t>The system was easy and intuitive to use, it was a bit easier compared to the vr interface. If was easy to figure out and focus on the things in the lab more rather than figuring out how the system works.</t>
  </si>
  <si>
    <t>R_2z6iWdrgLP5mCVw</t>
  </si>
  <si>
    <t>R_8In3XjocB55nSiB</t>
  </si>
  <si>
    <t>P26</t>
  </si>
  <si>
    <t>I felt that I was in the same space with the persona and he welt credible and trustworhty. However, the avatar wasn't human like enough on the small gestures and facial expression to feel like a natural person, more like character in a game.</t>
  </si>
  <si>
    <t>Learning throught the interaction was quite absorping and I was eager to ask questin about things I saw around me in the vr world.</t>
  </si>
  <si>
    <t>The experiment was very pleasant and comfortable and the learning experience was more engaging compared to traditional learning formats like videos.</t>
  </si>
  <si>
    <t>R_8fwKcWi1T3HX9sR</t>
  </si>
  <si>
    <t>P27</t>
  </si>
  <si>
    <t>As I said before, the personna felt like a robot, not because of its design, not at all ! but because of its answers, oh also another point , I felt it quite inconvenient to use t to talk rather than talk directly</t>
  </si>
  <si>
    <t>There is potentionel for this to be better , don't neglect the human side of the personna, because so far its just a robot , printing long veryy long boring informations</t>
  </si>
  <si>
    <t>The system is good, but the persona interactions are very bad , thats what i think I guess</t>
  </si>
  <si>
    <t>R_2t1gpXplHPgBUgp</t>
  </si>
  <si>
    <t>R_8j8kIXsRv5tlJ0Y</t>
  </si>
  <si>
    <t>The persona seemed quite realistic. There was a lack of movement in the persona manners. Persona could move in the lab and point out different objects.</t>
  </si>
  <si>
    <t>The task was interesting and enjoyable. It was easy to figure out about the things and equipment in the environment.</t>
  </si>
  <si>
    <t>The system was easy to use. The controllers, especially the joysticks could be a bit more sensitive and easy to use.</t>
  </si>
  <si>
    <t>R_8eWCax8jx3lMRnp</t>
  </si>
  <si>
    <t>The persona didn't feel like a real human, more like a character in a game that has been teached spesific knowledge about the lab.</t>
  </si>
  <si>
    <t>The experience was much less absorbing and interesting compared to the VR experiment.</t>
  </si>
  <si>
    <t>The system was easy to use but not as immersive as the VR experience, hindering the learning experience.</t>
  </si>
  <si>
    <t>R_20HrIWI8HrliUgq</t>
  </si>
  <si>
    <t>Persona was easy to interact with and the answers were clear. The persona movement lacked a bit and could be improved.</t>
  </si>
  <si>
    <t>The task was interesting and I wanted to really figure out what are the capabilitites of the system.</t>
  </si>
  <si>
    <t>The system was nice and enjoyable to use and I would like to interact more with these type of systems.</t>
  </si>
  <si>
    <t>R_8kFiYEWudaWeyGm</t>
  </si>
  <si>
    <t>all good</t>
  </si>
  <si>
    <t>better compared than the first simulation</t>
  </si>
  <si>
    <t>To tough for the eyes , especially if you have myopia and astigmatism , but it works with eyeglasses on</t>
  </si>
  <si>
    <t>R_8qJQDoHm0YdJ2vv</t>
  </si>
  <si>
    <t>R_8p5AFlH1tynt9jQ</t>
  </si>
  <si>
    <t>The lack of facial expression and random gestures made the avatar not to appear as a real person even more than the previous desktop experiment.</t>
  </si>
  <si>
    <t>The lack of immersion made hard to concentrate fully on the lab tour.</t>
  </si>
  <si>
    <t>The added value compared to video or text based ai assistant felt quite small</t>
  </si>
  <si>
    <t>R_2jwYsBBAiQUnyJL</t>
  </si>
  <si>
    <t>p28</t>
  </si>
  <si>
    <t>very un-natural expecially his body behaviors and gestures.</t>
  </si>
  <si>
    <t>I am interested in learning more about the lab but not just by verbal introduction. I think if there is a digital demo will be more interesting.</t>
  </si>
  <si>
    <t>The interaction lasts only 5 minutes, so I do not feel any physical discomfort. But I am not sure if the time length is longer.</t>
  </si>
  <si>
    <t>R_2EOZpCNNgUQ1oit</t>
  </si>
  <si>
    <t>Due to the bugs in the system, I couldnt express myself nor being heard by the person , I tried alot but nothing , so this should be worked on</t>
  </si>
  <si>
    <t>Same before , I couldnt be heard and persona's high speed pitch make this simulation pretty bad</t>
  </si>
  <si>
    <t>I have myopia and I wear glasses, and its pretty for sensitive eyes</t>
  </si>
  <si>
    <t>R_8dN5xRHLzUbEmbe</t>
  </si>
  <si>
    <t>i would suggest to improve his gestures and facial expressions woud be more natural</t>
  </si>
  <si>
    <t>sometimes the broken data transformation will remind me this is a test</t>
  </si>
  <si>
    <t>5min is not tired</t>
  </si>
  <si>
    <t>R_8DRJ0DWVfghiAnf</t>
  </si>
  <si>
    <t>Due to lack of facial expression and human like gestures the avatar didn't feel like a real human, more a like virtual robot.</t>
  </si>
  <si>
    <t>I was motivated to learn and explore the lab, but didn't pay that much attention to the persona itself.</t>
  </si>
  <si>
    <t>The lack of expressions on the persona didn't lower the learning experience much. For me it was most important to be inside the environment</t>
  </si>
  <si>
    <t>R_8VSox62d1Uceidj</t>
  </si>
  <si>
    <t>I cannot express myself naturally without constraints</t>
  </si>
  <si>
    <t>I couldnt be heard much, maybe change headphones or work on the sound sentence system</t>
  </si>
  <si>
    <t>Keybord computer simulation was completely safe for anyone to use</t>
  </si>
  <si>
    <t>R_8mfskuzm3iEAiKx</t>
  </si>
  <si>
    <t>P28</t>
  </si>
  <si>
    <t>i feel the VR environment of the lab is more natural than the personas</t>
  </si>
  <si>
    <t>i think if the pesonas' mouth keep open and closed when talking, it will look more real.</t>
  </si>
  <si>
    <t>motion sickness is happening</t>
  </si>
  <si>
    <t>R_2poinTDt7c60aBm</t>
  </si>
  <si>
    <t>his mouth does not move</t>
  </si>
  <si>
    <t>he is not fully answering my questions</t>
  </si>
  <si>
    <t>the controller is easy to understand but the headset is heavy, and i get motion sickness when moving fast</t>
  </si>
  <si>
    <t>R_8A2fqTrKYMxy8a5</t>
  </si>
  <si>
    <t>p29</t>
  </si>
  <si>
    <t>He was talking a little too clearly, sounded like a pre defined scrip.</t>
  </si>
  <si>
    <t>I quite distracted since the experience was quite new to me.</t>
  </si>
  <si>
    <t>I would strongly like use similar system is the future, since it seems like a more fun and interactive way to learn.</t>
  </si>
  <si>
    <t>R_28CLMV5v9yotLqb</t>
  </si>
  <si>
    <t>P30</t>
  </si>
  <si>
    <t>In general the experience is pretty good. The persona has a good appearance and sounds belieaveble. But somehow i think just chatting with a persona does not make me feel like im standing in the same space with them.</t>
  </si>
  <si>
    <t>I like learning about the lab. It provides me opportunities to learn about the technologies in the lab. I can concentrate learning about the lab because the persone really sounds like human.</t>
  </si>
  <si>
    <t>I think the system facilitate my learning pretty well. It was easy enough to use the system in general. Hoewever there is a bit of issue in the beginning when the persona couldn't hear what i said.</t>
  </si>
  <si>
    <t>R_8CfaqD9EcRk5imE</t>
  </si>
  <si>
    <t>P29</t>
  </si>
  <si>
    <t>The persona felt trustworthy and professional but a little like a robot due to too good language.</t>
  </si>
  <si>
    <t>I was motivated to learn about the lab, at least in the beginning, then I got distracted by too much detail and too hard language.</t>
  </si>
  <si>
    <t>This was a good way to learn about the lab.</t>
  </si>
  <si>
    <t>R_2Eoo7ARufLHCoNy</t>
  </si>
  <si>
    <t>P31</t>
  </si>
  <si>
    <t>the persona didnt look at the player nor had any facial expressions so it feels a bit unnatural.</t>
  </si>
  <si>
    <t>I cannot move the view angle and there is no image showing during the interaction.</t>
  </si>
  <si>
    <t>its easy to use</t>
  </si>
  <si>
    <t>R_8eIPno1KQlUP9fB</t>
  </si>
  <si>
    <t>R_2pWoH1cqvMB1Pno</t>
  </si>
  <si>
    <t>Yes, i think it would be great if the persona can also have visions with the surroundings. The hand gestures are really like human. However the legs movements seem off, it keeps moving unnaturally.</t>
  </si>
  <si>
    <t>I think the persona is more alive compared to the chat bot persona. It felt like i am in the same space with the persona in the lab. I like to be able to navigate around. It would be nice if the persona can interact also with their surroundings. I keep noticing the persona legs movement, i think it can be improved.</t>
  </si>
  <si>
    <t>I think the system is easy enough to use. I need just a little bit of adaptation to the system navigation, after that only smooth sailing. The oculus is pretty light so it doesnt weigh too much and strain my head.</t>
  </si>
  <si>
    <t>R_2N3Ufda4t2b2C24</t>
  </si>
  <si>
    <t>Despite the information being given by the persona seemed credible, it was a little bit unnatural in communicating his thoughts. Specifically, there hardly seemed to be any pauses between sentences, or sufficient variation in the tone when conveying different phrases (i.e. like how an ordinary human would). Thus, this should ideally be improved so that the persona wouldn't merely read out the sentences monotonously, but make it sound like an actual conversation</t>
  </si>
  <si>
    <t>As can be expected, my intention was to learn about the purpose of the lab, its main capabilities and some aspects of research. A bit more time for interaction would have been nice to learn more about the lab (especially since the persona mentioned having 3 overall functions which he seemingly wanted to elaborate on) and to ask a few more questions that I had in mind</t>
  </si>
  <si>
    <t>The controls (w,a,s,d for moving, touch pad for rotation, and T for enabling the chat) were very easy and required minimum effort. Learning through human-like conversation is a nice experience and with a few more tweaks (explained before), it could be a potential replacement for written chats.</t>
  </si>
  <si>
    <t>R_20rbx2UDYrZVHOa</t>
  </si>
  <si>
    <t>The persona looks alive. They use hand gestures like a real human would do when we are engaged in a converesation. Something about the persona felt off. Specifically about the persona mouth that does not open when they talk, and the legs that keep moving. It looks like the persona is flying/floating.</t>
  </si>
  <si>
    <t>I really enjoyed learning about the machines in ICE lab. It has numerous of advance machineries.</t>
  </si>
  <si>
    <t>The system facilitates my learning really well. It is easy to use and navigate. Navigations feel responsive.</t>
  </si>
  <si>
    <t>R_2NBX4nZX0HcLCBJ</t>
  </si>
  <si>
    <t>No eye contact makes the persona feel unnatural. Also sometimes the conversation stopped suddenly, it feels like the persona is just answering my questions instead of having any intentions.</t>
  </si>
  <si>
    <t>I had to look at the chat screen in the environment so it feels a bit unnatural and not that immersive.</t>
  </si>
  <si>
    <t>because of the weight of the VR device it feels a bit discomfort. Also it causes 3D dizzy feelings.</t>
  </si>
  <si>
    <t>R_8QrYPysWWTTBv3S</t>
  </si>
  <si>
    <t>The lack of eye contact.</t>
  </si>
  <si>
    <t>the same as last experience</t>
  </si>
  <si>
    <t>I am wearing glasses so it feels a bit tired when using VR devices</t>
  </si>
  <si>
    <t>R_8vqhoFhvb5BQpZn</t>
  </si>
  <si>
    <t>There are two noticeable aspects of the persona which can be improved: 1) despite him seemingly trying to make eye contact/stay focused at a particular point, this alignment seems incorrect as he is looking elsewhere during the conversation and not really at the user, 2) the mannersims were not in sync with the words being conveyed (e.g. hand gestures seemed arbitrary, lips stopped moving for instance after a few words)</t>
  </si>
  <si>
    <t>Since I had some prior knowledge on the fundamentals of the laboratory, I was able to understand clearly what the persona was conveying. However, the level of technicality might have to be dialed down a bit if the user does not have much previous knowledge or is from a different background and is just looking to learn about some basics of the lab</t>
  </si>
  <si>
    <t>It would be very nice to get adapted to a system similar to this because in the current state, it will definitely be difficult for some participants to be in the environment for too long due to potential disorientation signs. Since the experiment time was quite short, there was hardly any noticeable strain or physical stress.</t>
  </si>
  <si>
    <t>R_2p3C3whlZOtYApB</t>
  </si>
  <si>
    <t>Talking with the persona feels like talking with a real human. But sometimes the persona becomes inaudible, and sometimes they shut their mouth unnaturally. But this persona does not floating on air.</t>
  </si>
  <si>
    <t>Yes, I think the task is easy to do. It is fun to learn about the other mechanical labs in other country.</t>
  </si>
  <si>
    <t>I think the system is well built. It is easy to use. Easy to navigate. Has a good user interface.</t>
  </si>
  <si>
    <t>R_2nuzYTt2ZUo1YQ4</t>
  </si>
  <si>
    <t>If the persona takes initiatives, it feels more natural.</t>
  </si>
  <si>
    <t>the voice communication is quite intuitive</t>
  </si>
  <si>
    <t>Its much more comfortable compared to using VR.</t>
  </si>
  <si>
    <t>176.72.33.224</t>
  </si>
  <si>
    <t>R_8k6cmFds6qFqpaW</t>
  </si>
  <si>
    <t>PPS_12_r</t>
  </si>
  <si>
    <t>PhysicalDiscomfort_1_r</t>
  </si>
  <si>
    <t>PhysicalDiscomfort_2_r</t>
  </si>
  <si>
    <t>PhysicalDiscomfort_3_r</t>
  </si>
  <si>
    <t>PhysicalDiscomfort_4_r</t>
  </si>
  <si>
    <t>Participant Number</t>
  </si>
  <si>
    <t>Sequence</t>
  </si>
  <si>
    <t>Realism</t>
  </si>
  <si>
    <t>Interaction</t>
  </si>
  <si>
    <t>participation_number</t>
  </si>
  <si>
    <t>survey_duration_seconds</t>
  </si>
  <si>
    <t>survey_recorded_date</t>
  </si>
  <si>
    <t>survey_response_id</t>
  </si>
  <si>
    <t>participant_id</t>
  </si>
  <si>
    <t>condition</t>
  </si>
  <si>
    <t>realism_level</t>
  </si>
  <si>
    <t>interaction_method</t>
  </si>
  <si>
    <t>sequenct_id</t>
  </si>
  <si>
    <t>mc_perceived_immersion</t>
  </si>
  <si>
    <t>mc_perceived_realism</t>
  </si>
  <si>
    <t>persona_understanding_score</t>
  </si>
  <si>
    <t>pps_empathy</t>
  </si>
  <si>
    <t>pps_willingness_to_use</t>
  </si>
  <si>
    <t>pps_sense_of_presence</t>
  </si>
  <si>
    <t>pps_appearance_realism</t>
  </si>
  <si>
    <t>pps_audio_realism</t>
  </si>
  <si>
    <t>pps_credibility</t>
  </si>
  <si>
    <t>pps_trustworthiness</t>
  </si>
  <si>
    <t>pps_clarity</t>
  </si>
  <si>
    <t>pps_behavior_naturalness</t>
  </si>
  <si>
    <t>pps_agency</t>
  </si>
  <si>
    <t>pps_persuasiveness</t>
  </si>
  <si>
    <t>pps_creepiness</t>
  </si>
  <si>
    <t>pps_creepiness_rev</t>
  </si>
  <si>
    <t>pps_open_ended_comments</t>
  </si>
  <si>
    <t>task_understanding_score</t>
  </si>
  <si>
    <t>task_confidence</t>
  </si>
  <si>
    <t>task_motivation</t>
  </si>
  <si>
    <t>task_enjoyment</t>
  </si>
  <si>
    <t>fss_focus</t>
  </si>
  <si>
    <t>fss_absorption</t>
  </si>
  <si>
    <t>fss_time_flow</t>
  </si>
  <si>
    <t>task_open_ended_comments</t>
  </si>
  <si>
    <t>system_understanding_score</t>
  </si>
  <si>
    <t>tam_perceived_usefulness</t>
  </si>
  <si>
    <t>tam_perceived_ease_of_use</t>
  </si>
  <si>
    <t>tam_behavioral_intention</t>
  </si>
  <si>
    <t>pd_physical_discomfort</t>
  </si>
  <si>
    <t>pd_physical_discomfort_rev</t>
  </si>
  <si>
    <t>pd_muscular_strain</t>
  </si>
  <si>
    <t>pd_muscular_strain_rev</t>
  </si>
  <si>
    <t>pd_visual_fatigue</t>
  </si>
  <si>
    <t>pd_visual_fatigue_rev</t>
  </si>
  <si>
    <t>pd_physical_workload</t>
  </si>
  <si>
    <t>pd_physical_workload_rev</t>
  </si>
  <si>
    <t>system_open_ended_comments</t>
  </si>
  <si>
    <t>understanding</t>
  </si>
  <si>
    <t>Age</t>
  </si>
  <si>
    <t>Gender</t>
  </si>
  <si>
    <t>Gender_4_TEXT</t>
  </si>
  <si>
    <t>nationality</t>
  </si>
  <si>
    <t>LabFamiliarity</t>
  </si>
  <si>
    <t>major</t>
  </si>
  <si>
    <t>job title</t>
  </si>
  <si>
    <t>PersonaExperience_1</t>
  </si>
  <si>
    <t>VRExperience_1</t>
  </si>
  <si>
    <t>How old are you?</t>
  </si>
  <si>
    <t>How do you describe yourself? - Selected Choice</t>
  </si>
  <si>
    <t>How do you describe yourself? - Prefer to self-describe - Text</t>
  </si>
  <si>
    <t>Please indicate your nationality.</t>
  </si>
  <si>
    <t>Are you familiar with the ICE lab and its research?</t>
  </si>
  <si>
    <t>Your major at university</t>
  </si>
  <si>
    <t>Your current job title in academia (if researcher, please specify what level, e.g., "post-doctoral researcher")</t>
  </si>
  <si>
    <t>Your past experience interacting with personas (in any format) - Little to no experience:A lot of experience</t>
  </si>
  <si>
    <t>Your past experience using VR systems - Little to no experience:A lot of experience</t>
  </si>
  <si>
    <t>{"ImportId":"QID25"}</t>
  </si>
  <si>
    <t>{"ImportId":"QID9_TEXT"}</t>
  </si>
  <si>
    <t>{"ImportId":"QID11"}</t>
  </si>
  <si>
    <t>{"ImportId":"QID11_4_TEXT"}</t>
  </si>
  <si>
    <t>{"ImportId":"QID41_TEXT"}</t>
  </si>
  <si>
    <t>{"ImportId":"QID13"}</t>
  </si>
  <si>
    <t>{"ImportId":"QID27_TEXT"}</t>
  </si>
  <si>
    <t>{"ImportId":"QID28_TEXT"}</t>
  </si>
  <si>
    <t>{"ImportId":"QID32_1"}</t>
  </si>
  <si>
    <t>{"ImportId":"QID34_1"}</t>
  </si>
  <si>
    <t>R_2pXzc0kSEvwRG6A</t>
  </si>
  <si>
    <t>Ok, I understand. Let's go!</t>
  </si>
  <si>
    <t>Male</t>
  </si>
  <si>
    <t>Bosnian</t>
  </si>
  <si>
    <t>No</t>
  </si>
  <si>
    <t>Computational Engineering</t>
  </si>
  <si>
    <t>Research assistant (Bachelor)</t>
  </si>
  <si>
    <t>R_8PHqpaxQUh9XCGy</t>
  </si>
  <si>
    <t>Estonian</t>
  </si>
  <si>
    <t>Mechanical engineering</t>
  </si>
  <si>
    <t>Research Assistant</t>
  </si>
  <si>
    <t>R_2o862RwbcFyUOt3</t>
  </si>
  <si>
    <t>Pakistani</t>
  </si>
  <si>
    <t>Yes</t>
  </si>
  <si>
    <t>Mechatronics</t>
  </si>
  <si>
    <t>R_8rpcSMNa9ecDHiI</t>
  </si>
  <si>
    <t>Female</t>
  </si>
  <si>
    <t>Pakisrtani</t>
  </si>
  <si>
    <t>Marketing</t>
  </si>
  <si>
    <t>Doctoral Researcher</t>
  </si>
  <si>
    <t>R_2YB3ggvpKRPFBjr</t>
  </si>
  <si>
    <t>Finnish</t>
  </si>
  <si>
    <t>Mechanical Engineering</t>
  </si>
  <si>
    <t>Doctoral researcher</t>
  </si>
  <si>
    <t>R_8PFujHlr5Q8lcpn</t>
  </si>
  <si>
    <t>Filipino</t>
  </si>
  <si>
    <t>R_23l2iHVkhtnl3jd</t>
  </si>
  <si>
    <t>Chinese</t>
  </si>
  <si>
    <t>New Media</t>
  </si>
  <si>
    <t>R_8Lq8O7PVVyrfCOP</t>
  </si>
  <si>
    <t>Indonesian</t>
  </si>
  <si>
    <t>Master Thesis Worker</t>
  </si>
  <si>
    <t>R_8flWvhRwptTtXNV</t>
  </si>
  <si>
    <t>Computer Science</t>
  </si>
  <si>
    <t>R_215CdmJCv3vgKdq</t>
  </si>
  <si>
    <t>Research assistant</t>
  </si>
  <si>
    <t>R_8i9iN6fw5vLcAGA</t>
  </si>
  <si>
    <t>China</t>
  </si>
  <si>
    <t>Product design and development</t>
  </si>
  <si>
    <t>Assistant professor</t>
  </si>
  <si>
    <t>R_2GvsTUsLs5Y1yUw</t>
  </si>
  <si>
    <t>Morrocan</t>
  </si>
  <si>
    <t>Autonomous systems and Intelligent robots</t>
  </si>
  <si>
    <t>R_2inAw0jeyUAjIDa</t>
  </si>
  <si>
    <t>Mechanical Engineering (Mechatronics)</t>
  </si>
  <si>
    <t>R_8fly2aEbTOPz6gb</t>
  </si>
  <si>
    <t>Indian</t>
  </si>
  <si>
    <t>Business</t>
  </si>
  <si>
    <t>R_8Sq6mSDucL3aGw5</t>
  </si>
  <si>
    <t>R_8Dp9mhkFuhmdoiI</t>
  </si>
  <si>
    <t>R_8qWNyerY4YYqgPp</t>
  </si>
  <si>
    <t>Doctoral researcher / PhD student</t>
  </si>
  <si>
    <t>R_8HpSJan0krvXoad</t>
  </si>
  <si>
    <t>Statistics</t>
  </si>
  <si>
    <t>R_2uTVpoYfLQyLolb</t>
  </si>
  <si>
    <t>Russian, Finnish</t>
  </si>
  <si>
    <t>PhD researcher</t>
  </si>
  <si>
    <t>R_8FPSkWWTeEDakgt</t>
  </si>
  <si>
    <t>chinese</t>
  </si>
  <si>
    <t>HCI</t>
  </si>
  <si>
    <t>doctoral researcher</t>
  </si>
  <si>
    <t>R_2IkFpewanITtORH</t>
  </si>
  <si>
    <t>Human Computer Interaction</t>
  </si>
  <si>
    <t>R_2Pt8vJFUTZ58DnP</t>
  </si>
  <si>
    <t>Robotics</t>
  </si>
  <si>
    <t>R_8SuEQa5MenpvJDP</t>
  </si>
  <si>
    <t>Staff Scientist</t>
  </si>
  <si>
    <t>R_8lY4FrcRy3s6698</t>
  </si>
  <si>
    <t>china</t>
  </si>
  <si>
    <t>RAMS</t>
  </si>
  <si>
    <t>PhD</t>
  </si>
  <si>
    <t>R_2OkvRpuC6lKfnwJ</t>
  </si>
  <si>
    <t>Iraq</t>
  </si>
  <si>
    <t>Manufacturing Engineer</t>
  </si>
  <si>
    <t>R_8OlTjJi7fGXLVHb</t>
  </si>
  <si>
    <t>Sri Lankan</t>
  </si>
  <si>
    <t>PhD researcher in Manufacturing and intra-logistic in Mechatronic</t>
  </si>
  <si>
    <t>R_2suJnh2pqYbTrsJ</t>
  </si>
  <si>
    <t>Iran</t>
  </si>
  <si>
    <t>Mechatronic engineer</t>
  </si>
  <si>
    <t>R_2162BeQjrVQSruS</t>
  </si>
  <si>
    <t>Engineering</t>
  </si>
  <si>
    <t>R_2LDLbR9ft7iAfTz</t>
  </si>
  <si>
    <t>Yemen</t>
  </si>
  <si>
    <t>R_8SmnpS8lf6XQV8J</t>
  </si>
  <si>
    <t>Vietnamese</t>
  </si>
  <si>
    <t>#########</t>
  </si>
  <si>
    <t>84.253.247.215</t>
  </si>
  <si>
    <t>R_2Qnbi9nj5icInW4</t>
  </si>
  <si>
    <t>physics</t>
  </si>
  <si>
    <t>research assistant</t>
  </si>
  <si>
    <t>Moroccan</t>
  </si>
  <si>
    <t>Russian–Finnish</t>
  </si>
  <si>
    <t>Iraqi</t>
  </si>
  <si>
    <t>Iranian</t>
  </si>
  <si>
    <t>Yemeni</t>
  </si>
  <si>
    <t>major_categorization</t>
  </si>
  <si>
    <t>job_title_categorized</t>
  </si>
  <si>
    <t>STEM</t>
  </si>
  <si>
    <t>Non-STEM</t>
  </si>
  <si>
    <t>Faculty/Staff</t>
  </si>
  <si>
    <t>respondent_age</t>
  </si>
  <si>
    <t>respondent_gender</t>
  </si>
  <si>
    <t>respondent_nationality</t>
  </si>
  <si>
    <t>familiarity_ice_lab</t>
  </si>
  <si>
    <t>respondent_university_major</t>
  </si>
  <si>
    <t>respondent_academic_job_title</t>
  </si>
  <si>
    <t>respondent_job_categorized</t>
  </si>
  <si>
    <t>prior_persona_experience</t>
  </si>
  <si>
    <t>prior_vr_experience</t>
  </si>
  <si>
    <t>Variable ID</t>
  </si>
  <si>
    <t>Descriptive Variable Name</t>
  </si>
  <si>
    <t xml:space="preserve">Description </t>
  </si>
  <si>
    <t>Reversed (Only x which will be reversed?)</t>
  </si>
  <si>
    <t>Mapping Scale (Number of options)</t>
  </si>
  <si>
    <t>Numerical</t>
  </si>
  <si>
    <t>Categorical</t>
  </si>
  <si>
    <t>Open Ended</t>
  </si>
  <si>
    <t>Original</t>
  </si>
  <si>
    <t>Created</t>
  </si>
  <si>
    <t>Modified</t>
  </si>
  <si>
    <t>Used in analysis</t>
  </si>
  <si>
    <t>Relevant to RQ1</t>
  </si>
  <si>
    <t>Relevent to RQ2</t>
  </si>
  <si>
    <t>Relevant to RQ3</t>
  </si>
  <si>
    <t>Comments</t>
  </si>
  <si>
    <t>survey_start_date</t>
  </si>
  <si>
    <t>survey_end_date</t>
  </si>
  <si>
    <t>survey_response_status</t>
  </si>
  <si>
    <t>respondent_ip_address</t>
  </si>
  <si>
    <t>survey_progress_percent</t>
  </si>
  <si>
    <t>survey_completion_flag</t>
  </si>
  <si>
    <t>recipient_last_name</t>
  </si>
  <si>
    <t>recipient_first_name</t>
  </si>
  <si>
    <t>recipient_email</t>
  </si>
  <si>
    <t>external_data_reference</t>
  </si>
  <si>
    <t>location_latitude</t>
  </si>
  <si>
    <t>location_longitude</t>
  </si>
  <si>
    <t>survey_distribution_channel</t>
  </si>
  <si>
    <t>user_language</t>
  </si>
  <si>
    <t>x</t>
  </si>
  <si>
    <t>sequence_id</t>
  </si>
  <si>
    <t>Order of the condition for the participant</t>
  </si>
  <si>
    <t>Level of realism (Low vs High)</t>
  </si>
  <si>
    <t>How do avatar realism and immersion modality influence users’ perception of the data-driven persona?</t>
  </si>
  <si>
    <t>How do avatar realism and immersion modality affect users’ task experience, engagement, and perceived usefulness during interaction?</t>
  </si>
  <si>
    <t>Method for interaction (VR vs Web)</t>
  </si>
  <si>
    <t>How does prior familiarity with the lab context influence users’ perception and experience when interacting with the personas?</t>
  </si>
  <si>
    <t>Not sure if this question is directly relevant for Q1, however,  "understanding the persona" should be still considered as a factor of perception -&gt;  since perception = interpretation + understanding sensory information from the environment aka the persona</t>
  </si>
  <si>
    <t>Not sure if directly relevant for Q1, however, user experience/ willigness to use does not occur in isolation from an user's perception of the system they are interacting with (personas)</t>
  </si>
  <si>
    <t>Might not be directly related to RQ2, however, personas should feel credible/believable for learning about the lab. Thus, task experience and perceived usefulness is also influenced by persona's credibility.</t>
  </si>
  <si>
    <t>Created from the PPS_Creepness using 8- original value</t>
  </si>
  <si>
    <t>respondent_gender_selfdescribe</t>
  </si>
  <si>
    <t>Original Variable ID</t>
  </si>
  <si>
    <t>New Descriptive Variable ID</t>
  </si>
  <si>
    <t>moderator_participant_id</t>
  </si>
  <si>
    <t>moderator_condition</t>
  </si>
  <si>
    <t>general_understanding_score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</si>
</sst>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h:mm"/>
    <numFmt numFmtId="165" formatCode="m-d"/>
  </numFmts>
  <fonts count="9">
    <font>
      <sz val="10.0"/>
      <color rgb="FF000000"/>
      <name val="Arial"/>
      <scheme val="minor"/>
    </font>
    <font>
      <color theme="1"/>
      <name val="Arial"/>
      <scheme val="minor"/>
    </font>
    <font>
      <sz val="11.0"/>
      <color rgb="FF000000"/>
      <name val="&quot;Aptos Narrow&quot;"/>
    </font>
    <font>
      <sz val="11.0"/>
      <color rgb="FF000000"/>
      <name val="Arial"/>
    </font>
    <font>
      <sz val="10.0"/>
      <color theme="1"/>
      <name val="Arial"/>
      <scheme val="minor"/>
    </font>
    <font>
      <sz val="10.0"/>
      <color rgb="FF000000"/>
      <name val="&quot;Aptos Narrow&quot;"/>
    </font>
    <font>
      <sz val="10.0"/>
      <color rgb="FF000000"/>
      <name val="Arial"/>
    </font>
    <font>
      <b/>
      <sz val="10.0"/>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bottom" wrapText="0"/>
    </xf>
    <xf borderId="0" fillId="0" fontId="2" numFmtId="0" xfId="0" applyAlignment="1" applyFont="1">
      <alignment readingOrder="0" vertical="bottom"/>
    </xf>
    <xf borderId="0" fillId="0" fontId="0" numFmtId="0" xfId="0" applyAlignment="1" applyFont="1">
      <alignment readingOrder="0" shrinkToFit="0" vertical="bottom" wrapText="0"/>
    </xf>
    <xf borderId="0" fillId="0" fontId="4" numFmtId="0" xfId="0" applyAlignment="1" applyFont="1">
      <alignment readingOrder="0"/>
    </xf>
    <xf borderId="0" fillId="0" fontId="0" numFmtId="0" xfId="0" applyAlignment="1" applyFont="1">
      <alignment horizontal="right" readingOrder="0" shrinkToFit="0" vertical="bottom" wrapText="0"/>
    </xf>
    <xf borderId="0" fillId="0" fontId="0" numFmtId="164" xfId="0" applyAlignment="1" applyFont="1" applyNumberFormat="1">
      <alignment readingOrder="0" shrinkToFit="0" vertical="bottom" wrapText="0"/>
    </xf>
    <xf borderId="0" fillId="0" fontId="0" numFmtId="0" xfId="0" applyAlignment="1" applyFont="1">
      <alignment readingOrder="0" vertical="bottom"/>
    </xf>
    <xf borderId="0" fillId="0" fontId="0"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1"/>
    </xf>
    <xf borderId="0" fillId="0" fontId="6"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164" xfId="0" applyAlignment="1" applyFont="1" applyNumberFormat="1">
      <alignment readingOrder="0" shrinkToFit="0" vertical="bottom" wrapText="0"/>
    </xf>
    <xf borderId="0" fillId="0" fontId="7" numFmtId="0" xfId="0" applyAlignment="1" applyFont="1">
      <alignment readingOrder="0" shrinkToFit="0" wrapText="1"/>
    </xf>
    <xf borderId="0" fillId="0" fontId="8" numFmtId="0" xfId="0" applyAlignment="1" applyFont="1">
      <alignment readingOrder="0"/>
    </xf>
    <xf borderId="0" fillId="2" fontId="7" numFmtId="0" xfId="0" applyAlignment="1" applyFill="1" applyFont="1">
      <alignment readingOrder="0" shrinkToFit="0" wrapText="1"/>
    </xf>
    <xf borderId="0" fillId="0" fontId="8" numFmtId="0" xfId="0" applyFont="1"/>
    <xf borderId="0" fillId="0" fontId="5" numFmtId="0" xfId="0" applyAlignment="1" applyFont="1">
      <alignment readingOrder="0" shrinkToFit="0" vertical="bottom" wrapText="1"/>
    </xf>
    <xf borderId="0" fillId="0" fontId="4" numFmtId="0" xfId="0" applyAlignment="1" applyFont="1">
      <alignment shrinkToFit="0" wrapText="1"/>
    </xf>
    <xf borderId="0" fillId="0" fontId="4" numFmtId="0" xfId="0" applyAlignment="1" applyFont="1">
      <alignment readingOrder="0" shrinkToFit="0" wrapText="1"/>
    </xf>
    <xf borderId="0" fillId="2" fontId="4" numFmtId="0" xfId="0" applyAlignment="1" applyFont="1">
      <alignment shrinkToFit="0" wrapText="1"/>
    </xf>
    <xf borderId="0" fillId="0" fontId="4" numFmtId="165" xfId="0" applyAlignment="1" applyFont="1" applyNumberFormat="1">
      <alignment readingOrder="0" shrinkToFit="0" wrapText="1"/>
    </xf>
    <xf borderId="0" fillId="3" fontId="4" numFmtId="0" xfId="0" applyAlignment="1" applyFill="1" applyFont="1">
      <alignment readingOrder="0" shrinkToFit="0" wrapText="1"/>
    </xf>
    <xf borderId="0" fillId="2" fontId="4" numFmtId="0" xfId="0" applyAlignment="1" applyFont="1">
      <alignment readingOrder="0" shrinkToFit="0" wrapText="1"/>
    </xf>
    <xf borderId="0" fillId="0" fontId="1" numFmtId="0" xfId="0" applyAlignment="1" applyFont="1">
      <alignment shrinkToFit="0" wrapText="1"/>
    </xf>
    <xf borderId="0" fillId="2" fontId="1" numFmtId="0" xfId="0" applyAlignment="1" applyFont="1">
      <alignment shrinkToFit="0" wrapText="1"/>
    </xf>
    <xf borderId="0" fillId="0" fontId="8"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35.5"/>
    <col customWidth="1" min="3" max="3" width="13.38"/>
    <col customWidth="1" min="4" max="4" width="16.25"/>
    <col customWidth="1" min="5" max="5" width="13.38"/>
    <col customWidth="1" min="6" max="6" width="16.25"/>
  </cols>
  <sheetData>
    <row r="1">
      <c r="A1" s="1"/>
      <c r="B1" s="1"/>
      <c r="C1" s="2" t="s">
        <v>0</v>
      </c>
      <c r="E1" s="2" t="s">
        <v>1</v>
      </c>
    </row>
    <row r="2">
      <c r="A2" s="1" t="s">
        <v>2</v>
      </c>
      <c r="B2" s="1" t="s">
        <v>3</v>
      </c>
      <c r="C2" s="1" t="s">
        <v>4</v>
      </c>
      <c r="D2" s="1" t="s">
        <v>5</v>
      </c>
      <c r="E2" s="1" t="s">
        <v>4</v>
      </c>
      <c r="F2" s="1" t="s">
        <v>5</v>
      </c>
    </row>
    <row r="3">
      <c r="A3" s="1" t="s">
        <v>6</v>
      </c>
      <c r="B3" s="1" t="s">
        <v>7</v>
      </c>
      <c r="C3" s="1">
        <v>0.0</v>
      </c>
      <c r="D3" s="1">
        <v>0.0</v>
      </c>
      <c r="E3" s="3">
        <f>COUNTA('Survey-Raw'!D1:D126)</f>
        <v>126</v>
      </c>
      <c r="F3" s="1">
        <v>52.0</v>
      </c>
    </row>
    <row r="4">
      <c r="A4" s="1" t="s">
        <v>8</v>
      </c>
      <c r="B4" s="1" t="s">
        <v>9</v>
      </c>
      <c r="C4" s="1">
        <v>2.0</v>
      </c>
      <c r="D4" s="1">
        <v>0.0</v>
      </c>
      <c r="E4" s="3">
        <f t="shared" ref="E4:F4" si="1">E3-C4</f>
        <v>124</v>
      </c>
      <c r="F4" s="3">
        <f t="shared" si="1"/>
        <v>52</v>
      </c>
    </row>
    <row r="5">
      <c r="A5" s="1" t="s">
        <v>10</v>
      </c>
      <c r="B5" s="1" t="s">
        <v>11</v>
      </c>
      <c r="C5" s="1">
        <v>0.0</v>
      </c>
      <c r="D5" s="1">
        <v>4.0</v>
      </c>
      <c r="E5" s="3">
        <f t="shared" ref="E5:F5" si="2">E4-C5</f>
        <v>124</v>
      </c>
      <c r="F5" s="3">
        <f t="shared" si="2"/>
        <v>48</v>
      </c>
    </row>
    <row r="6">
      <c r="A6" s="1" t="s">
        <v>12</v>
      </c>
      <c r="B6" s="1" t="s">
        <v>13</v>
      </c>
      <c r="C6" s="1">
        <v>3.0</v>
      </c>
      <c r="D6" s="1">
        <v>0.0</v>
      </c>
      <c r="E6" s="3">
        <f t="shared" ref="E6:F6" si="3">E5-C6</f>
        <v>121</v>
      </c>
      <c r="F6" s="3">
        <f t="shared" si="3"/>
        <v>48</v>
      </c>
    </row>
    <row r="7">
      <c r="A7" s="1" t="s">
        <v>14</v>
      </c>
      <c r="B7" s="4" t="s">
        <v>15</v>
      </c>
      <c r="C7" s="1">
        <v>0.0</v>
      </c>
      <c r="D7" s="1">
        <v>10.0</v>
      </c>
      <c r="E7" s="3">
        <f t="shared" ref="E7:F7" si="4">E6-C7</f>
        <v>121</v>
      </c>
      <c r="F7" s="3">
        <f t="shared" si="4"/>
        <v>38</v>
      </c>
    </row>
    <row r="8">
      <c r="A8" s="1" t="s">
        <v>16</v>
      </c>
      <c r="B8" s="4" t="s">
        <v>17</v>
      </c>
      <c r="C8" s="1">
        <v>0.0</v>
      </c>
      <c r="D8" s="1">
        <v>0.0</v>
      </c>
      <c r="E8" s="3">
        <f t="shared" ref="E8:F8" si="5">E7-C8</f>
        <v>121</v>
      </c>
      <c r="F8" s="3">
        <f t="shared" si="5"/>
        <v>38</v>
      </c>
    </row>
    <row r="9">
      <c r="A9" s="1" t="s">
        <v>18</v>
      </c>
      <c r="B9" s="4" t="s">
        <v>19</v>
      </c>
      <c r="C9" s="1">
        <v>0.0</v>
      </c>
      <c r="D9" s="1">
        <v>-5.0</v>
      </c>
      <c r="E9" s="3">
        <f t="shared" ref="E9:F9" si="6">E8-C9</f>
        <v>121</v>
      </c>
      <c r="F9" s="3">
        <f t="shared" si="6"/>
        <v>43</v>
      </c>
    </row>
    <row r="10">
      <c r="A10" s="1" t="s">
        <v>20</v>
      </c>
      <c r="B10" s="4" t="s">
        <v>21</v>
      </c>
      <c r="C10" s="1">
        <v>0.0</v>
      </c>
      <c r="D10" s="1">
        <v>-1.0</v>
      </c>
      <c r="E10" s="3">
        <f t="shared" ref="E10:F10" si="7">E9-C10</f>
        <v>121</v>
      </c>
      <c r="F10" s="3">
        <f t="shared" si="7"/>
        <v>44</v>
      </c>
    </row>
    <row r="11">
      <c r="A11" s="1" t="s">
        <v>22</v>
      </c>
      <c r="B11" s="4" t="s">
        <v>23</v>
      </c>
      <c r="C11" s="1">
        <v>0.0</v>
      </c>
      <c r="D11" s="1">
        <v>-1.0</v>
      </c>
      <c r="E11" s="3">
        <f t="shared" ref="E11:F11" si="8">E10-C11</f>
        <v>121</v>
      </c>
      <c r="F11" s="3">
        <f t="shared" si="8"/>
        <v>45</v>
      </c>
    </row>
    <row r="12">
      <c r="A12" s="1" t="s">
        <v>24</v>
      </c>
      <c r="B12" s="4" t="s">
        <v>25</v>
      </c>
      <c r="C12" s="1">
        <v>0.0</v>
      </c>
      <c r="D12" s="1">
        <v>-2.0</v>
      </c>
      <c r="E12" s="3">
        <f t="shared" ref="E12:F12" si="9">E11-C12</f>
        <v>121</v>
      </c>
      <c r="F12" s="3">
        <f t="shared" si="9"/>
        <v>47</v>
      </c>
    </row>
    <row r="13">
      <c r="A13" s="1" t="s">
        <v>26</v>
      </c>
      <c r="B13" s="1" t="s">
        <v>27</v>
      </c>
      <c r="C13" s="1">
        <v>0.0</v>
      </c>
      <c r="D13" s="1">
        <v>0.0</v>
      </c>
      <c r="E13" s="3">
        <f t="shared" ref="E13:F13" si="10">E12-C13</f>
        <v>121</v>
      </c>
      <c r="F13" s="3">
        <f t="shared" si="10"/>
        <v>47</v>
      </c>
    </row>
    <row r="14">
      <c r="A14" s="1"/>
    </row>
    <row r="15">
      <c r="A15" s="1" t="s">
        <v>28</v>
      </c>
      <c r="B15" s="1" t="s">
        <v>7</v>
      </c>
      <c r="C15" s="1">
        <v>0.0</v>
      </c>
      <c r="D15" s="1">
        <v>0.0</v>
      </c>
      <c r="E15" s="1">
        <v>34.0</v>
      </c>
      <c r="F15" s="1">
        <v>28.0</v>
      </c>
    </row>
    <row r="16">
      <c r="A16" s="1" t="s">
        <v>29</v>
      </c>
      <c r="B16" s="1" t="s">
        <v>9</v>
      </c>
      <c r="C16" s="1">
        <v>2.0</v>
      </c>
      <c r="D16" s="1">
        <v>0.0</v>
      </c>
      <c r="E16" s="3">
        <f t="shared" ref="E16:F16" si="11">E15-C16</f>
        <v>32</v>
      </c>
      <c r="F16" s="3">
        <f t="shared" si="11"/>
        <v>28</v>
      </c>
    </row>
    <row r="17">
      <c r="A17" s="1" t="s">
        <v>30</v>
      </c>
      <c r="B17" s="1" t="s">
        <v>11</v>
      </c>
      <c r="C17" s="1">
        <v>0.0</v>
      </c>
      <c r="D17" s="1">
        <v>4.0</v>
      </c>
      <c r="E17" s="3">
        <f t="shared" ref="E17:F17" si="12">E16-C17</f>
        <v>32</v>
      </c>
      <c r="F17" s="3">
        <f t="shared" si="12"/>
        <v>24</v>
      </c>
    </row>
    <row r="18">
      <c r="A18" s="1" t="s">
        <v>31</v>
      </c>
      <c r="B18" s="1" t="s">
        <v>32</v>
      </c>
      <c r="C18" s="1">
        <v>1.0</v>
      </c>
      <c r="D18" s="1">
        <v>0.0</v>
      </c>
      <c r="E18" s="3">
        <f t="shared" ref="E18:F18" si="13">E17-C18</f>
        <v>31</v>
      </c>
      <c r="F18" s="3">
        <f t="shared" si="13"/>
        <v>24</v>
      </c>
    </row>
    <row r="19">
      <c r="A19" s="1" t="s">
        <v>33</v>
      </c>
      <c r="B19" s="4" t="s">
        <v>15</v>
      </c>
      <c r="C19" s="1">
        <v>0.0</v>
      </c>
      <c r="D19" s="1">
        <v>13.0</v>
      </c>
      <c r="E19" s="3">
        <f t="shared" ref="E19:F19" si="14">E18-C19</f>
        <v>31</v>
      </c>
      <c r="F19" s="3">
        <f t="shared" si="14"/>
        <v>11</v>
      </c>
    </row>
    <row r="20">
      <c r="A20" s="1" t="s">
        <v>34</v>
      </c>
      <c r="B20" s="1" t="s">
        <v>35</v>
      </c>
      <c r="C20" s="1">
        <v>0.0</v>
      </c>
      <c r="D20" s="1">
        <v>0.0</v>
      </c>
      <c r="E20" s="3">
        <f t="shared" ref="E20:F20" si="15">E19-C20</f>
        <v>31</v>
      </c>
      <c r="F20" s="3">
        <f t="shared" si="15"/>
        <v>11</v>
      </c>
    </row>
    <row r="21">
      <c r="A21" s="1" t="s">
        <v>36</v>
      </c>
      <c r="B21" s="1" t="s">
        <v>37</v>
      </c>
      <c r="C21" s="1">
        <v>0.0</v>
      </c>
      <c r="D21" s="1">
        <v>-2.0</v>
      </c>
      <c r="E21" s="3">
        <f t="shared" ref="E21:F21" si="16">E20-C21</f>
        <v>31</v>
      </c>
      <c r="F21" s="3">
        <f t="shared" si="16"/>
        <v>13</v>
      </c>
    </row>
    <row r="22">
      <c r="A22" s="1" t="s">
        <v>38</v>
      </c>
      <c r="B22" s="1" t="s">
        <v>39</v>
      </c>
    </row>
    <row r="23">
      <c r="A23" s="1"/>
      <c r="B23" s="1"/>
    </row>
    <row r="24">
      <c r="A24" s="1" t="s">
        <v>40</v>
      </c>
      <c r="B24" s="1" t="s">
        <v>41</v>
      </c>
    </row>
    <row r="25">
      <c r="A25" s="1" t="s">
        <v>42</v>
      </c>
      <c r="B25" s="1" t="s">
        <v>43</v>
      </c>
    </row>
  </sheetData>
  <mergeCells count="2">
    <mergeCell ref="C1:D1"/>
    <mergeCell ref="E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44</v>
      </c>
      <c r="B1" s="5" t="s">
        <v>45</v>
      </c>
      <c r="C1" s="5" t="s">
        <v>46</v>
      </c>
      <c r="D1" s="5" t="s">
        <v>47</v>
      </c>
      <c r="E1" s="5" t="s">
        <v>48</v>
      </c>
      <c r="F1" s="5" t="s">
        <v>49</v>
      </c>
      <c r="G1" s="5" t="s">
        <v>50</v>
      </c>
      <c r="H1" s="5" t="s">
        <v>51</v>
      </c>
      <c r="I1" s="5" t="s">
        <v>52</v>
      </c>
      <c r="J1" s="5" t="s">
        <v>53</v>
      </c>
      <c r="K1" s="5" t="s">
        <v>54</v>
      </c>
      <c r="L1" s="5" t="s">
        <v>55</v>
      </c>
      <c r="M1" s="5" t="s">
        <v>56</v>
      </c>
      <c r="N1" s="5" t="s">
        <v>57</v>
      </c>
      <c r="O1" s="5" t="s">
        <v>58</v>
      </c>
      <c r="P1" s="5" t="s">
        <v>59</v>
      </c>
      <c r="Q1" s="5" t="s">
        <v>60</v>
      </c>
      <c r="R1" s="5" t="s">
        <v>61</v>
      </c>
      <c r="S1" s="5" t="s">
        <v>62</v>
      </c>
      <c r="T1" s="5" t="s">
        <v>63</v>
      </c>
      <c r="U1" s="5" t="s">
        <v>64</v>
      </c>
      <c r="V1" s="5" t="s">
        <v>65</v>
      </c>
      <c r="W1" s="5" t="s">
        <v>66</v>
      </c>
      <c r="X1" s="5"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83</v>
      </c>
      <c r="AO1" s="5" t="s">
        <v>84</v>
      </c>
      <c r="AP1" s="5" t="s">
        <v>85</v>
      </c>
      <c r="AQ1" s="5" t="s">
        <v>86</v>
      </c>
      <c r="AR1" s="5" t="s">
        <v>87</v>
      </c>
      <c r="AS1" s="5" t="s">
        <v>88</v>
      </c>
      <c r="AT1" s="5" t="s">
        <v>89</v>
      </c>
      <c r="AU1" s="5" t="s">
        <v>90</v>
      </c>
      <c r="AV1" s="5" t="s">
        <v>91</v>
      </c>
      <c r="AW1" s="5" t="s">
        <v>92</v>
      </c>
      <c r="AX1" s="5" t="s">
        <v>93</v>
      </c>
      <c r="AY1" s="5" t="s">
        <v>94</v>
      </c>
      <c r="AZ1" s="5" t="s">
        <v>95</v>
      </c>
    </row>
    <row r="2">
      <c r="A2" s="5" t="s">
        <v>96</v>
      </c>
      <c r="B2" s="5" t="s">
        <v>97</v>
      </c>
      <c r="C2" s="5" t="s">
        <v>98</v>
      </c>
      <c r="D2" s="5" t="s">
        <v>99</v>
      </c>
      <c r="E2" s="5" t="s">
        <v>48</v>
      </c>
      <c r="F2" s="5" t="s">
        <v>49</v>
      </c>
      <c r="G2" s="5" t="s">
        <v>50</v>
      </c>
      <c r="H2" s="5" t="s">
        <v>100</v>
      </c>
      <c r="I2" s="5" t="s">
        <v>101</v>
      </c>
      <c r="J2" s="5" t="s">
        <v>102</v>
      </c>
      <c r="K2" s="5" t="s">
        <v>103</v>
      </c>
      <c r="L2" s="5" t="s">
        <v>104</v>
      </c>
      <c r="M2" s="5" t="s">
        <v>105</v>
      </c>
      <c r="N2" s="5" t="s">
        <v>106</v>
      </c>
      <c r="O2" s="5" t="s">
        <v>107</v>
      </c>
      <c r="P2" s="5" t="s">
        <v>108</v>
      </c>
      <c r="Q2" s="5" t="s">
        <v>109</v>
      </c>
      <c r="R2" s="5" t="s">
        <v>110</v>
      </c>
      <c r="S2" s="5" t="s">
        <v>111</v>
      </c>
      <c r="T2" s="5" t="s">
        <v>112</v>
      </c>
      <c r="U2" s="5" t="s">
        <v>113</v>
      </c>
      <c r="V2" s="5" t="s">
        <v>65</v>
      </c>
      <c r="W2" s="5" t="s">
        <v>114</v>
      </c>
      <c r="X2" s="5" t="s">
        <v>115</v>
      </c>
      <c r="Y2" s="5" t="s">
        <v>116</v>
      </c>
      <c r="Z2" s="5" t="s">
        <v>117</v>
      </c>
      <c r="AA2" s="5" t="s">
        <v>118</v>
      </c>
      <c r="AB2" s="5" t="s">
        <v>119</v>
      </c>
      <c r="AC2" s="5" t="s">
        <v>120</v>
      </c>
      <c r="AD2" s="5" t="s">
        <v>121</v>
      </c>
      <c r="AE2" s="5" t="s">
        <v>122</v>
      </c>
      <c r="AF2" s="5" t="s">
        <v>123</v>
      </c>
      <c r="AG2" s="5" t="s">
        <v>124</v>
      </c>
      <c r="AH2" s="5" t="s">
        <v>125</v>
      </c>
      <c r="AI2" s="5" t="s">
        <v>126</v>
      </c>
      <c r="AJ2" s="5" t="s">
        <v>79</v>
      </c>
      <c r="AK2" s="5" t="s">
        <v>127</v>
      </c>
      <c r="AL2" s="5" t="s">
        <v>128</v>
      </c>
      <c r="AM2" s="5" t="s">
        <v>129</v>
      </c>
      <c r="AN2" s="5" t="s">
        <v>130</v>
      </c>
      <c r="AO2" s="5" t="s">
        <v>131</v>
      </c>
      <c r="AP2" s="5" t="s">
        <v>132</v>
      </c>
      <c r="AQ2" s="5" t="s">
        <v>126</v>
      </c>
      <c r="AR2" s="5" t="s">
        <v>87</v>
      </c>
      <c r="AS2" s="5" t="s">
        <v>133</v>
      </c>
      <c r="AT2" s="5" t="s">
        <v>134</v>
      </c>
      <c r="AU2" s="5" t="s">
        <v>135</v>
      </c>
      <c r="AV2" s="5" t="s">
        <v>136</v>
      </c>
      <c r="AW2" s="5" t="s">
        <v>137</v>
      </c>
      <c r="AX2" s="5" t="s">
        <v>138</v>
      </c>
      <c r="AY2" s="5" t="s">
        <v>139</v>
      </c>
      <c r="AZ2" s="6" t="s">
        <v>126</v>
      </c>
    </row>
    <row r="3">
      <c r="A3" s="5" t="s">
        <v>140</v>
      </c>
      <c r="B3" s="5" t="s">
        <v>141</v>
      </c>
      <c r="C3" s="5" t="s">
        <v>142</v>
      </c>
      <c r="D3" s="5" t="s">
        <v>143</v>
      </c>
      <c r="E3" s="5" t="s">
        <v>144</v>
      </c>
      <c r="F3" s="5" t="s">
        <v>145</v>
      </c>
      <c r="G3" s="5" t="s">
        <v>146</v>
      </c>
      <c r="H3" s="5" t="s">
        <v>147</v>
      </c>
      <c r="I3" s="5" t="s">
        <v>148</v>
      </c>
      <c r="J3" s="5" t="s">
        <v>149</v>
      </c>
      <c r="K3" s="5" t="s">
        <v>150</v>
      </c>
      <c r="L3" s="5" t="s">
        <v>151</v>
      </c>
      <c r="M3" s="5" t="s">
        <v>152</v>
      </c>
      <c r="N3" s="5" t="s">
        <v>153</v>
      </c>
      <c r="O3" s="5" t="s">
        <v>154</v>
      </c>
      <c r="P3" s="5" t="s">
        <v>155</v>
      </c>
      <c r="Q3" s="5" t="s">
        <v>156</v>
      </c>
      <c r="R3" s="5" t="s">
        <v>157</v>
      </c>
      <c r="S3" s="5" t="s">
        <v>158</v>
      </c>
      <c r="T3" s="5" t="s">
        <v>159</v>
      </c>
      <c r="U3" s="5" t="s">
        <v>160</v>
      </c>
      <c r="V3" s="5" t="s">
        <v>161</v>
      </c>
      <c r="W3" s="5" t="s">
        <v>162</v>
      </c>
      <c r="X3" s="5" t="s">
        <v>163</v>
      </c>
      <c r="Y3" s="5" t="s">
        <v>164</v>
      </c>
      <c r="Z3" s="5" t="s">
        <v>165</v>
      </c>
      <c r="AA3" s="5" t="s">
        <v>166</v>
      </c>
      <c r="AB3" s="5" t="s">
        <v>167</v>
      </c>
      <c r="AC3" s="5" t="s">
        <v>168</v>
      </c>
      <c r="AD3" s="5" t="s">
        <v>169</v>
      </c>
      <c r="AE3" s="5" t="s">
        <v>170</v>
      </c>
      <c r="AF3" s="5" t="s">
        <v>171</v>
      </c>
      <c r="AG3" s="5" t="s">
        <v>172</v>
      </c>
      <c r="AH3" s="5" t="s">
        <v>173</v>
      </c>
      <c r="AI3" s="5" t="s">
        <v>174</v>
      </c>
      <c r="AJ3" s="5" t="s">
        <v>175</v>
      </c>
      <c r="AK3" s="5" t="s">
        <v>176</v>
      </c>
      <c r="AL3" s="5" t="s">
        <v>177</v>
      </c>
      <c r="AM3" s="5" t="s">
        <v>178</v>
      </c>
      <c r="AN3" s="5" t="s">
        <v>179</v>
      </c>
      <c r="AO3" s="5" t="s">
        <v>180</v>
      </c>
      <c r="AP3" s="5" t="s">
        <v>181</v>
      </c>
      <c r="AQ3" s="5" t="s">
        <v>182</v>
      </c>
      <c r="AR3" s="5" t="s">
        <v>183</v>
      </c>
      <c r="AS3" s="5" t="s">
        <v>184</v>
      </c>
      <c r="AT3" s="5" t="s">
        <v>185</v>
      </c>
      <c r="AU3" s="5" t="s">
        <v>186</v>
      </c>
      <c r="AV3" s="5" t="s">
        <v>187</v>
      </c>
      <c r="AW3" s="5" t="s">
        <v>188</v>
      </c>
      <c r="AX3" s="5" t="s">
        <v>189</v>
      </c>
      <c r="AY3" s="5" t="s">
        <v>190</v>
      </c>
      <c r="AZ3" s="5" t="s">
        <v>191</v>
      </c>
    </row>
    <row r="4">
      <c r="A4" s="7">
        <v>45866.16388888889</v>
      </c>
      <c r="B4" s="7">
        <v>45866.16875</v>
      </c>
      <c r="C4" s="5" t="s">
        <v>99</v>
      </c>
      <c r="D4" s="5" t="s">
        <v>192</v>
      </c>
      <c r="E4" s="8">
        <v>100.0</v>
      </c>
      <c r="F4" s="8">
        <v>459.0</v>
      </c>
      <c r="G4" s="9" t="b">
        <v>1</v>
      </c>
      <c r="H4" s="7">
        <v>45866.16875</v>
      </c>
      <c r="I4" s="5" t="s">
        <v>193</v>
      </c>
      <c r="K4" s="10"/>
      <c r="L4" s="10"/>
      <c r="M4" s="10"/>
      <c r="N4" s="8">
        <v>60.1816</v>
      </c>
      <c r="O4" s="8">
        <v>24.8368</v>
      </c>
      <c r="P4" s="5" t="s">
        <v>194</v>
      </c>
      <c r="Q4" s="5" t="s">
        <v>195</v>
      </c>
      <c r="R4" s="5" t="s">
        <v>196</v>
      </c>
      <c r="S4" s="5" t="s">
        <v>197</v>
      </c>
      <c r="T4" s="5" t="s">
        <v>198</v>
      </c>
      <c r="U4" s="5" t="s">
        <v>198</v>
      </c>
      <c r="V4" s="5" t="s">
        <v>199</v>
      </c>
      <c r="W4" s="5" t="s">
        <v>200</v>
      </c>
      <c r="X4" s="5" t="s">
        <v>201</v>
      </c>
      <c r="Y4" s="5" t="s">
        <v>202</v>
      </c>
      <c r="Z4" s="5" t="s">
        <v>203</v>
      </c>
      <c r="AA4" s="5" t="s">
        <v>198</v>
      </c>
      <c r="AB4" s="5" t="s">
        <v>198</v>
      </c>
      <c r="AC4" s="5" t="s">
        <v>200</v>
      </c>
      <c r="AD4" s="5" t="s">
        <v>201</v>
      </c>
      <c r="AE4" s="5" t="s">
        <v>204</v>
      </c>
      <c r="AF4" s="5" t="s">
        <v>198</v>
      </c>
      <c r="AG4" s="5" t="s">
        <v>200</v>
      </c>
      <c r="AH4" s="5" t="s">
        <v>202</v>
      </c>
      <c r="AI4" s="5" t="s">
        <v>205</v>
      </c>
      <c r="AJ4" s="5" t="s">
        <v>206</v>
      </c>
      <c r="AK4" s="5" t="s">
        <v>200</v>
      </c>
      <c r="AL4" s="5" t="s">
        <v>202</v>
      </c>
      <c r="AM4" s="5" t="s">
        <v>200</v>
      </c>
      <c r="AN4" s="5" t="s">
        <v>201</v>
      </c>
      <c r="AO4" s="5" t="s">
        <v>200</v>
      </c>
      <c r="AP4" s="5" t="s">
        <v>201</v>
      </c>
      <c r="AQ4" s="5" t="s">
        <v>207</v>
      </c>
      <c r="AR4" s="5" t="s">
        <v>206</v>
      </c>
      <c r="AS4" s="5" t="s">
        <v>200</v>
      </c>
      <c r="AT4" s="5" t="s">
        <v>208</v>
      </c>
      <c r="AU4" s="5" t="s">
        <v>200</v>
      </c>
      <c r="AV4" s="5" t="s">
        <v>200</v>
      </c>
      <c r="AW4" s="5" t="s">
        <v>200</v>
      </c>
      <c r="AX4" s="5" t="s">
        <v>200</v>
      </c>
      <c r="AY4" s="5" t="s">
        <v>208</v>
      </c>
      <c r="AZ4" s="5" t="s">
        <v>209</v>
      </c>
    </row>
    <row r="5">
      <c r="A5" s="7">
        <v>45866.17361111111</v>
      </c>
      <c r="B5" s="7">
        <v>45866.17847222222</v>
      </c>
      <c r="C5" s="5" t="s">
        <v>99</v>
      </c>
      <c r="D5" s="5" t="s">
        <v>192</v>
      </c>
      <c r="E5" s="8">
        <v>100.0</v>
      </c>
      <c r="F5" s="8">
        <v>411.0</v>
      </c>
      <c r="G5" s="9" t="b">
        <v>1</v>
      </c>
      <c r="H5" s="7">
        <v>45866.17847222222</v>
      </c>
      <c r="I5" s="5" t="s">
        <v>210</v>
      </c>
      <c r="K5" s="10"/>
      <c r="L5" s="10"/>
      <c r="M5" s="10"/>
      <c r="N5" s="8">
        <v>60.1816</v>
      </c>
      <c r="O5" s="8">
        <v>24.8368</v>
      </c>
      <c r="P5" s="5" t="s">
        <v>194</v>
      </c>
      <c r="Q5" s="5" t="s">
        <v>195</v>
      </c>
      <c r="R5" s="5" t="s">
        <v>196</v>
      </c>
      <c r="S5" s="5" t="s">
        <v>211</v>
      </c>
      <c r="T5" s="5" t="s">
        <v>198</v>
      </c>
      <c r="U5" s="5" t="s">
        <v>204</v>
      </c>
      <c r="V5" s="5" t="s">
        <v>199</v>
      </c>
      <c r="W5" s="5" t="s">
        <v>198</v>
      </c>
      <c r="X5" s="5" t="s">
        <v>200</v>
      </c>
      <c r="Y5" s="5" t="s">
        <v>200</v>
      </c>
      <c r="Z5" s="5" t="s">
        <v>208</v>
      </c>
      <c r="AA5" s="5" t="s">
        <v>198</v>
      </c>
      <c r="AB5" s="5" t="s">
        <v>198</v>
      </c>
      <c r="AC5" s="5" t="s">
        <v>198</v>
      </c>
      <c r="AD5" s="5" t="s">
        <v>204</v>
      </c>
      <c r="AE5" s="5" t="s">
        <v>200</v>
      </c>
      <c r="AF5" s="5" t="s">
        <v>204</v>
      </c>
      <c r="AG5" s="5" t="s">
        <v>198</v>
      </c>
      <c r="AH5" s="5" t="s">
        <v>202</v>
      </c>
      <c r="AI5" s="5" t="s">
        <v>212</v>
      </c>
      <c r="AJ5" s="5" t="s">
        <v>206</v>
      </c>
      <c r="AK5" s="5" t="s">
        <v>208</v>
      </c>
      <c r="AL5" s="5" t="s">
        <v>208</v>
      </c>
      <c r="AM5" s="5" t="s">
        <v>208</v>
      </c>
      <c r="AN5" s="5" t="s">
        <v>200</v>
      </c>
      <c r="AO5" s="5" t="s">
        <v>198</v>
      </c>
      <c r="AP5" s="5" t="s">
        <v>201</v>
      </c>
      <c r="AQ5" s="5" t="s">
        <v>213</v>
      </c>
      <c r="AR5" s="5" t="s">
        <v>206</v>
      </c>
      <c r="AS5" s="5" t="s">
        <v>200</v>
      </c>
      <c r="AT5" s="5" t="s">
        <v>201</v>
      </c>
      <c r="AU5" s="5" t="s">
        <v>200</v>
      </c>
      <c r="AV5" s="5" t="s">
        <v>208</v>
      </c>
      <c r="AW5" s="5" t="s">
        <v>208</v>
      </c>
      <c r="AX5" s="5" t="s">
        <v>204</v>
      </c>
      <c r="AY5" s="5" t="s">
        <v>208</v>
      </c>
      <c r="AZ5" s="5" t="s">
        <v>214</v>
      </c>
    </row>
    <row r="6">
      <c r="A6" s="7">
        <v>45866.183333333334</v>
      </c>
      <c r="B6" s="7">
        <v>45866.1875</v>
      </c>
      <c r="C6" s="5" t="s">
        <v>99</v>
      </c>
      <c r="D6" s="5" t="s">
        <v>192</v>
      </c>
      <c r="E6" s="8">
        <v>100.0</v>
      </c>
      <c r="F6" s="8">
        <v>357.0</v>
      </c>
      <c r="G6" s="9" t="b">
        <v>1</v>
      </c>
      <c r="H6" s="7">
        <v>45866.1875</v>
      </c>
      <c r="I6" s="5" t="s">
        <v>215</v>
      </c>
      <c r="L6" s="10"/>
      <c r="M6" s="10"/>
      <c r="N6" s="8">
        <v>60.1816</v>
      </c>
      <c r="O6" s="8">
        <v>24.8368</v>
      </c>
      <c r="P6" s="5" t="s">
        <v>194</v>
      </c>
      <c r="Q6" s="5" t="s">
        <v>195</v>
      </c>
      <c r="R6" s="5" t="s">
        <v>196</v>
      </c>
      <c r="S6" s="5" t="s">
        <v>216</v>
      </c>
      <c r="T6" s="5" t="s">
        <v>201</v>
      </c>
      <c r="U6" s="5" t="s">
        <v>202</v>
      </c>
      <c r="V6" s="5" t="s">
        <v>199</v>
      </c>
      <c r="W6" s="5" t="s">
        <v>202</v>
      </c>
      <c r="X6" s="5" t="s">
        <v>202</v>
      </c>
      <c r="Y6" s="5" t="s">
        <v>203</v>
      </c>
      <c r="Z6" s="5" t="s">
        <v>198</v>
      </c>
      <c r="AA6" s="5" t="s">
        <v>200</v>
      </c>
      <c r="AB6" s="5" t="s">
        <v>200</v>
      </c>
      <c r="AC6" s="5" t="s">
        <v>200</v>
      </c>
      <c r="AD6" s="5" t="s">
        <v>200</v>
      </c>
      <c r="AE6" s="5" t="s">
        <v>198</v>
      </c>
      <c r="AF6" s="5" t="s">
        <v>200</v>
      </c>
      <c r="AG6" s="5" t="s">
        <v>200</v>
      </c>
      <c r="AH6" s="5" t="s">
        <v>202</v>
      </c>
      <c r="AI6" s="5" t="s">
        <v>217</v>
      </c>
      <c r="AJ6" s="5" t="s">
        <v>206</v>
      </c>
      <c r="AK6" s="5" t="s">
        <v>202</v>
      </c>
      <c r="AL6" s="5" t="s">
        <v>200</v>
      </c>
      <c r="AM6" s="5" t="s">
        <v>202</v>
      </c>
      <c r="AN6" s="5" t="s">
        <v>201</v>
      </c>
      <c r="AO6" s="5" t="s">
        <v>202</v>
      </c>
      <c r="AP6" s="5" t="s">
        <v>201</v>
      </c>
      <c r="AQ6" s="5" t="s">
        <v>218</v>
      </c>
      <c r="AR6" s="5" t="s">
        <v>206</v>
      </c>
      <c r="AS6" s="5" t="s">
        <v>202</v>
      </c>
      <c r="AT6" s="5" t="s">
        <v>202</v>
      </c>
      <c r="AU6" s="5" t="s">
        <v>201</v>
      </c>
      <c r="AV6" s="5" t="s">
        <v>208</v>
      </c>
      <c r="AW6" s="5" t="s">
        <v>198</v>
      </c>
      <c r="AX6" s="5" t="s">
        <v>208</v>
      </c>
      <c r="AY6" s="5" t="s">
        <v>198</v>
      </c>
      <c r="AZ6" s="5" t="s">
        <v>219</v>
      </c>
    </row>
    <row r="7">
      <c r="A7" s="7">
        <v>45866.25</v>
      </c>
      <c r="B7" s="7">
        <v>45866.260416666664</v>
      </c>
      <c r="C7" s="5" t="s">
        <v>99</v>
      </c>
      <c r="D7" s="5" t="s">
        <v>192</v>
      </c>
      <c r="E7" s="8">
        <v>100.0</v>
      </c>
      <c r="F7" s="8">
        <v>913.0</v>
      </c>
      <c r="G7" s="9" t="b">
        <v>1</v>
      </c>
      <c r="H7" s="7">
        <v>45866.260416666664</v>
      </c>
      <c r="I7" s="5" t="s">
        <v>220</v>
      </c>
      <c r="L7" s="10"/>
      <c r="M7" s="10"/>
      <c r="N7" s="8">
        <v>60.1816</v>
      </c>
      <c r="O7" s="8">
        <v>24.8368</v>
      </c>
      <c r="P7" s="5" t="s">
        <v>194</v>
      </c>
      <c r="Q7" s="5" t="s">
        <v>195</v>
      </c>
      <c r="R7" s="5" t="s">
        <v>221</v>
      </c>
      <c r="S7" s="5" t="s">
        <v>211</v>
      </c>
      <c r="T7" s="5" t="s">
        <v>204</v>
      </c>
      <c r="U7" s="5" t="s">
        <v>204</v>
      </c>
      <c r="V7" s="5" t="s">
        <v>199</v>
      </c>
      <c r="W7" s="5" t="s">
        <v>201</v>
      </c>
      <c r="X7" s="5" t="s">
        <v>203</v>
      </c>
      <c r="Y7" s="5" t="s">
        <v>204</v>
      </c>
      <c r="Z7" s="5" t="s">
        <v>204</v>
      </c>
      <c r="AA7" s="5" t="s">
        <v>204</v>
      </c>
      <c r="AB7" s="5" t="s">
        <v>208</v>
      </c>
      <c r="AC7" s="5" t="s">
        <v>201</v>
      </c>
      <c r="AD7" s="5" t="s">
        <v>202</v>
      </c>
      <c r="AE7" s="5" t="s">
        <v>204</v>
      </c>
      <c r="AF7" s="5" t="s">
        <v>204</v>
      </c>
      <c r="AG7" s="5" t="s">
        <v>203</v>
      </c>
      <c r="AH7" s="5" t="s">
        <v>201</v>
      </c>
      <c r="AI7" s="5" t="s">
        <v>222</v>
      </c>
      <c r="AJ7" s="5" t="s">
        <v>206</v>
      </c>
      <c r="AK7" s="5" t="s">
        <v>204</v>
      </c>
      <c r="AL7" s="5" t="s">
        <v>200</v>
      </c>
      <c r="AM7" s="5" t="s">
        <v>203</v>
      </c>
      <c r="AN7" s="5" t="s">
        <v>200</v>
      </c>
      <c r="AO7" s="5" t="s">
        <v>200</v>
      </c>
      <c r="AP7" s="5" t="s">
        <v>201</v>
      </c>
      <c r="AQ7" s="5" t="s">
        <v>223</v>
      </c>
      <c r="AR7" s="5" t="s">
        <v>206</v>
      </c>
      <c r="AS7" s="5" t="s">
        <v>204</v>
      </c>
      <c r="AT7" s="5" t="s">
        <v>201</v>
      </c>
      <c r="AU7" s="5" t="s">
        <v>203</v>
      </c>
      <c r="AV7" s="5" t="s">
        <v>204</v>
      </c>
      <c r="AW7" s="5" t="s">
        <v>204</v>
      </c>
      <c r="AX7" s="5" t="s">
        <v>204</v>
      </c>
      <c r="AY7" s="5" t="s">
        <v>204</v>
      </c>
      <c r="AZ7" s="5" t="s">
        <v>224</v>
      </c>
    </row>
    <row r="8">
      <c r="A8" s="7">
        <v>45866.26666666667</v>
      </c>
      <c r="B8" s="7">
        <v>45866.27291666667</v>
      </c>
      <c r="C8" s="5" t="s">
        <v>99</v>
      </c>
      <c r="D8" s="5" t="s">
        <v>192</v>
      </c>
      <c r="E8" s="8">
        <v>100.0</v>
      </c>
      <c r="F8" s="8">
        <v>512.0</v>
      </c>
      <c r="G8" s="9" t="b">
        <v>1</v>
      </c>
      <c r="H8" s="7">
        <v>45866.27291666667</v>
      </c>
      <c r="I8" s="5" t="s">
        <v>225</v>
      </c>
      <c r="K8" s="10"/>
      <c r="L8" s="10"/>
      <c r="M8" s="10"/>
      <c r="N8" s="8">
        <v>60.1816</v>
      </c>
      <c r="O8" s="8">
        <v>24.8368</v>
      </c>
      <c r="P8" s="5" t="s">
        <v>194</v>
      </c>
      <c r="Q8" s="5" t="s">
        <v>195</v>
      </c>
      <c r="R8" s="5" t="s">
        <v>221</v>
      </c>
      <c r="S8" s="5" t="s">
        <v>216</v>
      </c>
      <c r="T8" s="5" t="s">
        <v>200</v>
      </c>
      <c r="U8" s="5" t="s">
        <v>204</v>
      </c>
      <c r="V8" s="5" t="s">
        <v>199</v>
      </c>
      <c r="W8" s="5" t="s">
        <v>201</v>
      </c>
      <c r="X8" s="5" t="s">
        <v>203</v>
      </c>
      <c r="Y8" s="5" t="s">
        <v>201</v>
      </c>
      <c r="Z8" s="5" t="s">
        <v>204</v>
      </c>
      <c r="AA8" s="5" t="s">
        <v>204</v>
      </c>
      <c r="AB8" s="5" t="s">
        <v>200</v>
      </c>
      <c r="AC8" s="5" t="s">
        <v>201</v>
      </c>
      <c r="AD8" s="5" t="s">
        <v>204</v>
      </c>
      <c r="AE8" s="5" t="s">
        <v>204</v>
      </c>
      <c r="AF8" s="5" t="s">
        <v>204</v>
      </c>
      <c r="AG8" s="5" t="s">
        <v>203</v>
      </c>
      <c r="AH8" s="5" t="s">
        <v>201</v>
      </c>
      <c r="AI8" s="5" t="s">
        <v>226</v>
      </c>
      <c r="AJ8" s="5" t="s">
        <v>206</v>
      </c>
      <c r="AK8" s="5" t="s">
        <v>204</v>
      </c>
      <c r="AL8" s="5" t="s">
        <v>201</v>
      </c>
      <c r="AM8" s="5" t="s">
        <v>200</v>
      </c>
      <c r="AN8" s="5" t="s">
        <v>201</v>
      </c>
      <c r="AO8" s="5" t="s">
        <v>201</v>
      </c>
      <c r="AP8" s="5" t="s">
        <v>201</v>
      </c>
      <c r="AQ8" s="5" t="s">
        <v>227</v>
      </c>
      <c r="AR8" s="5" t="s">
        <v>206</v>
      </c>
      <c r="AS8" s="5" t="s">
        <v>200</v>
      </c>
      <c r="AT8" s="5" t="s">
        <v>204</v>
      </c>
      <c r="AU8" s="5" t="s">
        <v>200</v>
      </c>
      <c r="AV8" s="5" t="s">
        <v>201</v>
      </c>
      <c r="AW8" s="5" t="s">
        <v>203</v>
      </c>
      <c r="AX8" s="5" t="s">
        <v>200</v>
      </c>
      <c r="AY8" s="5" t="s">
        <v>200</v>
      </c>
      <c r="AZ8" s="5" t="s">
        <v>228</v>
      </c>
    </row>
    <row r="9">
      <c r="A9" s="7">
        <v>45866.28055555555</v>
      </c>
      <c r="B9" s="7">
        <v>45866.28472222222</v>
      </c>
      <c r="C9" s="5" t="s">
        <v>99</v>
      </c>
      <c r="D9" s="5" t="s">
        <v>192</v>
      </c>
      <c r="E9" s="8">
        <v>100.0</v>
      </c>
      <c r="F9" s="8">
        <v>378.0</v>
      </c>
      <c r="G9" s="9" t="b">
        <v>1</v>
      </c>
      <c r="H9" s="7">
        <v>45866.28472222222</v>
      </c>
      <c r="I9" s="5" t="s">
        <v>229</v>
      </c>
      <c r="K9" s="10"/>
      <c r="L9" s="10"/>
      <c r="M9" s="10"/>
      <c r="N9" s="8">
        <v>60.1816</v>
      </c>
      <c r="O9" s="8">
        <v>24.8368</v>
      </c>
      <c r="P9" s="5" t="s">
        <v>194</v>
      </c>
      <c r="Q9" s="5" t="s">
        <v>195</v>
      </c>
      <c r="R9" s="5" t="s">
        <v>221</v>
      </c>
      <c r="S9" s="5" t="s">
        <v>197</v>
      </c>
      <c r="T9" s="5" t="s">
        <v>204</v>
      </c>
      <c r="U9" s="5" t="s">
        <v>204</v>
      </c>
      <c r="V9" s="5" t="s">
        <v>199</v>
      </c>
      <c r="W9" s="5" t="s">
        <v>198</v>
      </c>
      <c r="X9" s="5" t="s">
        <v>203</v>
      </c>
      <c r="Y9" s="5" t="s">
        <v>201</v>
      </c>
      <c r="Z9" s="5" t="s">
        <v>204</v>
      </c>
      <c r="AA9" s="5" t="s">
        <v>204</v>
      </c>
      <c r="AB9" s="5" t="s">
        <v>201</v>
      </c>
      <c r="AC9" s="5" t="s">
        <v>203</v>
      </c>
      <c r="AD9" s="5" t="s">
        <v>198</v>
      </c>
      <c r="AE9" s="5" t="s">
        <v>204</v>
      </c>
      <c r="AF9" s="5" t="s">
        <v>204</v>
      </c>
      <c r="AG9" s="5" t="s">
        <v>201</v>
      </c>
      <c r="AH9" s="5" t="s">
        <v>201</v>
      </c>
      <c r="AI9" s="11" t="s">
        <v>230</v>
      </c>
      <c r="AJ9" s="5" t="s">
        <v>206</v>
      </c>
      <c r="AK9" s="5" t="s">
        <v>204</v>
      </c>
      <c r="AL9" s="5" t="s">
        <v>203</v>
      </c>
      <c r="AM9" s="5" t="s">
        <v>204</v>
      </c>
      <c r="AN9" s="5" t="s">
        <v>200</v>
      </c>
      <c r="AO9" s="5" t="s">
        <v>204</v>
      </c>
      <c r="AP9" s="5" t="s">
        <v>208</v>
      </c>
      <c r="AQ9" s="5" t="s">
        <v>231</v>
      </c>
      <c r="AR9" s="5" t="s">
        <v>206</v>
      </c>
      <c r="AS9" s="5" t="s">
        <v>204</v>
      </c>
      <c r="AT9" s="5" t="s">
        <v>203</v>
      </c>
      <c r="AU9" s="5" t="s">
        <v>200</v>
      </c>
      <c r="AV9" s="5" t="s">
        <v>204</v>
      </c>
      <c r="AW9" s="5" t="s">
        <v>204</v>
      </c>
      <c r="AX9" s="5" t="s">
        <v>203</v>
      </c>
      <c r="AY9" s="5" t="s">
        <v>204</v>
      </c>
      <c r="AZ9" s="11" t="s">
        <v>232</v>
      </c>
    </row>
    <row r="10">
      <c r="A10" s="7">
        <v>45866.288194444445</v>
      </c>
      <c r="B10" s="7">
        <v>45866.290972222225</v>
      </c>
      <c r="C10" s="5" t="s">
        <v>99</v>
      </c>
      <c r="D10" s="5" t="s">
        <v>192</v>
      </c>
      <c r="E10" s="8">
        <v>100.0</v>
      </c>
      <c r="F10" s="8">
        <v>237.0</v>
      </c>
      <c r="G10" s="9" t="b">
        <v>1</v>
      </c>
      <c r="H10" s="7">
        <v>45866.290972222225</v>
      </c>
      <c r="I10" s="5" t="s">
        <v>233</v>
      </c>
      <c r="K10" s="10"/>
      <c r="L10" s="10"/>
      <c r="M10" s="10"/>
      <c r="N10" s="8">
        <v>60.1816</v>
      </c>
      <c r="O10" s="8">
        <v>24.8368</v>
      </c>
      <c r="P10" s="5" t="s">
        <v>194</v>
      </c>
      <c r="Q10" s="5" t="s">
        <v>195</v>
      </c>
      <c r="R10" s="5" t="s">
        <v>221</v>
      </c>
      <c r="S10" s="5" t="s">
        <v>216</v>
      </c>
      <c r="T10" s="5" t="s">
        <v>204</v>
      </c>
      <c r="U10" s="5" t="s">
        <v>204</v>
      </c>
      <c r="V10" s="5" t="s">
        <v>199</v>
      </c>
      <c r="W10" s="5" t="s">
        <v>201</v>
      </c>
      <c r="X10" s="5" t="s">
        <v>204</v>
      </c>
      <c r="Y10" s="5" t="s">
        <v>204</v>
      </c>
      <c r="Z10" s="5" t="s">
        <v>204</v>
      </c>
      <c r="AA10" s="5" t="s">
        <v>204</v>
      </c>
      <c r="AB10" s="5" t="s">
        <v>201</v>
      </c>
      <c r="AC10" s="5" t="s">
        <v>201</v>
      </c>
      <c r="AD10" s="5" t="s">
        <v>204</v>
      </c>
      <c r="AE10" s="5" t="s">
        <v>204</v>
      </c>
      <c r="AF10" s="5" t="s">
        <v>204</v>
      </c>
      <c r="AG10" s="5" t="s">
        <v>201</v>
      </c>
      <c r="AH10" s="5" t="s">
        <v>201</v>
      </c>
      <c r="AI10" s="5" t="s">
        <v>234</v>
      </c>
      <c r="AJ10" s="5" t="s">
        <v>206</v>
      </c>
      <c r="AK10" s="5" t="s">
        <v>204</v>
      </c>
      <c r="AL10" s="5" t="s">
        <v>201</v>
      </c>
      <c r="AM10" s="5" t="s">
        <v>204</v>
      </c>
      <c r="AN10" s="5" t="s">
        <v>204</v>
      </c>
      <c r="AO10" s="5" t="s">
        <v>204</v>
      </c>
      <c r="AP10" s="5" t="s">
        <v>208</v>
      </c>
      <c r="AQ10" s="5" t="s">
        <v>235</v>
      </c>
      <c r="AR10" s="5" t="s">
        <v>206</v>
      </c>
      <c r="AS10" s="5" t="s">
        <v>204</v>
      </c>
      <c r="AT10" s="5" t="s">
        <v>204</v>
      </c>
      <c r="AU10" s="5" t="s">
        <v>204</v>
      </c>
      <c r="AV10" s="5" t="s">
        <v>203</v>
      </c>
      <c r="AW10" s="5" t="s">
        <v>203</v>
      </c>
      <c r="AX10" s="5" t="s">
        <v>203</v>
      </c>
      <c r="AY10" s="5" t="s">
        <v>203</v>
      </c>
      <c r="AZ10" s="5" t="s">
        <v>236</v>
      </c>
    </row>
    <row r="11">
      <c r="A11" s="7">
        <v>45866.28958333333</v>
      </c>
      <c r="B11" s="7">
        <v>45866.3125</v>
      </c>
      <c r="C11" s="5" t="s">
        <v>99</v>
      </c>
      <c r="D11" s="5" t="s">
        <v>237</v>
      </c>
      <c r="E11" s="8">
        <v>100.0</v>
      </c>
      <c r="F11" s="8">
        <v>1957.0</v>
      </c>
      <c r="G11" s="9" t="b">
        <v>1</v>
      </c>
      <c r="H11" s="7">
        <v>45866.3125</v>
      </c>
      <c r="I11" s="5" t="s">
        <v>238</v>
      </c>
      <c r="K11" s="10"/>
      <c r="L11" s="10"/>
      <c r="M11" s="10"/>
      <c r="N11" s="8">
        <v>60.2498</v>
      </c>
      <c r="O11" s="8">
        <v>24.9939</v>
      </c>
      <c r="P11" s="5" t="s">
        <v>194</v>
      </c>
      <c r="Q11" s="5" t="s">
        <v>195</v>
      </c>
      <c r="R11" s="5" t="s">
        <v>239</v>
      </c>
      <c r="S11" s="5" t="s">
        <v>216</v>
      </c>
      <c r="T11" s="5" t="s">
        <v>202</v>
      </c>
      <c r="U11" s="5" t="s">
        <v>200</v>
      </c>
      <c r="V11" s="5" t="s">
        <v>199</v>
      </c>
      <c r="W11" s="5" t="s">
        <v>201</v>
      </c>
      <c r="X11" s="5" t="s">
        <v>200</v>
      </c>
      <c r="Y11" s="5" t="s">
        <v>201</v>
      </c>
      <c r="Z11" s="5" t="s">
        <v>198</v>
      </c>
      <c r="AA11" s="5" t="s">
        <v>198</v>
      </c>
      <c r="AB11" s="5" t="s">
        <v>200</v>
      </c>
      <c r="AC11" s="5" t="s">
        <v>200</v>
      </c>
      <c r="AD11" s="5" t="s">
        <v>201</v>
      </c>
      <c r="AE11" s="5" t="s">
        <v>198</v>
      </c>
      <c r="AF11" s="5" t="s">
        <v>201</v>
      </c>
      <c r="AG11" s="5" t="s">
        <v>202</v>
      </c>
      <c r="AH11" s="5" t="s">
        <v>198</v>
      </c>
      <c r="AI11" s="5" t="s">
        <v>240</v>
      </c>
      <c r="AJ11" s="5" t="s">
        <v>206</v>
      </c>
      <c r="AK11" s="5" t="s">
        <v>200</v>
      </c>
      <c r="AL11" s="5" t="s">
        <v>201</v>
      </c>
      <c r="AM11" s="5" t="s">
        <v>201</v>
      </c>
      <c r="AN11" s="5" t="s">
        <v>200</v>
      </c>
      <c r="AO11" s="5" t="s">
        <v>201</v>
      </c>
      <c r="AP11" s="5" t="s">
        <v>201</v>
      </c>
      <c r="AQ11" s="5" t="s">
        <v>241</v>
      </c>
      <c r="AR11" s="5" t="s">
        <v>206</v>
      </c>
      <c r="AS11" s="5" t="s">
        <v>202</v>
      </c>
      <c r="AT11" s="5" t="s">
        <v>201</v>
      </c>
      <c r="AU11" s="5" t="s">
        <v>201</v>
      </c>
      <c r="AV11" s="5" t="s">
        <v>204</v>
      </c>
      <c r="AW11" s="5" t="s">
        <v>204</v>
      </c>
      <c r="AX11" s="5" t="s">
        <v>204</v>
      </c>
      <c r="AY11" s="5" t="s">
        <v>204</v>
      </c>
      <c r="AZ11" s="5" t="s">
        <v>242</v>
      </c>
    </row>
    <row r="12">
      <c r="A12" s="7">
        <v>45866.302777777775</v>
      </c>
      <c r="B12" s="7">
        <v>45866.3125</v>
      </c>
      <c r="C12" s="5" t="s">
        <v>99</v>
      </c>
      <c r="D12" s="5" t="s">
        <v>192</v>
      </c>
      <c r="E12" s="8">
        <v>100.0</v>
      </c>
      <c r="F12" s="8">
        <v>822.0</v>
      </c>
      <c r="G12" s="9" t="b">
        <v>1</v>
      </c>
      <c r="H12" s="7">
        <v>45866.3125</v>
      </c>
      <c r="I12" s="5" t="s">
        <v>243</v>
      </c>
      <c r="K12" s="10"/>
      <c r="L12" s="10"/>
      <c r="M12" s="10"/>
      <c r="N12" s="8">
        <v>60.1816</v>
      </c>
      <c r="O12" s="8">
        <v>24.8368</v>
      </c>
      <c r="P12" s="5" t="s">
        <v>194</v>
      </c>
      <c r="Q12" s="5" t="s">
        <v>195</v>
      </c>
      <c r="R12" s="5" t="s">
        <v>244</v>
      </c>
      <c r="S12" s="5" t="s">
        <v>197</v>
      </c>
      <c r="T12" s="5" t="s">
        <v>208</v>
      </c>
      <c r="U12" s="5" t="s">
        <v>208</v>
      </c>
      <c r="V12" s="5" t="s">
        <v>199</v>
      </c>
      <c r="W12" s="5" t="s">
        <v>201</v>
      </c>
      <c r="X12" s="5" t="s">
        <v>198</v>
      </c>
      <c r="Y12" s="5" t="s">
        <v>200</v>
      </c>
      <c r="Z12" s="5" t="s">
        <v>198</v>
      </c>
      <c r="AA12" s="5" t="s">
        <v>204</v>
      </c>
      <c r="AB12" s="5" t="s">
        <v>200</v>
      </c>
      <c r="AC12" s="5" t="s">
        <v>202</v>
      </c>
      <c r="AD12" s="5" t="s">
        <v>202</v>
      </c>
      <c r="AE12" s="5" t="s">
        <v>204</v>
      </c>
      <c r="AF12" s="5" t="s">
        <v>203</v>
      </c>
      <c r="AG12" s="5" t="s">
        <v>201</v>
      </c>
      <c r="AH12" s="5" t="s">
        <v>201</v>
      </c>
      <c r="AI12" s="5" t="s">
        <v>245</v>
      </c>
      <c r="AJ12" s="5" t="s">
        <v>206</v>
      </c>
      <c r="AK12" s="5" t="s">
        <v>200</v>
      </c>
      <c r="AL12" s="5" t="s">
        <v>202</v>
      </c>
      <c r="AM12" s="5" t="s">
        <v>202</v>
      </c>
      <c r="AN12" s="5" t="s">
        <v>200</v>
      </c>
      <c r="AO12" s="5" t="s">
        <v>200</v>
      </c>
      <c r="AP12" s="5" t="s">
        <v>203</v>
      </c>
      <c r="AQ12" s="5" t="s">
        <v>246</v>
      </c>
      <c r="AR12" s="5" t="s">
        <v>206</v>
      </c>
      <c r="AS12" s="5" t="s">
        <v>200</v>
      </c>
      <c r="AT12" s="5" t="s">
        <v>198</v>
      </c>
      <c r="AU12" s="5" t="s">
        <v>202</v>
      </c>
      <c r="AV12" s="5" t="s">
        <v>208</v>
      </c>
      <c r="AW12" s="5" t="s">
        <v>204</v>
      </c>
      <c r="AX12" s="5" t="s">
        <v>200</v>
      </c>
      <c r="AY12" s="5" t="s">
        <v>200</v>
      </c>
      <c r="AZ12" s="5" t="s">
        <v>247</v>
      </c>
    </row>
    <row r="13">
      <c r="A13" s="7">
        <v>45866.31458333333</v>
      </c>
      <c r="B13" s="7">
        <v>45866.32777777778</v>
      </c>
      <c r="C13" s="5" t="s">
        <v>99</v>
      </c>
      <c r="D13" s="5" t="s">
        <v>237</v>
      </c>
      <c r="E13" s="8">
        <v>100.0</v>
      </c>
      <c r="F13" s="8">
        <v>1106.0</v>
      </c>
      <c r="G13" s="9" t="b">
        <v>1</v>
      </c>
      <c r="H13" s="7">
        <v>45866.32777777778</v>
      </c>
      <c r="I13" s="5" t="s">
        <v>248</v>
      </c>
      <c r="K13" s="10"/>
      <c r="L13" s="10"/>
      <c r="M13" s="10"/>
      <c r="N13" s="8">
        <v>60.2498</v>
      </c>
      <c r="O13" s="8">
        <v>24.9939</v>
      </c>
      <c r="P13" s="5" t="s">
        <v>194</v>
      </c>
      <c r="Q13" s="5" t="s">
        <v>195</v>
      </c>
      <c r="R13" s="5" t="s">
        <v>244</v>
      </c>
      <c r="S13" s="5" t="s">
        <v>211</v>
      </c>
      <c r="T13" s="5" t="s">
        <v>198</v>
      </c>
      <c r="U13" s="5" t="s">
        <v>204</v>
      </c>
      <c r="V13" s="5" t="s">
        <v>199</v>
      </c>
      <c r="W13" s="5" t="s">
        <v>200</v>
      </c>
      <c r="X13" s="5" t="s">
        <v>208</v>
      </c>
      <c r="Y13" s="5" t="s">
        <v>204</v>
      </c>
      <c r="Z13" s="5" t="s">
        <v>198</v>
      </c>
      <c r="AA13" s="5" t="s">
        <v>204</v>
      </c>
      <c r="AB13" s="5" t="s">
        <v>200</v>
      </c>
      <c r="AC13" s="5" t="s">
        <v>202</v>
      </c>
      <c r="AD13" s="5" t="s">
        <v>208</v>
      </c>
      <c r="AE13" s="5" t="s">
        <v>204</v>
      </c>
      <c r="AF13" s="5" t="s">
        <v>208</v>
      </c>
      <c r="AG13" s="5" t="s">
        <v>200</v>
      </c>
      <c r="AH13" s="5" t="s">
        <v>201</v>
      </c>
      <c r="AI13" s="5" t="s">
        <v>249</v>
      </c>
      <c r="AJ13" s="5" t="s">
        <v>206</v>
      </c>
      <c r="AK13" s="5" t="s">
        <v>202</v>
      </c>
      <c r="AL13" s="5" t="s">
        <v>202</v>
      </c>
      <c r="AM13" s="5" t="s">
        <v>202</v>
      </c>
      <c r="AN13" s="5" t="s">
        <v>200</v>
      </c>
      <c r="AO13" s="5" t="s">
        <v>198</v>
      </c>
      <c r="AP13" s="5" t="s">
        <v>203</v>
      </c>
      <c r="AQ13" s="5" t="s">
        <v>250</v>
      </c>
      <c r="AR13" s="5" t="s">
        <v>206</v>
      </c>
      <c r="AS13" s="5" t="s">
        <v>202</v>
      </c>
      <c r="AT13" s="5" t="s">
        <v>202</v>
      </c>
      <c r="AU13" s="5" t="s">
        <v>208</v>
      </c>
      <c r="AV13" s="5" t="s">
        <v>204</v>
      </c>
      <c r="AW13" s="5" t="s">
        <v>204</v>
      </c>
      <c r="AX13" s="5" t="s">
        <v>204</v>
      </c>
      <c r="AY13" s="5" t="s">
        <v>204</v>
      </c>
      <c r="AZ13" s="5" t="s">
        <v>251</v>
      </c>
    </row>
    <row r="14">
      <c r="A14" s="7">
        <v>45866.3125</v>
      </c>
      <c r="B14" s="7">
        <v>45866.32847222222</v>
      </c>
      <c r="C14" s="5" t="s">
        <v>99</v>
      </c>
      <c r="D14" s="5" t="s">
        <v>192</v>
      </c>
      <c r="E14" s="8">
        <v>100.0</v>
      </c>
      <c r="F14" s="8">
        <v>1376.0</v>
      </c>
      <c r="G14" s="9" t="b">
        <v>1</v>
      </c>
      <c r="H14" s="7">
        <v>45866.32847222222</v>
      </c>
      <c r="I14" s="5" t="s">
        <v>252</v>
      </c>
      <c r="K14" s="10"/>
      <c r="L14" s="10"/>
      <c r="M14" s="10"/>
      <c r="N14" s="8">
        <v>60.1816</v>
      </c>
      <c r="O14" s="8">
        <v>24.8368</v>
      </c>
      <c r="P14" s="5" t="s">
        <v>194</v>
      </c>
      <c r="Q14" s="5" t="s">
        <v>195</v>
      </c>
      <c r="R14" s="5" t="s">
        <v>239</v>
      </c>
      <c r="S14" s="5" t="s">
        <v>211</v>
      </c>
      <c r="T14" s="5" t="s">
        <v>201</v>
      </c>
      <c r="U14" s="5" t="s">
        <v>201</v>
      </c>
      <c r="V14" s="5" t="s">
        <v>199</v>
      </c>
      <c r="W14" s="5" t="s">
        <v>200</v>
      </c>
      <c r="X14" s="5" t="s">
        <v>200</v>
      </c>
      <c r="Y14" s="5" t="s">
        <v>201</v>
      </c>
      <c r="Z14" s="5" t="s">
        <v>203</v>
      </c>
      <c r="AA14" s="5" t="s">
        <v>203</v>
      </c>
      <c r="AB14" s="5" t="s">
        <v>201</v>
      </c>
      <c r="AC14" s="5" t="s">
        <v>201</v>
      </c>
      <c r="AD14" s="5" t="s">
        <v>201</v>
      </c>
      <c r="AE14" s="5" t="s">
        <v>203</v>
      </c>
      <c r="AF14" s="5" t="s">
        <v>202</v>
      </c>
      <c r="AG14" s="5" t="s">
        <v>201</v>
      </c>
      <c r="AH14" s="5" t="s">
        <v>203</v>
      </c>
      <c r="AI14" s="5" t="s">
        <v>253</v>
      </c>
      <c r="AJ14" s="5" t="s">
        <v>206</v>
      </c>
      <c r="AK14" s="5" t="s">
        <v>200</v>
      </c>
      <c r="AL14" s="5" t="s">
        <v>201</v>
      </c>
      <c r="AM14" s="5" t="s">
        <v>202</v>
      </c>
      <c r="AN14" s="5" t="s">
        <v>202</v>
      </c>
      <c r="AO14" s="5" t="s">
        <v>202</v>
      </c>
      <c r="AP14" s="5" t="s">
        <v>202</v>
      </c>
      <c r="AQ14" s="5" t="s">
        <v>254</v>
      </c>
      <c r="AR14" s="5" t="s">
        <v>206</v>
      </c>
      <c r="AS14" s="5" t="s">
        <v>200</v>
      </c>
      <c r="AT14" s="5" t="s">
        <v>200</v>
      </c>
      <c r="AU14" s="5" t="s">
        <v>201</v>
      </c>
      <c r="AV14" s="5" t="s">
        <v>200</v>
      </c>
      <c r="AW14" s="5" t="s">
        <v>204</v>
      </c>
      <c r="AX14" s="5" t="s">
        <v>200</v>
      </c>
      <c r="AY14" s="5" t="s">
        <v>200</v>
      </c>
      <c r="AZ14" s="5" t="s">
        <v>255</v>
      </c>
    </row>
    <row r="15">
      <c r="A15" s="7">
        <v>45867.01180555556</v>
      </c>
      <c r="B15" s="7">
        <v>45867.02638888889</v>
      </c>
      <c r="C15" s="5" t="s">
        <v>99</v>
      </c>
      <c r="D15" s="5" t="s">
        <v>256</v>
      </c>
      <c r="E15" s="8">
        <v>100.0</v>
      </c>
      <c r="F15" s="8">
        <v>1275.0</v>
      </c>
      <c r="G15" s="9" t="b">
        <v>1</v>
      </c>
      <c r="H15" s="7">
        <v>45867.02638888889</v>
      </c>
      <c r="I15" s="5" t="s">
        <v>257</v>
      </c>
      <c r="K15" s="10"/>
      <c r="L15" s="10"/>
      <c r="M15" s="10"/>
      <c r="N15" s="8">
        <v>60.1816</v>
      </c>
      <c r="O15" s="8">
        <v>24.8368</v>
      </c>
      <c r="P15" s="5" t="s">
        <v>194</v>
      </c>
      <c r="Q15" s="5" t="s">
        <v>195</v>
      </c>
      <c r="R15" s="5" t="s">
        <v>258</v>
      </c>
      <c r="S15" s="5" t="s">
        <v>211</v>
      </c>
      <c r="T15" s="5" t="s">
        <v>198</v>
      </c>
      <c r="U15" s="5" t="s">
        <v>198</v>
      </c>
      <c r="V15" s="5" t="s">
        <v>199</v>
      </c>
      <c r="W15" s="5" t="s">
        <v>202</v>
      </c>
      <c r="X15" s="5" t="s">
        <v>201</v>
      </c>
      <c r="Y15" s="5" t="s">
        <v>203</v>
      </c>
      <c r="Z15" s="5" t="s">
        <v>204</v>
      </c>
      <c r="AA15" s="5" t="s">
        <v>208</v>
      </c>
      <c r="AB15" s="5" t="s">
        <v>201</v>
      </c>
      <c r="AC15" s="5" t="s">
        <v>201</v>
      </c>
      <c r="AD15" s="5" t="s">
        <v>202</v>
      </c>
      <c r="AE15" s="5" t="s">
        <v>204</v>
      </c>
      <c r="AF15" s="5" t="s">
        <v>203</v>
      </c>
      <c r="AG15" s="5" t="s">
        <v>200</v>
      </c>
      <c r="AH15" s="5" t="s">
        <v>201</v>
      </c>
      <c r="AI15" s="5" t="s">
        <v>259</v>
      </c>
      <c r="AJ15" s="5" t="s">
        <v>206</v>
      </c>
      <c r="AK15" s="5" t="s">
        <v>202</v>
      </c>
      <c r="AL15" s="5" t="s">
        <v>202</v>
      </c>
      <c r="AM15" s="5" t="s">
        <v>202</v>
      </c>
      <c r="AN15" s="5" t="s">
        <v>202</v>
      </c>
      <c r="AO15" s="5" t="s">
        <v>202</v>
      </c>
      <c r="AP15" s="5" t="s">
        <v>202</v>
      </c>
      <c r="AQ15" s="5" t="s">
        <v>260</v>
      </c>
      <c r="AR15" s="5" t="s">
        <v>206</v>
      </c>
      <c r="AS15" s="5" t="s">
        <v>200</v>
      </c>
      <c r="AT15" s="5" t="s">
        <v>201</v>
      </c>
      <c r="AU15" s="5" t="s">
        <v>201</v>
      </c>
      <c r="AV15" s="5" t="s">
        <v>204</v>
      </c>
      <c r="AW15" s="5" t="s">
        <v>204</v>
      </c>
      <c r="AX15" s="5" t="s">
        <v>204</v>
      </c>
      <c r="AY15" s="5" t="s">
        <v>204</v>
      </c>
      <c r="AZ15" s="5" t="s">
        <v>261</v>
      </c>
    </row>
    <row r="16">
      <c r="A16" s="7">
        <v>45867.01736111111</v>
      </c>
      <c r="B16" s="7">
        <v>45867.027083333334</v>
      </c>
      <c r="C16" s="5" t="s">
        <v>99</v>
      </c>
      <c r="D16" s="5" t="s">
        <v>192</v>
      </c>
      <c r="E16" s="8">
        <v>100.0</v>
      </c>
      <c r="F16" s="8">
        <v>859.0</v>
      </c>
      <c r="G16" s="9" t="b">
        <v>1</v>
      </c>
      <c r="H16" s="7">
        <v>45867.027083333334</v>
      </c>
      <c r="I16" s="5" t="s">
        <v>262</v>
      </c>
      <c r="K16" s="10"/>
      <c r="L16" s="10"/>
      <c r="M16" s="10"/>
      <c r="N16" s="8">
        <v>60.1816</v>
      </c>
      <c r="O16" s="8">
        <v>24.8368</v>
      </c>
      <c r="P16" s="5" t="s">
        <v>194</v>
      </c>
      <c r="Q16" s="5" t="s">
        <v>195</v>
      </c>
      <c r="R16" s="5" t="s">
        <v>239</v>
      </c>
      <c r="S16" s="5" t="s">
        <v>263</v>
      </c>
      <c r="T16" s="5" t="s">
        <v>202</v>
      </c>
      <c r="U16" s="5" t="s">
        <v>200</v>
      </c>
      <c r="V16" s="5" t="s">
        <v>199</v>
      </c>
      <c r="W16" s="5" t="s">
        <v>203</v>
      </c>
      <c r="X16" s="5" t="s">
        <v>200</v>
      </c>
      <c r="Y16" s="5" t="s">
        <v>201</v>
      </c>
      <c r="Z16" s="5" t="s">
        <v>198</v>
      </c>
      <c r="AA16" s="5" t="s">
        <v>203</v>
      </c>
      <c r="AB16" s="5" t="s">
        <v>202</v>
      </c>
      <c r="AC16" s="5" t="s">
        <v>201</v>
      </c>
      <c r="AD16" s="5" t="s">
        <v>201</v>
      </c>
      <c r="AE16" s="5" t="s">
        <v>200</v>
      </c>
      <c r="AF16" s="5" t="s">
        <v>201</v>
      </c>
      <c r="AG16" s="5" t="s">
        <v>201</v>
      </c>
      <c r="AH16" s="5" t="s">
        <v>203</v>
      </c>
      <c r="AI16" s="5" t="s">
        <v>264</v>
      </c>
      <c r="AJ16" s="5" t="s">
        <v>206</v>
      </c>
      <c r="AK16" s="5" t="s">
        <v>200</v>
      </c>
      <c r="AL16" s="5" t="s">
        <v>202</v>
      </c>
      <c r="AM16" s="5" t="s">
        <v>200</v>
      </c>
      <c r="AN16" s="5" t="s">
        <v>202</v>
      </c>
      <c r="AO16" s="5" t="s">
        <v>202</v>
      </c>
      <c r="AP16" s="5" t="s">
        <v>201</v>
      </c>
      <c r="AQ16" s="5" t="s">
        <v>265</v>
      </c>
      <c r="AR16" s="5" t="s">
        <v>206</v>
      </c>
      <c r="AS16" s="5" t="s">
        <v>202</v>
      </c>
      <c r="AT16" s="5" t="s">
        <v>201</v>
      </c>
      <c r="AU16" s="5" t="s">
        <v>201</v>
      </c>
      <c r="AV16" s="5" t="s">
        <v>208</v>
      </c>
      <c r="AW16" s="5" t="s">
        <v>204</v>
      </c>
      <c r="AX16" s="5" t="s">
        <v>204</v>
      </c>
      <c r="AY16" s="5" t="s">
        <v>204</v>
      </c>
      <c r="AZ16" s="5" t="s">
        <v>266</v>
      </c>
    </row>
    <row r="17">
      <c r="A17" s="7">
        <v>45867.03611111111</v>
      </c>
      <c r="B17" s="7">
        <v>45867.04583333333</v>
      </c>
      <c r="C17" s="5" t="s">
        <v>99</v>
      </c>
      <c r="D17" s="5" t="s">
        <v>256</v>
      </c>
      <c r="E17" s="8">
        <v>100.0</v>
      </c>
      <c r="F17" s="8">
        <v>821.0</v>
      </c>
      <c r="G17" s="9" t="b">
        <v>1</v>
      </c>
      <c r="H17" s="7">
        <v>45867.04583333333</v>
      </c>
      <c r="I17" s="5" t="s">
        <v>267</v>
      </c>
      <c r="L17" s="10"/>
      <c r="M17" s="10"/>
      <c r="N17" s="8">
        <v>60.1816</v>
      </c>
      <c r="O17" s="8">
        <v>24.8368</v>
      </c>
      <c r="P17" s="5" t="s">
        <v>194</v>
      </c>
      <c r="Q17" s="5" t="s">
        <v>195</v>
      </c>
      <c r="R17" s="5" t="s">
        <v>239</v>
      </c>
      <c r="S17" s="5" t="s">
        <v>211</v>
      </c>
      <c r="T17" s="5" t="s">
        <v>202</v>
      </c>
      <c r="U17" s="5" t="s">
        <v>198</v>
      </c>
      <c r="V17" s="5" t="s">
        <v>199</v>
      </c>
      <c r="W17" s="5" t="s">
        <v>202</v>
      </c>
      <c r="X17" s="5" t="s">
        <v>201</v>
      </c>
      <c r="Y17" s="5" t="s">
        <v>202</v>
      </c>
      <c r="Z17" s="5" t="s">
        <v>203</v>
      </c>
      <c r="AA17" s="5" t="s">
        <v>198</v>
      </c>
      <c r="AB17" s="5" t="s">
        <v>201</v>
      </c>
      <c r="AC17" s="5" t="s">
        <v>202</v>
      </c>
      <c r="AD17" s="5" t="s">
        <v>198</v>
      </c>
      <c r="AE17" s="5" t="s">
        <v>203</v>
      </c>
      <c r="AF17" s="5" t="s">
        <v>201</v>
      </c>
      <c r="AG17" s="5" t="s">
        <v>202</v>
      </c>
      <c r="AH17" s="5" t="s">
        <v>203</v>
      </c>
      <c r="AI17" s="5" t="s">
        <v>268</v>
      </c>
      <c r="AJ17" s="5" t="s">
        <v>206</v>
      </c>
      <c r="AK17" s="5" t="s">
        <v>203</v>
      </c>
      <c r="AL17" s="5" t="s">
        <v>200</v>
      </c>
      <c r="AM17" s="5" t="s">
        <v>203</v>
      </c>
      <c r="AN17" s="5" t="s">
        <v>198</v>
      </c>
      <c r="AO17" s="5" t="s">
        <v>203</v>
      </c>
      <c r="AP17" s="5" t="s">
        <v>198</v>
      </c>
      <c r="AQ17" s="5" t="s">
        <v>269</v>
      </c>
      <c r="AR17" s="5" t="s">
        <v>206</v>
      </c>
      <c r="AS17" s="5" t="s">
        <v>203</v>
      </c>
      <c r="AT17" s="5" t="s">
        <v>198</v>
      </c>
      <c r="AU17" s="5" t="s">
        <v>200</v>
      </c>
      <c r="AV17" s="5" t="s">
        <v>208</v>
      </c>
      <c r="AW17" s="5" t="s">
        <v>208</v>
      </c>
      <c r="AX17" s="5" t="s">
        <v>202</v>
      </c>
      <c r="AY17" s="5" t="s">
        <v>208</v>
      </c>
      <c r="AZ17" s="5" t="s">
        <v>270</v>
      </c>
    </row>
    <row r="18">
      <c r="A18" s="7">
        <v>45867.041666666664</v>
      </c>
      <c r="B18" s="7">
        <v>45867.05</v>
      </c>
      <c r="C18" s="5" t="s">
        <v>99</v>
      </c>
      <c r="D18" s="5" t="s">
        <v>192</v>
      </c>
      <c r="E18" s="8">
        <v>100.0</v>
      </c>
      <c r="F18" s="8">
        <v>741.0</v>
      </c>
      <c r="G18" s="9" t="b">
        <v>1</v>
      </c>
      <c r="H18" s="7">
        <v>45867.06041666667</v>
      </c>
      <c r="I18" s="5" t="s">
        <v>271</v>
      </c>
      <c r="K18" s="10"/>
      <c r="L18" s="10"/>
      <c r="M18" s="10"/>
      <c r="N18" s="8">
        <v>60.1816</v>
      </c>
      <c r="O18" s="8">
        <v>24.8368</v>
      </c>
      <c r="P18" s="5" t="s">
        <v>194</v>
      </c>
      <c r="Q18" s="5" t="s">
        <v>195</v>
      </c>
      <c r="R18" s="5" t="s">
        <v>258</v>
      </c>
      <c r="S18" s="5" t="s">
        <v>197</v>
      </c>
      <c r="T18" s="5" t="s">
        <v>202</v>
      </c>
      <c r="U18" s="5" t="s">
        <v>208</v>
      </c>
      <c r="V18" s="5" t="s">
        <v>199</v>
      </c>
      <c r="W18" s="5" t="s">
        <v>201</v>
      </c>
      <c r="X18" s="5" t="s">
        <v>201</v>
      </c>
      <c r="Y18" s="5" t="s">
        <v>201</v>
      </c>
      <c r="Z18" s="5" t="s">
        <v>204</v>
      </c>
      <c r="AA18" s="5" t="s">
        <v>198</v>
      </c>
      <c r="AB18" s="5" t="s">
        <v>201</v>
      </c>
      <c r="AC18" s="5" t="s">
        <v>201</v>
      </c>
      <c r="AD18" s="5" t="s">
        <v>201</v>
      </c>
      <c r="AE18" s="5" t="s">
        <v>204</v>
      </c>
      <c r="AF18" s="5" t="s">
        <v>204</v>
      </c>
      <c r="AG18" s="5" t="s">
        <v>201</v>
      </c>
      <c r="AH18" s="5" t="s">
        <v>201</v>
      </c>
      <c r="AI18" s="5" t="s">
        <v>272</v>
      </c>
      <c r="AJ18" s="5" t="s">
        <v>206</v>
      </c>
      <c r="AK18" s="5" t="s">
        <v>202</v>
      </c>
      <c r="AL18" s="5" t="s">
        <v>201</v>
      </c>
      <c r="AM18" s="5" t="s">
        <v>202</v>
      </c>
      <c r="AN18" s="5" t="s">
        <v>202</v>
      </c>
      <c r="AO18" s="5" t="s">
        <v>201</v>
      </c>
      <c r="AP18" s="5" t="s">
        <v>201</v>
      </c>
      <c r="AQ18" s="5" t="s">
        <v>273</v>
      </c>
      <c r="AR18" s="5" t="s">
        <v>206</v>
      </c>
      <c r="AS18" s="5" t="s">
        <v>201</v>
      </c>
      <c r="AT18" s="5" t="s">
        <v>202</v>
      </c>
      <c r="AU18" s="5" t="s">
        <v>201</v>
      </c>
      <c r="AV18" s="5" t="s">
        <v>198</v>
      </c>
      <c r="AW18" s="5" t="s">
        <v>198</v>
      </c>
      <c r="AX18" s="5" t="s">
        <v>201</v>
      </c>
      <c r="AY18" s="5" t="s">
        <v>208</v>
      </c>
      <c r="AZ18" s="5" t="s">
        <v>274</v>
      </c>
    </row>
    <row r="19">
      <c r="A19" s="7">
        <v>45867.055555555555</v>
      </c>
      <c r="B19" s="7">
        <v>45867.06180555555</v>
      </c>
      <c r="C19" s="5" t="s">
        <v>99</v>
      </c>
      <c r="D19" s="5" t="s">
        <v>192</v>
      </c>
      <c r="E19" s="8">
        <v>100.0</v>
      </c>
      <c r="F19" s="8">
        <v>538.0</v>
      </c>
      <c r="G19" s="9" t="b">
        <v>1</v>
      </c>
      <c r="H19" s="7">
        <v>45867.06180555555</v>
      </c>
      <c r="I19" s="5" t="s">
        <v>275</v>
      </c>
      <c r="K19" s="10"/>
      <c r="L19" s="10"/>
      <c r="M19" s="10"/>
      <c r="N19" s="8">
        <v>60.1816</v>
      </c>
      <c r="O19" s="8">
        <v>24.8368</v>
      </c>
      <c r="P19" s="5" t="s">
        <v>194</v>
      </c>
      <c r="Q19" s="5" t="s">
        <v>195</v>
      </c>
      <c r="R19" s="5" t="s">
        <v>258</v>
      </c>
      <c r="S19" s="5" t="s">
        <v>263</v>
      </c>
      <c r="T19" s="5" t="s">
        <v>200</v>
      </c>
      <c r="U19" s="5" t="s">
        <v>204</v>
      </c>
      <c r="V19" s="5" t="s">
        <v>199</v>
      </c>
      <c r="W19" s="5" t="s">
        <v>202</v>
      </c>
      <c r="X19" s="5" t="s">
        <v>201</v>
      </c>
      <c r="Y19" s="5" t="s">
        <v>202</v>
      </c>
      <c r="Z19" s="5" t="s">
        <v>204</v>
      </c>
      <c r="AA19" s="5" t="s">
        <v>204</v>
      </c>
      <c r="AB19" s="5" t="s">
        <v>201</v>
      </c>
      <c r="AC19" s="5" t="s">
        <v>202</v>
      </c>
      <c r="AD19" s="5" t="s">
        <v>201</v>
      </c>
      <c r="AE19" s="5" t="s">
        <v>208</v>
      </c>
      <c r="AF19" s="5" t="s">
        <v>204</v>
      </c>
      <c r="AG19" s="5" t="s">
        <v>201</v>
      </c>
      <c r="AH19" s="5" t="s">
        <v>204</v>
      </c>
      <c r="AI19" s="5" t="s">
        <v>276</v>
      </c>
      <c r="AJ19" s="5" t="s">
        <v>206</v>
      </c>
      <c r="AK19" s="5" t="s">
        <v>201</v>
      </c>
      <c r="AL19" s="5" t="s">
        <v>201</v>
      </c>
      <c r="AM19" s="5" t="s">
        <v>201</v>
      </c>
      <c r="AN19" s="5" t="s">
        <v>201</v>
      </c>
      <c r="AO19" s="5" t="s">
        <v>200</v>
      </c>
      <c r="AP19" s="5" t="s">
        <v>201</v>
      </c>
      <c r="AQ19" s="5" t="s">
        <v>277</v>
      </c>
      <c r="AR19" s="5" t="s">
        <v>206</v>
      </c>
      <c r="AS19" s="5" t="s">
        <v>201</v>
      </c>
      <c r="AT19" s="5" t="s">
        <v>201</v>
      </c>
      <c r="AU19" s="5" t="s">
        <v>202</v>
      </c>
      <c r="AV19" s="5" t="s">
        <v>208</v>
      </c>
      <c r="AW19" s="5" t="s">
        <v>208</v>
      </c>
      <c r="AX19" s="5" t="s">
        <v>201</v>
      </c>
      <c r="AY19" s="5" t="s">
        <v>208</v>
      </c>
      <c r="AZ19" s="5" t="s">
        <v>278</v>
      </c>
    </row>
    <row r="20">
      <c r="A20" s="7">
        <v>45867.05416666667</v>
      </c>
      <c r="B20" s="7">
        <v>45867.07361111111</v>
      </c>
      <c r="C20" s="5" t="s">
        <v>99</v>
      </c>
      <c r="D20" s="5" t="s">
        <v>256</v>
      </c>
      <c r="E20" s="8">
        <v>100.0</v>
      </c>
      <c r="F20" s="8">
        <v>1656.0</v>
      </c>
      <c r="G20" s="9" t="b">
        <v>1</v>
      </c>
      <c r="H20" s="7">
        <v>45867.07361111111</v>
      </c>
      <c r="I20" s="5" t="s">
        <v>279</v>
      </c>
      <c r="K20" s="10"/>
      <c r="L20" s="10"/>
      <c r="M20" s="10"/>
      <c r="N20" s="8">
        <v>60.1816</v>
      </c>
      <c r="O20" s="8">
        <v>24.8368</v>
      </c>
      <c r="P20" s="5" t="s">
        <v>194</v>
      </c>
      <c r="Q20" s="5" t="s">
        <v>195</v>
      </c>
      <c r="R20" s="5" t="s">
        <v>258</v>
      </c>
      <c r="S20" s="5" t="s">
        <v>216</v>
      </c>
      <c r="T20" s="5" t="s">
        <v>201</v>
      </c>
      <c r="U20" s="5" t="s">
        <v>204</v>
      </c>
      <c r="V20" s="5" t="s">
        <v>199</v>
      </c>
      <c r="W20" s="5" t="s">
        <v>201</v>
      </c>
      <c r="X20" s="5" t="s">
        <v>201</v>
      </c>
      <c r="Y20" s="5" t="s">
        <v>201</v>
      </c>
      <c r="Z20" s="5" t="s">
        <v>204</v>
      </c>
      <c r="AA20" s="5" t="s">
        <v>204</v>
      </c>
      <c r="AB20" s="5" t="s">
        <v>201</v>
      </c>
      <c r="AC20" s="5" t="s">
        <v>201</v>
      </c>
      <c r="AD20" s="5" t="s">
        <v>201</v>
      </c>
      <c r="AE20" s="5" t="s">
        <v>204</v>
      </c>
      <c r="AF20" s="5" t="s">
        <v>204</v>
      </c>
      <c r="AG20" s="5" t="s">
        <v>201</v>
      </c>
      <c r="AH20" s="5" t="s">
        <v>204</v>
      </c>
      <c r="AI20" s="5" t="s">
        <v>280</v>
      </c>
      <c r="AJ20" s="5" t="s">
        <v>206</v>
      </c>
      <c r="AK20" s="5" t="s">
        <v>201</v>
      </c>
      <c r="AL20" s="5" t="s">
        <v>202</v>
      </c>
      <c r="AM20" s="5" t="s">
        <v>201</v>
      </c>
      <c r="AN20" s="5" t="s">
        <v>201</v>
      </c>
      <c r="AO20" s="5" t="s">
        <v>202</v>
      </c>
      <c r="AP20" s="5" t="s">
        <v>201</v>
      </c>
      <c r="AQ20" s="5" t="s">
        <v>281</v>
      </c>
      <c r="AR20" s="5" t="s">
        <v>206</v>
      </c>
      <c r="AS20" s="5" t="s">
        <v>201</v>
      </c>
      <c r="AT20" s="5" t="s">
        <v>201</v>
      </c>
      <c r="AU20" s="5" t="s">
        <v>201</v>
      </c>
      <c r="AV20" s="5" t="s">
        <v>201</v>
      </c>
      <c r="AW20" s="5" t="s">
        <v>201</v>
      </c>
      <c r="AX20" s="5" t="s">
        <v>204</v>
      </c>
      <c r="AY20" s="5" t="s">
        <v>201</v>
      </c>
      <c r="AZ20" s="5" t="s">
        <v>282</v>
      </c>
    </row>
    <row r="21">
      <c r="A21" s="7">
        <v>45867.08611111111</v>
      </c>
      <c r="B21" s="7">
        <v>45867.095138888886</v>
      </c>
      <c r="C21" s="5" t="s">
        <v>99</v>
      </c>
      <c r="D21" s="5" t="s">
        <v>192</v>
      </c>
      <c r="E21" s="8">
        <v>100.0</v>
      </c>
      <c r="F21" s="8">
        <v>797.0</v>
      </c>
      <c r="G21" s="9" t="b">
        <v>1</v>
      </c>
      <c r="H21" s="7">
        <v>45867.095138888886</v>
      </c>
      <c r="I21" s="5" t="s">
        <v>283</v>
      </c>
      <c r="K21" s="10"/>
      <c r="L21" s="10"/>
      <c r="M21" s="10"/>
      <c r="N21" s="8">
        <v>60.1816</v>
      </c>
      <c r="O21" s="8">
        <v>24.8368</v>
      </c>
      <c r="P21" s="5" t="s">
        <v>194</v>
      </c>
      <c r="Q21" s="5" t="s">
        <v>195</v>
      </c>
      <c r="R21" s="5" t="s">
        <v>284</v>
      </c>
      <c r="S21" s="5" t="s">
        <v>263</v>
      </c>
      <c r="T21" s="5" t="s">
        <v>200</v>
      </c>
      <c r="U21" s="5" t="s">
        <v>202</v>
      </c>
      <c r="V21" s="5" t="s">
        <v>199</v>
      </c>
      <c r="W21" s="5" t="s">
        <v>202</v>
      </c>
      <c r="X21" s="5" t="s">
        <v>208</v>
      </c>
      <c r="Y21" s="5" t="s">
        <v>208</v>
      </c>
      <c r="Z21" s="5" t="s">
        <v>202</v>
      </c>
      <c r="AA21" s="5" t="s">
        <v>198</v>
      </c>
      <c r="AB21" s="5" t="s">
        <v>202</v>
      </c>
      <c r="AC21" s="5" t="s">
        <v>202</v>
      </c>
      <c r="AD21" s="5" t="s">
        <v>198</v>
      </c>
      <c r="AE21" s="5" t="s">
        <v>208</v>
      </c>
      <c r="AF21" s="5" t="s">
        <v>202</v>
      </c>
      <c r="AG21" s="5" t="s">
        <v>202</v>
      </c>
      <c r="AH21" s="5" t="s">
        <v>200</v>
      </c>
      <c r="AI21" s="5" t="s">
        <v>285</v>
      </c>
      <c r="AJ21" s="5" t="s">
        <v>206</v>
      </c>
      <c r="AK21" s="5" t="s">
        <v>203</v>
      </c>
      <c r="AL21" s="5" t="s">
        <v>202</v>
      </c>
      <c r="AM21" s="5" t="s">
        <v>202</v>
      </c>
      <c r="AN21" s="5" t="s">
        <v>202</v>
      </c>
      <c r="AO21" s="5" t="s">
        <v>200</v>
      </c>
      <c r="AP21" s="5" t="s">
        <v>208</v>
      </c>
      <c r="AQ21" s="5" t="s">
        <v>286</v>
      </c>
      <c r="AR21" s="5" t="s">
        <v>206</v>
      </c>
      <c r="AS21" s="5" t="s">
        <v>202</v>
      </c>
      <c r="AT21" s="5" t="s">
        <v>198</v>
      </c>
      <c r="AU21" s="5" t="s">
        <v>202</v>
      </c>
      <c r="AV21" s="5" t="s">
        <v>204</v>
      </c>
      <c r="AW21" s="5" t="s">
        <v>208</v>
      </c>
      <c r="AX21" s="5" t="s">
        <v>200</v>
      </c>
      <c r="AY21" s="5" t="s">
        <v>204</v>
      </c>
      <c r="AZ21" s="5" t="s">
        <v>287</v>
      </c>
    </row>
    <row r="22">
      <c r="A22" s="7">
        <v>45867.08125</v>
      </c>
      <c r="B22" s="7">
        <v>45867.09652777778</v>
      </c>
      <c r="C22" s="5" t="s">
        <v>99</v>
      </c>
      <c r="D22" s="5" t="s">
        <v>256</v>
      </c>
      <c r="E22" s="8">
        <v>100.0</v>
      </c>
      <c r="F22" s="8">
        <v>1356.0</v>
      </c>
      <c r="G22" s="9" t="b">
        <v>1</v>
      </c>
      <c r="H22" s="7">
        <v>45867.09652777778</v>
      </c>
      <c r="I22" s="5" t="s">
        <v>288</v>
      </c>
      <c r="L22" s="10"/>
      <c r="M22" s="10"/>
      <c r="N22" s="8">
        <v>60.1816</v>
      </c>
      <c r="O22" s="8">
        <v>24.8368</v>
      </c>
      <c r="P22" s="5" t="s">
        <v>194</v>
      </c>
      <c r="Q22" s="5" t="s">
        <v>195</v>
      </c>
      <c r="R22" s="5" t="s">
        <v>289</v>
      </c>
      <c r="S22" s="5" t="s">
        <v>216</v>
      </c>
      <c r="T22" s="5" t="s">
        <v>202</v>
      </c>
      <c r="U22" s="5" t="s">
        <v>200</v>
      </c>
      <c r="V22" s="5" t="s">
        <v>199</v>
      </c>
      <c r="W22" s="5" t="s">
        <v>202</v>
      </c>
      <c r="X22" s="5" t="s">
        <v>201</v>
      </c>
      <c r="Y22" s="5" t="s">
        <v>202</v>
      </c>
      <c r="Z22" s="5" t="s">
        <v>203</v>
      </c>
      <c r="AA22" s="5" t="s">
        <v>202</v>
      </c>
      <c r="AB22" s="5" t="s">
        <v>202</v>
      </c>
      <c r="AC22" s="5" t="s">
        <v>202</v>
      </c>
      <c r="AD22" s="5" t="s">
        <v>201</v>
      </c>
      <c r="AE22" s="5" t="s">
        <v>208</v>
      </c>
      <c r="AF22" s="5" t="s">
        <v>208</v>
      </c>
      <c r="AG22" s="5" t="s">
        <v>201</v>
      </c>
      <c r="AH22" s="5" t="s">
        <v>203</v>
      </c>
      <c r="AI22" s="5" t="s">
        <v>290</v>
      </c>
      <c r="AJ22" s="5" t="s">
        <v>206</v>
      </c>
      <c r="AK22" s="5" t="s">
        <v>203</v>
      </c>
      <c r="AL22" s="5" t="s">
        <v>200</v>
      </c>
      <c r="AM22" s="5" t="s">
        <v>202</v>
      </c>
      <c r="AN22" s="5" t="s">
        <v>200</v>
      </c>
      <c r="AO22" s="5" t="s">
        <v>202</v>
      </c>
      <c r="AP22" s="5" t="s">
        <v>202</v>
      </c>
      <c r="AQ22" s="5" t="s">
        <v>291</v>
      </c>
      <c r="AR22" s="5" t="s">
        <v>206</v>
      </c>
      <c r="AS22" s="5" t="s">
        <v>202</v>
      </c>
      <c r="AT22" s="5" t="s">
        <v>201</v>
      </c>
      <c r="AU22" s="5" t="s">
        <v>201</v>
      </c>
      <c r="AV22" s="5" t="s">
        <v>204</v>
      </c>
      <c r="AW22" s="5" t="s">
        <v>204</v>
      </c>
      <c r="AX22" s="5" t="s">
        <v>204</v>
      </c>
      <c r="AY22" s="5" t="s">
        <v>204</v>
      </c>
      <c r="AZ22" s="5" t="s">
        <v>292</v>
      </c>
    </row>
    <row r="23">
      <c r="A23" s="7">
        <v>45867.09722222222</v>
      </c>
      <c r="B23" s="7">
        <v>45867.10902777778</v>
      </c>
      <c r="C23" s="5" t="s">
        <v>99</v>
      </c>
      <c r="D23" s="5" t="s">
        <v>256</v>
      </c>
      <c r="E23" s="8">
        <v>100.0</v>
      </c>
      <c r="F23" s="8">
        <v>986.0</v>
      </c>
      <c r="G23" s="9" t="b">
        <v>1</v>
      </c>
      <c r="H23" s="7">
        <v>45867.10902777778</v>
      </c>
      <c r="I23" s="5" t="s">
        <v>293</v>
      </c>
      <c r="K23" s="10"/>
      <c r="L23" s="10"/>
      <c r="M23" s="10"/>
      <c r="N23" s="8">
        <v>60.1816</v>
      </c>
      <c r="O23" s="8">
        <v>24.8368</v>
      </c>
      <c r="P23" s="5" t="s">
        <v>194</v>
      </c>
      <c r="Q23" s="5" t="s">
        <v>195</v>
      </c>
      <c r="R23" s="5" t="s">
        <v>284</v>
      </c>
      <c r="S23" s="5" t="s">
        <v>211</v>
      </c>
      <c r="T23" s="5" t="s">
        <v>198</v>
      </c>
      <c r="U23" s="5" t="s">
        <v>198</v>
      </c>
      <c r="V23" s="5" t="s">
        <v>199</v>
      </c>
      <c r="W23" s="5" t="s">
        <v>200</v>
      </c>
      <c r="X23" s="5" t="s">
        <v>200</v>
      </c>
      <c r="Y23" s="5" t="s">
        <v>208</v>
      </c>
      <c r="Z23" s="5" t="s">
        <v>198</v>
      </c>
      <c r="AA23" s="5" t="s">
        <v>198</v>
      </c>
      <c r="AB23" s="5" t="s">
        <v>202</v>
      </c>
      <c r="AC23" s="5" t="s">
        <v>200</v>
      </c>
      <c r="AD23" s="5" t="s">
        <v>202</v>
      </c>
      <c r="AE23" s="5" t="s">
        <v>208</v>
      </c>
      <c r="AF23" s="5" t="s">
        <v>198</v>
      </c>
      <c r="AG23" s="5" t="s">
        <v>202</v>
      </c>
      <c r="AH23" s="5" t="s">
        <v>202</v>
      </c>
      <c r="AI23" s="5" t="s">
        <v>294</v>
      </c>
      <c r="AJ23" s="5" t="s">
        <v>206</v>
      </c>
      <c r="AK23" s="5" t="s">
        <v>198</v>
      </c>
      <c r="AL23" s="5" t="s">
        <v>200</v>
      </c>
      <c r="AM23" s="5" t="s">
        <v>200</v>
      </c>
      <c r="AN23" s="5" t="s">
        <v>200</v>
      </c>
      <c r="AO23" s="5" t="s">
        <v>200</v>
      </c>
      <c r="AP23" s="5" t="s">
        <v>200</v>
      </c>
      <c r="AQ23" s="5" t="s">
        <v>295</v>
      </c>
      <c r="AR23" s="5" t="s">
        <v>206</v>
      </c>
      <c r="AS23" s="5" t="s">
        <v>200</v>
      </c>
      <c r="AT23" s="5" t="s">
        <v>200</v>
      </c>
      <c r="AU23" s="5" t="s">
        <v>200</v>
      </c>
      <c r="AV23" s="5" t="s">
        <v>208</v>
      </c>
      <c r="AW23" s="5" t="s">
        <v>208</v>
      </c>
      <c r="AX23" s="5" t="s">
        <v>208</v>
      </c>
      <c r="AY23" s="5" t="s">
        <v>204</v>
      </c>
      <c r="AZ23" s="5" t="s">
        <v>296</v>
      </c>
    </row>
    <row r="24">
      <c r="A24" s="7">
        <v>45867.10555555556</v>
      </c>
      <c r="B24" s="7">
        <v>45867.11041666667</v>
      </c>
      <c r="C24" s="5" t="s">
        <v>99</v>
      </c>
      <c r="D24" s="5" t="s">
        <v>192</v>
      </c>
      <c r="E24" s="8">
        <v>100.0</v>
      </c>
      <c r="F24" s="8">
        <v>401.0</v>
      </c>
      <c r="G24" s="9" t="b">
        <v>1</v>
      </c>
      <c r="H24" s="7">
        <v>45867.11041666667</v>
      </c>
      <c r="I24" s="5" t="s">
        <v>297</v>
      </c>
      <c r="K24" s="10"/>
      <c r="L24" s="10"/>
      <c r="M24" s="10"/>
      <c r="N24" s="8">
        <v>60.1816</v>
      </c>
      <c r="O24" s="8">
        <v>24.8368</v>
      </c>
      <c r="P24" s="5" t="s">
        <v>194</v>
      </c>
      <c r="Q24" s="5" t="s">
        <v>195</v>
      </c>
      <c r="R24" s="5" t="s">
        <v>289</v>
      </c>
      <c r="S24" s="5" t="s">
        <v>197</v>
      </c>
      <c r="T24" s="5" t="s">
        <v>201</v>
      </c>
      <c r="U24" s="5" t="s">
        <v>202</v>
      </c>
      <c r="V24" s="5" t="s">
        <v>199</v>
      </c>
      <c r="W24" s="5" t="s">
        <v>202</v>
      </c>
      <c r="X24" s="5" t="s">
        <v>201</v>
      </c>
      <c r="Y24" s="5" t="s">
        <v>200</v>
      </c>
      <c r="Z24" s="5" t="s">
        <v>201</v>
      </c>
      <c r="AA24" s="5" t="s">
        <v>201</v>
      </c>
      <c r="AB24" s="5" t="s">
        <v>201</v>
      </c>
      <c r="AC24" s="5" t="s">
        <v>202</v>
      </c>
      <c r="AD24" s="5" t="s">
        <v>202</v>
      </c>
      <c r="AE24" s="5" t="s">
        <v>198</v>
      </c>
      <c r="AF24" s="5" t="s">
        <v>203</v>
      </c>
      <c r="AG24" s="5" t="s">
        <v>201</v>
      </c>
      <c r="AH24" s="5" t="s">
        <v>202</v>
      </c>
      <c r="AI24" s="5" t="s">
        <v>298</v>
      </c>
      <c r="AJ24" s="5" t="s">
        <v>206</v>
      </c>
      <c r="AK24" s="5" t="s">
        <v>202</v>
      </c>
      <c r="AL24" s="5" t="s">
        <v>202</v>
      </c>
      <c r="AM24" s="5" t="s">
        <v>201</v>
      </c>
      <c r="AN24" s="5" t="s">
        <v>201</v>
      </c>
      <c r="AO24" s="5" t="s">
        <v>201</v>
      </c>
      <c r="AP24" s="5" t="s">
        <v>200</v>
      </c>
      <c r="AQ24" s="5" t="s">
        <v>299</v>
      </c>
      <c r="AR24" s="5" t="s">
        <v>206</v>
      </c>
      <c r="AS24" s="5" t="s">
        <v>202</v>
      </c>
      <c r="AT24" s="5" t="s">
        <v>200</v>
      </c>
      <c r="AU24" s="5" t="s">
        <v>201</v>
      </c>
      <c r="AV24" s="5" t="s">
        <v>208</v>
      </c>
      <c r="AW24" s="5" t="s">
        <v>204</v>
      </c>
      <c r="AX24" s="5" t="s">
        <v>198</v>
      </c>
      <c r="AY24" s="5" t="s">
        <v>208</v>
      </c>
      <c r="AZ24" s="5" t="s">
        <v>300</v>
      </c>
    </row>
    <row r="25">
      <c r="A25" s="7">
        <v>45867.10972222222</v>
      </c>
      <c r="B25" s="7">
        <v>45867.11944444444</v>
      </c>
      <c r="C25" s="5" t="s">
        <v>99</v>
      </c>
      <c r="D25" s="5" t="s">
        <v>256</v>
      </c>
      <c r="E25" s="8">
        <v>100.0</v>
      </c>
      <c r="F25" s="8">
        <v>845.0</v>
      </c>
      <c r="G25" s="9" t="b">
        <v>1</v>
      </c>
      <c r="H25" s="7">
        <v>45867.11944444444</v>
      </c>
      <c r="I25" s="5" t="s">
        <v>301</v>
      </c>
      <c r="K25" s="10"/>
      <c r="L25" s="10"/>
      <c r="M25" s="10"/>
      <c r="N25" s="8">
        <v>60.1816</v>
      </c>
      <c r="O25" s="8">
        <v>24.8368</v>
      </c>
      <c r="P25" s="5" t="s">
        <v>194</v>
      </c>
      <c r="Q25" s="5" t="s">
        <v>195</v>
      </c>
      <c r="R25" s="5" t="s">
        <v>284</v>
      </c>
      <c r="S25" s="5" t="s">
        <v>216</v>
      </c>
      <c r="T25" s="5" t="s">
        <v>198</v>
      </c>
      <c r="U25" s="5" t="s">
        <v>208</v>
      </c>
      <c r="V25" s="5" t="s">
        <v>199</v>
      </c>
      <c r="W25" s="5" t="s">
        <v>200</v>
      </c>
      <c r="X25" s="5" t="s">
        <v>198</v>
      </c>
      <c r="Y25" s="5" t="s">
        <v>198</v>
      </c>
      <c r="Z25" s="5" t="s">
        <v>198</v>
      </c>
      <c r="AA25" s="5" t="s">
        <v>198</v>
      </c>
      <c r="AB25" s="5" t="s">
        <v>202</v>
      </c>
      <c r="AC25" s="5" t="s">
        <v>202</v>
      </c>
      <c r="AD25" s="5" t="s">
        <v>202</v>
      </c>
      <c r="AE25" s="5" t="s">
        <v>208</v>
      </c>
      <c r="AF25" s="5" t="s">
        <v>198</v>
      </c>
      <c r="AG25" s="5" t="s">
        <v>202</v>
      </c>
      <c r="AH25" s="5" t="s">
        <v>200</v>
      </c>
      <c r="AI25" s="5" t="s">
        <v>302</v>
      </c>
      <c r="AJ25" s="5" t="s">
        <v>206</v>
      </c>
      <c r="AK25" s="5" t="s">
        <v>200</v>
      </c>
      <c r="AL25" s="5" t="s">
        <v>202</v>
      </c>
      <c r="AM25" s="5" t="s">
        <v>202</v>
      </c>
      <c r="AN25" s="5" t="s">
        <v>202</v>
      </c>
      <c r="AO25" s="5" t="s">
        <v>200</v>
      </c>
      <c r="AP25" s="5" t="s">
        <v>200</v>
      </c>
      <c r="AQ25" s="5" t="s">
        <v>303</v>
      </c>
      <c r="AR25" s="5" t="s">
        <v>206</v>
      </c>
      <c r="AS25" s="5" t="s">
        <v>202</v>
      </c>
      <c r="AT25" s="5" t="s">
        <v>202</v>
      </c>
      <c r="AU25" s="5" t="s">
        <v>198</v>
      </c>
      <c r="AV25" s="5" t="s">
        <v>208</v>
      </c>
      <c r="AW25" s="5" t="s">
        <v>208</v>
      </c>
      <c r="AX25" s="5" t="s">
        <v>208</v>
      </c>
      <c r="AY25" s="5" t="s">
        <v>204</v>
      </c>
      <c r="AZ25" s="5" t="s">
        <v>304</v>
      </c>
    </row>
    <row r="26">
      <c r="A26" s="7">
        <v>45867.11666666667</v>
      </c>
      <c r="B26" s="7">
        <v>45867.12013888889</v>
      </c>
      <c r="C26" s="5" t="s">
        <v>99</v>
      </c>
      <c r="D26" s="5" t="s">
        <v>192</v>
      </c>
      <c r="E26" s="8">
        <v>100.0</v>
      </c>
      <c r="F26" s="8">
        <v>341.0</v>
      </c>
      <c r="G26" s="9" t="b">
        <v>1</v>
      </c>
      <c r="H26" s="7">
        <v>45867.12013888889</v>
      </c>
      <c r="I26" s="5" t="s">
        <v>305</v>
      </c>
      <c r="K26" s="10"/>
      <c r="L26" s="10"/>
      <c r="M26" s="10"/>
      <c r="N26" s="8">
        <v>60.1816</v>
      </c>
      <c r="O26" s="8">
        <v>24.8368</v>
      </c>
      <c r="P26" s="5" t="s">
        <v>194</v>
      </c>
      <c r="Q26" s="5" t="s">
        <v>195</v>
      </c>
      <c r="R26" s="5" t="s">
        <v>289</v>
      </c>
      <c r="S26" s="5" t="s">
        <v>263</v>
      </c>
      <c r="T26" s="5" t="s">
        <v>201</v>
      </c>
      <c r="U26" s="5" t="s">
        <v>200</v>
      </c>
      <c r="V26" s="5" t="s">
        <v>199</v>
      </c>
      <c r="W26" s="5" t="s">
        <v>201</v>
      </c>
      <c r="X26" s="5" t="s">
        <v>201</v>
      </c>
      <c r="Y26" s="5" t="s">
        <v>201</v>
      </c>
      <c r="Z26" s="5" t="s">
        <v>200</v>
      </c>
      <c r="AA26" s="5" t="s">
        <v>201</v>
      </c>
      <c r="AB26" s="5" t="s">
        <v>202</v>
      </c>
      <c r="AC26" s="5" t="s">
        <v>202</v>
      </c>
      <c r="AD26" s="5" t="s">
        <v>200</v>
      </c>
      <c r="AE26" s="5" t="s">
        <v>202</v>
      </c>
      <c r="AF26" s="5" t="s">
        <v>203</v>
      </c>
      <c r="AG26" s="5" t="s">
        <v>202</v>
      </c>
      <c r="AH26" s="5" t="s">
        <v>208</v>
      </c>
      <c r="AI26" s="5" t="s">
        <v>306</v>
      </c>
      <c r="AJ26" s="5" t="s">
        <v>206</v>
      </c>
      <c r="AK26" s="5" t="s">
        <v>202</v>
      </c>
      <c r="AL26" s="5" t="s">
        <v>201</v>
      </c>
      <c r="AM26" s="5" t="s">
        <v>201</v>
      </c>
      <c r="AN26" s="5" t="s">
        <v>201</v>
      </c>
      <c r="AO26" s="5" t="s">
        <v>201</v>
      </c>
      <c r="AP26" s="5" t="s">
        <v>202</v>
      </c>
      <c r="AQ26" s="5" t="s">
        <v>307</v>
      </c>
      <c r="AR26" s="5" t="s">
        <v>206</v>
      </c>
      <c r="AS26" s="5" t="s">
        <v>201</v>
      </c>
      <c r="AT26" s="5" t="s">
        <v>202</v>
      </c>
      <c r="AU26" s="5" t="s">
        <v>201</v>
      </c>
      <c r="AV26" s="5" t="s">
        <v>208</v>
      </c>
      <c r="AW26" s="5" t="s">
        <v>204</v>
      </c>
      <c r="AX26" s="5" t="s">
        <v>204</v>
      </c>
      <c r="AY26" s="5" t="s">
        <v>204</v>
      </c>
      <c r="AZ26" s="5" t="s">
        <v>308</v>
      </c>
    </row>
    <row r="27">
      <c r="A27" s="7">
        <v>45867.123611111114</v>
      </c>
      <c r="B27" s="7">
        <v>45867.12847222222</v>
      </c>
      <c r="C27" s="5" t="s">
        <v>99</v>
      </c>
      <c r="D27" s="5" t="s">
        <v>256</v>
      </c>
      <c r="E27" s="8">
        <v>100.0</v>
      </c>
      <c r="F27" s="8">
        <v>465.0</v>
      </c>
      <c r="G27" s="9" t="b">
        <v>1</v>
      </c>
      <c r="H27" s="7">
        <v>45867.12847222222</v>
      </c>
      <c r="I27" s="5" t="s">
        <v>309</v>
      </c>
      <c r="K27" s="10"/>
      <c r="L27" s="10"/>
      <c r="M27" s="10"/>
      <c r="N27" s="8">
        <v>60.1816</v>
      </c>
      <c r="O27" s="8">
        <v>24.8368</v>
      </c>
      <c r="P27" s="5" t="s">
        <v>194</v>
      </c>
      <c r="Q27" s="5" t="s">
        <v>195</v>
      </c>
      <c r="R27" s="5" t="s">
        <v>289</v>
      </c>
      <c r="S27" s="5" t="s">
        <v>216</v>
      </c>
      <c r="T27" s="5" t="s">
        <v>201</v>
      </c>
      <c r="U27" s="5" t="s">
        <v>202</v>
      </c>
      <c r="V27" s="5" t="s">
        <v>199</v>
      </c>
      <c r="W27" s="5" t="s">
        <v>201</v>
      </c>
      <c r="X27" s="5" t="s">
        <v>201</v>
      </c>
      <c r="Y27" s="5" t="s">
        <v>202</v>
      </c>
      <c r="Z27" s="5" t="s">
        <v>201</v>
      </c>
      <c r="AA27" s="5" t="s">
        <v>201</v>
      </c>
      <c r="AB27" s="5" t="s">
        <v>201</v>
      </c>
      <c r="AC27" s="5" t="s">
        <v>201</v>
      </c>
      <c r="AD27" s="5" t="s">
        <v>201</v>
      </c>
      <c r="AE27" s="5" t="s">
        <v>202</v>
      </c>
      <c r="AF27" s="5" t="s">
        <v>203</v>
      </c>
      <c r="AG27" s="5" t="s">
        <v>201</v>
      </c>
      <c r="AH27" s="5" t="s">
        <v>202</v>
      </c>
      <c r="AI27" s="5" t="s">
        <v>310</v>
      </c>
      <c r="AJ27" s="5" t="s">
        <v>206</v>
      </c>
      <c r="AK27" s="5" t="s">
        <v>201</v>
      </c>
      <c r="AL27" s="5" t="s">
        <v>202</v>
      </c>
      <c r="AM27" s="5" t="s">
        <v>202</v>
      </c>
      <c r="AN27" s="5" t="s">
        <v>202</v>
      </c>
      <c r="AO27" s="5" t="s">
        <v>201</v>
      </c>
      <c r="AP27" s="5" t="s">
        <v>202</v>
      </c>
      <c r="AQ27" s="5" t="s">
        <v>311</v>
      </c>
      <c r="AR27" s="5" t="s">
        <v>206</v>
      </c>
      <c r="AS27" s="5" t="s">
        <v>202</v>
      </c>
      <c r="AT27" s="5" t="s">
        <v>201</v>
      </c>
      <c r="AU27" s="5" t="s">
        <v>201</v>
      </c>
      <c r="AV27" s="5" t="s">
        <v>204</v>
      </c>
      <c r="AW27" s="5" t="s">
        <v>204</v>
      </c>
      <c r="AX27" s="5" t="s">
        <v>204</v>
      </c>
      <c r="AY27" s="5" t="s">
        <v>204</v>
      </c>
      <c r="AZ27" s="5" t="s">
        <v>312</v>
      </c>
    </row>
    <row r="28">
      <c r="A28" s="7">
        <v>45867.12569444445</v>
      </c>
      <c r="B28" s="7">
        <v>45867.131944444445</v>
      </c>
      <c r="C28" s="5" t="s">
        <v>99</v>
      </c>
      <c r="D28" s="5" t="s">
        <v>192</v>
      </c>
      <c r="E28" s="8">
        <v>100.0</v>
      </c>
      <c r="F28" s="8">
        <v>559.0</v>
      </c>
      <c r="G28" s="9" t="b">
        <v>1</v>
      </c>
      <c r="H28" s="7">
        <v>45867.131944444445</v>
      </c>
      <c r="I28" s="5" t="s">
        <v>313</v>
      </c>
      <c r="K28" s="10"/>
      <c r="L28" s="10"/>
      <c r="M28" s="10"/>
      <c r="N28" s="8">
        <v>60.1816</v>
      </c>
      <c r="O28" s="8">
        <v>24.8368</v>
      </c>
      <c r="P28" s="5" t="s">
        <v>194</v>
      </c>
      <c r="Q28" s="5" t="s">
        <v>195</v>
      </c>
      <c r="R28" s="5" t="s">
        <v>284</v>
      </c>
      <c r="S28" s="5" t="s">
        <v>197</v>
      </c>
      <c r="T28" s="5" t="s">
        <v>202</v>
      </c>
      <c r="U28" s="5" t="s">
        <v>203</v>
      </c>
      <c r="V28" s="5" t="s">
        <v>199</v>
      </c>
      <c r="W28" s="5" t="s">
        <v>200</v>
      </c>
      <c r="X28" s="5" t="s">
        <v>202</v>
      </c>
      <c r="Y28" s="5" t="s">
        <v>208</v>
      </c>
      <c r="Z28" s="5" t="s">
        <v>198</v>
      </c>
      <c r="AA28" s="5" t="s">
        <v>208</v>
      </c>
      <c r="AB28" s="5" t="s">
        <v>202</v>
      </c>
      <c r="AC28" s="5" t="s">
        <v>202</v>
      </c>
      <c r="AD28" s="5" t="s">
        <v>202</v>
      </c>
      <c r="AE28" s="5" t="s">
        <v>208</v>
      </c>
      <c r="AF28" s="5" t="s">
        <v>208</v>
      </c>
      <c r="AG28" s="5" t="s">
        <v>208</v>
      </c>
      <c r="AH28" s="5" t="s">
        <v>200</v>
      </c>
      <c r="AI28" s="5" t="s">
        <v>314</v>
      </c>
      <c r="AJ28" s="5" t="s">
        <v>206</v>
      </c>
      <c r="AK28" s="5" t="s">
        <v>202</v>
      </c>
      <c r="AL28" s="5" t="s">
        <v>202</v>
      </c>
      <c r="AM28" s="5" t="s">
        <v>202</v>
      </c>
      <c r="AN28" s="5" t="s">
        <v>202</v>
      </c>
      <c r="AO28" s="5" t="s">
        <v>202</v>
      </c>
      <c r="AP28" s="5" t="s">
        <v>200</v>
      </c>
      <c r="AQ28" s="5" t="s">
        <v>315</v>
      </c>
      <c r="AR28" s="5" t="s">
        <v>206</v>
      </c>
      <c r="AS28" s="5" t="s">
        <v>202</v>
      </c>
      <c r="AT28" s="5" t="s">
        <v>202</v>
      </c>
      <c r="AU28" s="5" t="s">
        <v>200</v>
      </c>
      <c r="AV28" s="5" t="s">
        <v>208</v>
      </c>
      <c r="AW28" s="5" t="s">
        <v>203</v>
      </c>
      <c r="AX28" s="5" t="s">
        <v>200</v>
      </c>
      <c r="AY28" s="5" t="s">
        <v>208</v>
      </c>
      <c r="AZ28" s="5" t="s">
        <v>316</v>
      </c>
    </row>
    <row r="29">
      <c r="A29" s="7">
        <v>45867.20277777778</v>
      </c>
      <c r="B29" s="7">
        <v>45867.2125</v>
      </c>
      <c r="C29" s="5" t="s">
        <v>99</v>
      </c>
      <c r="D29" s="5" t="s">
        <v>192</v>
      </c>
      <c r="E29" s="8">
        <v>100.0</v>
      </c>
      <c r="F29" s="8">
        <v>845.0</v>
      </c>
      <c r="G29" s="9" t="b">
        <v>1</v>
      </c>
      <c r="H29" s="7">
        <v>45867.2125</v>
      </c>
      <c r="I29" s="5" t="s">
        <v>317</v>
      </c>
      <c r="K29" s="10"/>
      <c r="L29" s="10"/>
      <c r="M29" s="10"/>
      <c r="N29" s="8">
        <v>60.1816</v>
      </c>
      <c r="O29" s="8">
        <v>24.8368</v>
      </c>
      <c r="P29" s="5" t="s">
        <v>194</v>
      </c>
      <c r="Q29" s="5" t="s">
        <v>195</v>
      </c>
      <c r="R29" s="5" t="s">
        <v>318</v>
      </c>
      <c r="S29" s="5" t="s">
        <v>197</v>
      </c>
      <c r="T29" s="5" t="s">
        <v>198</v>
      </c>
      <c r="U29" s="5" t="s">
        <v>208</v>
      </c>
      <c r="V29" s="5" t="s">
        <v>199</v>
      </c>
      <c r="W29" s="5" t="s">
        <v>198</v>
      </c>
      <c r="X29" s="5" t="s">
        <v>200</v>
      </c>
      <c r="Y29" s="5" t="s">
        <v>198</v>
      </c>
      <c r="Z29" s="5" t="s">
        <v>203</v>
      </c>
      <c r="AA29" s="5" t="s">
        <v>198</v>
      </c>
      <c r="AB29" s="5" t="s">
        <v>200</v>
      </c>
      <c r="AC29" s="5" t="s">
        <v>202</v>
      </c>
      <c r="AD29" s="5" t="s">
        <v>203</v>
      </c>
      <c r="AE29" s="5" t="s">
        <v>208</v>
      </c>
      <c r="AF29" s="5" t="s">
        <v>204</v>
      </c>
      <c r="AG29" s="5" t="s">
        <v>203</v>
      </c>
      <c r="AH29" s="5" t="s">
        <v>202</v>
      </c>
      <c r="AI29" s="5" t="s">
        <v>319</v>
      </c>
      <c r="AJ29" s="5" t="s">
        <v>206</v>
      </c>
      <c r="AK29" s="5" t="s">
        <v>198</v>
      </c>
      <c r="AL29" s="5" t="s">
        <v>200</v>
      </c>
      <c r="AM29" s="5" t="s">
        <v>200</v>
      </c>
      <c r="AN29" s="5" t="s">
        <v>202</v>
      </c>
      <c r="AO29" s="5" t="s">
        <v>200</v>
      </c>
      <c r="AP29" s="5" t="s">
        <v>202</v>
      </c>
      <c r="AQ29" s="5" t="s">
        <v>320</v>
      </c>
      <c r="AR29" s="5" t="s">
        <v>206</v>
      </c>
      <c r="AS29" s="5" t="s">
        <v>200</v>
      </c>
      <c r="AT29" s="5" t="s">
        <v>202</v>
      </c>
      <c r="AU29" s="5" t="s">
        <v>202</v>
      </c>
      <c r="AV29" s="5" t="s">
        <v>204</v>
      </c>
      <c r="AW29" s="5" t="s">
        <v>204</v>
      </c>
      <c r="AX29" s="5" t="s">
        <v>204</v>
      </c>
      <c r="AY29" s="5" t="s">
        <v>204</v>
      </c>
      <c r="AZ29" s="5" t="s">
        <v>321</v>
      </c>
    </row>
    <row r="30">
      <c r="A30" s="7">
        <v>45867.21805555555</v>
      </c>
      <c r="B30" s="7">
        <v>45867.22222222222</v>
      </c>
      <c r="C30" s="5" t="s">
        <v>99</v>
      </c>
      <c r="D30" s="5" t="s">
        <v>256</v>
      </c>
      <c r="E30" s="8">
        <v>100.0</v>
      </c>
      <c r="F30" s="8">
        <v>353.0</v>
      </c>
      <c r="G30" s="9" t="b">
        <v>1</v>
      </c>
      <c r="H30" s="7">
        <v>45867.22222222222</v>
      </c>
      <c r="I30" s="5" t="s">
        <v>322</v>
      </c>
      <c r="K30" s="10"/>
      <c r="L30" s="10"/>
      <c r="M30" s="10"/>
      <c r="N30" s="8">
        <v>60.1816</v>
      </c>
      <c r="O30" s="8">
        <v>24.8368</v>
      </c>
      <c r="P30" s="5" t="s">
        <v>194</v>
      </c>
      <c r="Q30" s="5" t="s">
        <v>195</v>
      </c>
      <c r="R30" s="5" t="s">
        <v>318</v>
      </c>
      <c r="S30" s="5" t="s">
        <v>211</v>
      </c>
      <c r="T30" s="5" t="s">
        <v>200</v>
      </c>
      <c r="U30" s="5" t="s">
        <v>203</v>
      </c>
      <c r="V30" s="5" t="s">
        <v>199</v>
      </c>
      <c r="W30" s="5" t="s">
        <v>202</v>
      </c>
      <c r="X30" s="5" t="s">
        <v>200</v>
      </c>
      <c r="Y30" s="5" t="s">
        <v>198</v>
      </c>
      <c r="Z30" s="5" t="s">
        <v>203</v>
      </c>
      <c r="AA30" s="5" t="s">
        <v>203</v>
      </c>
      <c r="AB30" s="5" t="s">
        <v>202</v>
      </c>
      <c r="AC30" s="5" t="s">
        <v>202</v>
      </c>
      <c r="AD30" s="5" t="s">
        <v>202</v>
      </c>
      <c r="AE30" s="5" t="s">
        <v>208</v>
      </c>
      <c r="AF30" s="5" t="s">
        <v>198</v>
      </c>
      <c r="AG30" s="5" t="s">
        <v>203</v>
      </c>
      <c r="AH30" s="5" t="s">
        <v>200</v>
      </c>
      <c r="AI30" s="5" t="s">
        <v>323</v>
      </c>
      <c r="AJ30" s="5" t="s">
        <v>206</v>
      </c>
      <c r="AK30" s="5" t="s">
        <v>202</v>
      </c>
      <c r="AL30" s="5" t="s">
        <v>202</v>
      </c>
      <c r="AM30" s="5" t="s">
        <v>202</v>
      </c>
      <c r="AN30" s="5" t="s">
        <v>201</v>
      </c>
      <c r="AO30" s="5" t="s">
        <v>201</v>
      </c>
      <c r="AP30" s="5" t="s">
        <v>202</v>
      </c>
      <c r="AQ30" s="5" t="s">
        <v>324</v>
      </c>
      <c r="AR30" s="5" t="s">
        <v>206</v>
      </c>
      <c r="AS30" s="5" t="s">
        <v>202</v>
      </c>
      <c r="AT30" s="5" t="s">
        <v>202</v>
      </c>
      <c r="AU30" s="5" t="s">
        <v>202</v>
      </c>
      <c r="AV30" s="5" t="s">
        <v>204</v>
      </c>
      <c r="AW30" s="5" t="s">
        <v>204</v>
      </c>
      <c r="AX30" s="5" t="s">
        <v>204</v>
      </c>
      <c r="AY30" s="5" t="s">
        <v>204</v>
      </c>
      <c r="AZ30" s="5" t="s">
        <v>325</v>
      </c>
    </row>
    <row r="31">
      <c r="A31" s="7">
        <v>45867.225</v>
      </c>
      <c r="B31" s="7">
        <v>45867.23125</v>
      </c>
      <c r="C31" s="5" t="s">
        <v>99</v>
      </c>
      <c r="D31" s="5" t="s">
        <v>256</v>
      </c>
      <c r="E31" s="8">
        <v>100.0</v>
      </c>
      <c r="F31" s="8">
        <v>560.0</v>
      </c>
      <c r="G31" s="9" t="b">
        <v>1</v>
      </c>
      <c r="H31" s="7">
        <v>45867.23125</v>
      </c>
      <c r="I31" s="5" t="s">
        <v>326</v>
      </c>
      <c r="K31" s="10"/>
      <c r="L31" s="10"/>
      <c r="M31" s="10"/>
      <c r="N31" s="8">
        <v>60.1816</v>
      </c>
      <c r="O31" s="8">
        <v>24.8368</v>
      </c>
      <c r="P31" s="5" t="s">
        <v>194</v>
      </c>
      <c r="Q31" s="5" t="s">
        <v>195</v>
      </c>
      <c r="R31" s="5" t="s">
        <v>318</v>
      </c>
      <c r="S31" s="5" t="s">
        <v>216</v>
      </c>
      <c r="T31" s="5" t="s">
        <v>203</v>
      </c>
      <c r="U31" s="5" t="s">
        <v>198</v>
      </c>
      <c r="V31" s="5" t="s">
        <v>199</v>
      </c>
      <c r="W31" s="5" t="s">
        <v>202</v>
      </c>
      <c r="X31" s="5" t="s">
        <v>202</v>
      </c>
      <c r="Y31" s="5" t="s">
        <v>198</v>
      </c>
      <c r="Z31" s="5" t="s">
        <v>198</v>
      </c>
      <c r="AA31" s="5" t="s">
        <v>200</v>
      </c>
      <c r="AB31" s="5" t="s">
        <v>202</v>
      </c>
      <c r="AC31" s="5" t="s">
        <v>202</v>
      </c>
      <c r="AD31" s="5" t="s">
        <v>200</v>
      </c>
      <c r="AE31" s="5" t="s">
        <v>198</v>
      </c>
      <c r="AF31" s="5" t="s">
        <v>203</v>
      </c>
      <c r="AG31" s="5" t="s">
        <v>198</v>
      </c>
      <c r="AH31" s="5" t="s">
        <v>200</v>
      </c>
      <c r="AI31" s="5" t="s">
        <v>327</v>
      </c>
      <c r="AJ31" s="5" t="s">
        <v>206</v>
      </c>
      <c r="AK31" s="5" t="s">
        <v>202</v>
      </c>
      <c r="AL31" s="5" t="s">
        <v>201</v>
      </c>
      <c r="AM31" s="5" t="s">
        <v>202</v>
      </c>
      <c r="AN31" s="5" t="s">
        <v>201</v>
      </c>
      <c r="AO31" s="5" t="s">
        <v>201</v>
      </c>
      <c r="AP31" s="5" t="s">
        <v>201</v>
      </c>
      <c r="AQ31" s="5" t="s">
        <v>328</v>
      </c>
      <c r="AR31" s="5" t="s">
        <v>206</v>
      </c>
      <c r="AS31" s="5" t="s">
        <v>202</v>
      </c>
      <c r="AT31" s="5" t="s">
        <v>201</v>
      </c>
      <c r="AU31" s="5" t="s">
        <v>200</v>
      </c>
      <c r="AV31" s="5" t="s">
        <v>204</v>
      </c>
      <c r="AW31" s="5" t="s">
        <v>204</v>
      </c>
      <c r="AX31" s="5" t="s">
        <v>204</v>
      </c>
      <c r="AY31" s="5" t="s">
        <v>204</v>
      </c>
      <c r="AZ31" s="5" t="s">
        <v>329</v>
      </c>
    </row>
    <row r="32">
      <c r="A32" s="7">
        <v>45867.228472222225</v>
      </c>
      <c r="B32" s="7">
        <v>45867.240277777775</v>
      </c>
      <c r="C32" s="5" t="s">
        <v>99</v>
      </c>
      <c r="D32" s="5" t="s">
        <v>192</v>
      </c>
      <c r="E32" s="8">
        <v>100.0</v>
      </c>
      <c r="F32" s="8">
        <v>990.0</v>
      </c>
      <c r="G32" s="9" t="b">
        <v>1</v>
      </c>
      <c r="H32" s="7">
        <v>45867.240277777775</v>
      </c>
      <c r="I32" s="5" t="s">
        <v>330</v>
      </c>
      <c r="K32" s="10"/>
      <c r="L32" s="10"/>
      <c r="M32" s="10"/>
      <c r="N32" s="8">
        <v>60.1816</v>
      </c>
      <c r="O32" s="8">
        <v>24.8368</v>
      </c>
      <c r="P32" s="5" t="s">
        <v>194</v>
      </c>
      <c r="Q32" s="5" t="s">
        <v>195</v>
      </c>
      <c r="R32" s="5" t="s">
        <v>331</v>
      </c>
      <c r="S32" s="5" t="s">
        <v>197</v>
      </c>
      <c r="T32" s="5" t="s">
        <v>202</v>
      </c>
      <c r="U32" s="5" t="s">
        <v>202</v>
      </c>
      <c r="V32" s="5" t="s">
        <v>199</v>
      </c>
      <c r="W32" s="5" t="s">
        <v>202</v>
      </c>
      <c r="X32" s="5" t="s">
        <v>201</v>
      </c>
      <c r="Y32" s="5" t="s">
        <v>200</v>
      </c>
      <c r="Z32" s="5" t="s">
        <v>202</v>
      </c>
      <c r="AA32" s="5" t="s">
        <v>202</v>
      </c>
      <c r="AB32" s="5" t="s">
        <v>200</v>
      </c>
      <c r="AC32" s="5" t="s">
        <v>200</v>
      </c>
      <c r="AD32" s="5" t="s">
        <v>201</v>
      </c>
      <c r="AE32" s="5" t="s">
        <v>198</v>
      </c>
      <c r="AF32" s="5" t="s">
        <v>200</v>
      </c>
      <c r="AG32" s="5" t="s">
        <v>201</v>
      </c>
      <c r="AH32" s="5" t="s">
        <v>208</v>
      </c>
      <c r="AI32" s="5" t="s">
        <v>332</v>
      </c>
      <c r="AJ32" s="5" t="s">
        <v>206</v>
      </c>
      <c r="AK32" s="5" t="s">
        <v>200</v>
      </c>
      <c r="AL32" s="5" t="s">
        <v>201</v>
      </c>
      <c r="AM32" s="5" t="s">
        <v>201</v>
      </c>
      <c r="AN32" s="5" t="s">
        <v>201</v>
      </c>
      <c r="AO32" s="5" t="s">
        <v>201</v>
      </c>
      <c r="AP32" s="5" t="s">
        <v>203</v>
      </c>
      <c r="AQ32" s="5" t="s">
        <v>333</v>
      </c>
      <c r="AR32" s="5" t="s">
        <v>206</v>
      </c>
      <c r="AS32" s="5" t="s">
        <v>201</v>
      </c>
      <c r="AT32" s="5" t="s">
        <v>202</v>
      </c>
      <c r="AU32" s="5" t="s">
        <v>201</v>
      </c>
      <c r="AV32" s="5" t="s">
        <v>208</v>
      </c>
      <c r="AW32" s="5" t="s">
        <v>204</v>
      </c>
      <c r="AX32" s="5" t="s">
        <v>208</v>
      </c>
      <c r="AY32" s="5" t="s">
        <v>204</v>
      </c>
      <c r="AZ32" s="5" t="s">
        <v>334</v>
      </c>
    </row>
    <row r="33">
      <c r="A33" s="7">
        <v>45867.24097222222</v>
      </c>
      <c r="B33" s="7">
        <v>45867.25208333333</v>
      </c>
      <c r="C33" s="5" t="s">
        <v>99</v>
      </c>
      <c r="D33" s="5" t="s">
        <v>256</v>
      </c>
      <c r="E33" s="8">
        <v>100.0</v>
      </c>
      <c r="F33" s="8">
        <v>934.0</v>
      </c>
      <c r="G33" s="9" t="b">
        <v>1</v>
      </c>
      <c r="H33" s="7">
        <v>45867.25208333333</v>
      </c>
      <c r="I33" s="5" t="s">
        <v>335</v>
      </c>
      <c r="L33" s="10"/>
      <c r="M33" s="10"/>
      <c r="N33" s="8">
        <v>60.1816</v>
      </c>
      <c r="O33" s="8">
        <v>24.8368</v>
      </c>
      <c r="P33" s="5" t="s">
        <v>194</v>
      </c>
      <c r="Q33" s="5" t="s">
        <v>195</v>
      </c>
      <c r="R33" s="5" t="s">
        <v>331</v>
      </c>
      <c r="S33" s="5" t="s">
        <v>211</v>
      </c>
      <c r="T33" s="5" t="s">
        <v>200</v>
      </c>
      <c r="U33" s="5" t="s">
        <v>202</v>
      </c>
      <c r="V33" s="5" t="s">
        <v>199</v>
      </c>
      <c r="W33" s="5" t="s">
        <v>202</v>
      </c>
      <c r="X33" s="5" t="s">
        <v>202</v>
      </c>
      <c r="Y33" s="5" t="s">
        <v>202</v>
      </c>
      <c r="Z33" s="5" t="s">
        <v>202</v>
      </c>
      <c r="AA33" s="5" t="s">
        <v>201</v>
      </c>
      <c r="AB33" s="5" t="s">
        <v>202</v>
      </c>
      <c r="AC33" s="5" t="s">
        <v>200</v>
      </c>
      <c r="AD33" s="5" t="s">
        <v>201</v>
      </c>
      <c r="AE33" s="5" t="s">
        <v>202</v>
      </c>
      <c r="AF33" s="5" t="s">
        <v>198</v>
      </c>
      <c r="AG33" s="5" t="s">
        <v>202</v>
      </c>
      <c r="AH33" s="5" t="s">
        <v>208</v>
      </c>
      <c r="AI33" s="5" t="s">
        <v>336</v>
      </c>
      <c r="AJ33" s="5" t="s">
        <v>206</v>
      </c>
      <c r="AK33" s="5" t="s">
        <v>202</v>
      </c>
      <c r="AL33" s="5" t="s">
        <v>202</v>
      </c>
      <c r="AM33" s="5" t="s">
        <v>201</v>
      </c>
      <c r="AN33" s="5" t="s">
        <v>201</v>
      </c>
      <c r="AO33" s="5" t="s">
        <v>202</v>
      </c>
      <c r="AP33" s="5" t="s">
        <v>198</v>
      </c>
      <c r="AQ33" s="5" t="s">
        <v>337</v>
      </c>
      <c r="AR33" s="5" t="s">
        <v>206</v>
      </c>
      <c r="AS33" s="5" t="s">
        <v>201</v>
      </c>
      <c r="AT33" s="5" t="s">
        <v>201</v>
      </c>
      <c r="AU33" s="5" t="s">
        <v>201</v>
      </c>
      <c r="AV33" s="5" t="s">
        <v>204</v>
      </c>
      <c r="AW33" s="5" t="s">
        <v>204</v>
      </c>
      <c r="AX33" s="5" t="s">
        <v>204</v>
      </c>
      <c r="AY33" s="5" t="s">
        <v>204</v>
      </c>
      <c r="AZ33" s="5" t="s">
        <v>338</v>
      </c>
    </row>
    <row r="34">
      <c r="A34" s="7">
        <v>45867.24930555555</v>
      </c>
      <c r="B34" s="7">
        <v>45867.254166666666</v>
      </c>
      <c r="C34" s="5" t="s">
        <v>99</v>
      </c>
      <c r="D34" s="5" t="s">
        <v>192</v>
      </c>
      <c r="E34" s="8">
        <v>100.0</v>
      </c>
      <c r="F34" s="8">
        <v>468.0</v>
      </c>
      <c r="G34" s="9" t="b">
        <v>1</v>
      </c>
      <c r="H34" s="7">
        <v>45867.25486111111</v>
      </c>
      <c r="I34" s="5" t="s">
        <v>339</v>
      </c>
      <c r="K34" s="10"/>
      <c r="L34" s="10"/>
      <c r="M34" s="10"/>
      <c r="N34" s="8">
        <v>60.1816</v>
      </c>
      <c r="O34" s="8">
        <v>24.8368</v>
      </c>
      <c r="P34" s="5" t="s">
        <v>194</v>
      </c>
      <c r="Q34" s="5" t="s">
        <v>195</v>
      </c>
      <c r="R34" s="5" t="s">
        <v>318</v>
      </c>
      <c r="S34" s="5" t="s">
        <v>263</v>
      </c>
      <c r="T34" s="5" t="s">
        <v>200</v>
      </c>
      <c r="U34" s="5" t="s">
        <v>203</v>
      </c>
      <c r="V34" s="5" t="s">
        <v>199</v>
      </c>
      <c r="W34" s="5" t="s">
        <v>200</v>
      </c>
      <c r="X34" s="5" t="s">
        <v>202</v>
      </c>
      <c r="Y34" s="5" t="s">
        <v>203</v>
      </c>
      <c r="Z34" s="5" t="s">
        <v>208</v>
      </c>
      <c r="AA34" s="5" t="s">
        <v>203</v>
      </c>
      <c r="AB34" s="5" t="s">
        <v>202</v>
      </c>
      <c r="AC34" s="5" t="s">
        <v>202</v>
      </c>
      <c r="AD34" s="5" t="s">
        <v>200</v>
      </c>
      <c r="AE34" s="5" t="s">
        <v>203</v>
      </c>
      <c r="AF34" s="5" t="s">
        <v>198</v>
      </c>
      <c r="AG34" s="5" t="s">
        <v>200</v>
      </c>
      <c r="AH34" s="5" t="s">
        <v>200</v>
      </c>
      <c r="AI34" s="5" t="s">
        <v>340</v>
      </c>
      <c r="AJ34" s="5" t="s">
        <v>206</v>
      </c>
      <c r="AK34" s="5" t="s">
        <v>200</v>
      </c>
      <c r="AL34" s="5" t="s">
        <v>201</v>
      </c>
      <c r="AM34" s="5" t="s">
        <v>202</v>
      </c>
      <c r="AN34" s="5" t="s">
        <v>201</v>
      </c>
      <c r="AO34" s="5" t="s">
        <v>201</v>
      </c>
      <c r="AP34" s="5" t="s">
        <v>201</v>
      </c>
      <c r="AQ34" s="5" t="s">
        <v>341</v>
      </c>
      <c r="AR34" s="5" t="s">
        <v>206</v>
      </c>
      <c r="AS34" s="5" t="s">
        <v>202</v>
      </c>
      <c r="AT34" s="5" t="s">
        <v>198</v>
      </c>
      <c r="AU34" s="5" t="s">
        <v>200</v>
      </c>
      <c r="AV34" s="5" t="s">
        <v>203</v>
      </c>
      <c r="AW34" s="5" t="s">
        <v>204</v>
      </c>
      <c r="AX34" s="5" t="s">
        <v>200</v>
      </c>
      <c r="AY34" s="5" t="s">
        <v>198</v>
      </c>
      <c r="AZ34" s="5" t="s">
        <v>342</v>
      </c>
    </row>
    <row r="35">
      <c r="A35" s="7">
        <v>45867.20694444444</v>
      </c>
      <c r="B35" s="7">
        <v>45867.26388888889</v>
      </c>
      <c r="C35" s="5" t="s">
        <v>99</v>
      </c>
      <c r="D35" s="5" t="s">
        <v>256</v>
      </c>
      <c r="E35" s="8">
        <v>100.0</v>
      </c>
      <c r="F35" s="8">
        <v>4924.0</v>
      </c>
      <c r="G35" s="9" t="b">
        <v>1</v>
      </c>
      <c r="H35" s="7">
        <v>45867.26388888889</v>
      </c>
      <c r="I35" s="5" t="s">
        <v>343</v>
      </c>
      <c r="K35" s="10"/>
      <c r="L35" s="10"/>
      <c r="M35" s="10"/>
      <c r="N35" s="8">
        <v>60.1816</v>
      </c>
      <c r="O35" s="8">
        <v>24.8368</v>
      </c>
      <c r="P35" s="5" t="s">
        <v>194</v>
      </c>
      <c r="Q35" s="5" t="s">
        <v>195</v>
      </c>
      <c r="R35" s="5" t="s">
        <v>331</v>
      </c>
      <c r="S35" s="5" t="s">
        <v>216</v>
      </c>
      <c r="T35" s="5" t="s">
        <v>202</v>
      </c>
      <c r="U35" s="5" t="s">
        <v>202</v>
      </c>
      <c r="V35" s="5" t="s">
        <v>199</v>
      </c>
      <c r="W35" s="5" t="s">
        <v>202</v>
      </c>
      <c r="X35" s="5" t="s">
        <v>201</v>
      </c>
      <c r="Y35" s="5" t="s">
        <v>202</v>
      </c>
      <c r="Z35" s="5" t="s">
        <v>202</v>
      </c>
      <c r="AA35" s="5" t="s">
        <v>202</v>
      </c>
      <c r="AB35" s="5" t="s">
        <v>202</v>
      </c>
      <c r="AC35" s="5" t="s">
        <v>200</v>
      </c>
      <c r="AD35" s="5" t="s">
        <v>202</v>
      </c>
      <c r="AE35" s="5" t="s">
        <v>202</v>
      </c>
      <c r="AF35" s="5" t="s">
        <v>198</v>
      </c>
      <c r="AG35" s="5" t="s">
        <v>202</v>
      </c>
      <c r="AH35" s="5" t="s">
        <v>200</v>
      </c>
      <c r="AI35" s="5" t="s">
        <v>344</v>
      </c>
      <c r="AJ35" s="5" t="s">
        <v>206</v>
      </c>
      <c r="AK35" s="5" t="s">
        <v>202</v>
      </c>
      <c r="AL35" s="5" t="s">
        <v>202</v>
      </c>
      <c r="AM35" s="5" t="s">
        <v>202</v>
      </c>
      <c r="AN35" s="5" t="s">
        <v>202</v>
      </c>
      <c r="AO35" s="5" t="s">
        <v>202</v>
      </c>
      <c r="AP35" s="5" t="s">
        <v>202</v>
      </c>
      <c r="AQ35" s="5" t="s">
        <v>345</v>
      </c>
      <c r="AR35" s="5" t="s">
        <v>206</v>
      </c>
      <c r="AS35" s="5" t="s">
        <v>202</v>
      </c>
      <c r="AT35" s="5" t="s">
        <v>201</v>
      </c>
      <c r="AU35" s="5" t="s">
        <v>202</v>
      </c>
      <c r="AV35" s="5" t="s">
        <v>204</v>
      </c>
      <c r="AW35" s="5" t="s">
        <v>204</v>
      </c>
      <c r="AX35" s="5" t="s">
        <v>204</v>
      </c>
      <c r="AY35" s="5" t="s">
        <v>204</v>
      </c>
      <c r="AZ35" s="5" t="s">
        <v>346</v>
      </c>
    </row>
    <row r="36">
      <c r="A36" s="7">
        <v>45867.26666666667</v>
      </c>
      <c r="B36" s="7">
        <v>45867.27569444444</v>
      </c>
      <c r="C36" s="5" t="s">
        <v>99</v>
      </c>
      <c r="D36" s="5" t="s">
        <v>347</v>
      </c>
      <c r="E36" s="8">
        <v>100.0</v>
      </c>
      <c r="F36" s="8">
        <v>764.0</v>
      </c>
      <c r="G36" s="9" t="b">
        <v>1</v>
      </c>
      <c r="H36" s="7">
        <v>45867.27569444444</v>
      </c>
      <c r="I36" s="5" t="s">
        <v>348</v>
      </c>
      <c r="K36" s="10"/>
      <c r="L36" s="10"/>
      <c r="M36" s="10"/>
      <c r="N36" s="8">
        <v>60.2141</v>
      </c>
      <c r="O36" s="8">
        <v>24.896</v>
      </c>
      <c r="P36" s="5" t="s">
        <v>194</v>
      </c>
      <c r="Q36" s="5" t="s">
        <v>195</v>
      </c>
      <c r="R36" s="5" t="s">
        <v>331</v>
      </c>
      <c r="S36" s="5" t="s">
        <v>263</v>
      </c>
      <c r="T36" s="5" t="s">
        <v>201</v>
      </c>
      <c r="U36" s="5" t="s">
        <v>202</v>
      </c>
      <c r="V36" s="5" t="s">
        <v>199</v>
      </c>
      <c r="W36" s="5" t="s">
        <v>202</v>
      </c>
      <c r="X36" s="5" t="s">
        <v>202</v>
      </c>
      <c r="Y36" s="5" t="s">
        <v>201</v>
      </c>
      <c r="Z36" s="5" t="s">
        <v>202</v>
      </c>
      <c r="AA36" s="5" t="s">
        <v>201</v>
      </c>
      <c r="AB36" s="5" t="s">
        <v>202</v>
      </c>
      <c r="AC36" s="5" t="s">
        <v>202</v>
      </c>
      <c r="AD36" s="5" t="s">
        <v>200</v>
      </c>
      <c r="AE36" s="5" t="s">
        <v>202</v>
      </c>
      <c r="AF36" s="5" t="s">
        <v>208</v>
      </c>
      <c r="AG36" s="5" t="s">
        <v>202</v>
      </c>
      <c r="AH36" s="5" t="s">
        <v>208</v>
      </c>
      <c r="AI36" s="5" t="s">
        <v>349</v>
      </c>
      <c r="AJ36" s="5" t="s">
        <v>206</v>
      </c>
      <c r="AK36" s="5" t="s">
        <v>200</v>
      </c>
      <c r="AL36" s="5" t="s">
        <v>201</v>
      </c>
      <c r="AM36" s="5" t="s">
        <v>202</v>
      </c>
      <c r="AN36" s="5" t="s">
        <v>200</v>
      </c>
      <c r="AO36" s="5" t="s">
        <v>202</v>
      </c>
      <c r="AP36" s="5" t="s">
        <v>202</v>
      </c>
      <c r="AQ36" s="5" t="s">
        <v>350</v>
      </c>
      <c r="AR36" s="5" t="s">
        <v>206</v>
      </c>
      <c r="AS36" s="5" t="s">
        <v>202</v>
      </c>
      <c r="AT36" s="5" t="s">
        <v>201</v>
      </c>
      <c r="AU36" s="5" t="s">
        <v>201</v>
      </c>
      <c r="AV36" s="5" t="s">
        <v>208</v>
      </c>
      <c r="AW36" s="5" t="s">
        <v>198</v>
      </c>
      <c r="AX36" s="5" t="s">
        <v>208</v>
      </c>
      <c r="AY36" s="5" t="s">
        <v>204</v>
      </c>
      <c r="AZ36" s="5" t="s">
        <v>351</v>
      </c>
    </row>
    <row r="37">
      <c r="A37" s="7">
        <v>45867.26944444444</v>
      </c>
      <c r="B37" s="7">
        <v>45867.282638888886</v>
      </c>
      <c r="C37" s="5" t="s">
        <v>99</v>
      </c>
      <c r="D37" s="5" t="s">
        <v>192</v>
      </c>
      <c r="E37" s="8">
        <v>100.0</v>
      </c>
      <c r="F37" s="8">
        <v>1145.0</v>
      </c>
      <c r="G37" s="9" t="b">
        <v>1</v>
      </c>
      <c r="H37" s="7">
        <v>45867.282638888886</v>
      </c>
      <c r="I37" s="5" t="s">
        <v>352</v>
      </c>
      <c r="K37" s="10"/>
      <c r="L37" s="10"/>
      <c r="M37" s="10"/>
      <c r="N37" s="8">
        <v>60.1816</v>
      </c>
      <c r="O37" s="8">
        <v>24.8368</v>
      </c>
      <c r="P37" s="5" t="s">
        <v>194</v>
      </c>
      <c r="Q37" s="5" t="s">
        <v>195</v>
      </c>
      <c r="R37" s="5" t="s">
        <v>353</v>
      </c>
      <c r="S37" s="5" t="s">
        <v>197</v>
      </c>
      <c r="T37" s="5" t="s">
        <v>208</v>
      </c>
      <c r="U37" s="5" t="s">
        <v>204</v>
      </c>
      <c r="V37" s="5" t="s">
        <v>199</v>
      </c>
      <c r="W37" s="5" t="s">
        <v>208</v>
      </c>
      <c r="X37" s="5" t="s">
        <v>200</v>
      </c>
      <c r="Y37" s="5" t="s">
        <v>204</v>
      </c>
      <c r="Z37" s="5" t="s">
        <v>203</v>
      </c>
      <c r="AA37" s="5" t="s">
        <v>198</v>
      </c>
      <c r="AB37" s="5" t="s">
        <v>208</v>
      </c>
      <c r="AC37" s="5" t="s">
        <v>203</v>
      </c>
      <c r="AD37" s="5" t="s">
        <v>198</v>
      </c>
      <c r="AE37" s="5" t="s">
        <v>204</v>
      </c>
      <c r="AF37" s="5" t="s">
        <v>204</v>
      </c>
      <c r="AG37" s="5" t="s">
        <v>198</v>
      </c>
      <c r="AH37" s="5" t="s">
        <v>201</v>
      </c>
      <c r="AI37" s="5" t="s">
        <v>354</v>
      </c>
      <c r="AJ37" s="5" t="s">
        <v>206</v>
      </c>
      <c r="AK37" s="5" t="s">
        <v>203</v>
      </c>
      <c r="AL37" s="5" t="s">
        <v>198</v>
      </c>
      <c r="AM37" s="5" t="s">
        <v>200</v>
      </c>
      <c r="AN37" s="5" t="s">
        <v>200</v>
      </c>
      <c r="AO37" s="5" t="s">
        <v>203</v>
      </c>
      <c r="AP37" s="5" t="s">
        <v>201</v>
      </c>
      <c r="AQ37" s="5" t="s">
        <v>355</v>
      </c>
      <c r="AR37" s="5" t="s">
        <v>206</v>
      </c>
      <c r="AS37" s="5" t="s">
        <v>203</v>
      </c>
      <c r="AT37" s="5" t="s">
        <v>200</v>
      </c>
      <c r="AU37" s="5" t="s">
        <v>200</v>
      </c>
      <c r="AV37" s="5" t="s">
        <v>198</v>
      </c>
      <c r="AW37" s="5" t="s">
        <v>208</v>
      </c>
      <c r="AX37" s="5" t="s">
        <v>200</v>
      </c>
      <c r="AY37" s="5" t="s">
        <v>204</v>
      </c>
      <c r="AZ37" s="5" t="s">
        <v>356</v>
      </c>
    </row>
    <row r="38">
      <c r="A38" s="7">
        <v>45867.28888888889</v>
      </c>
      <c r="B38" s="7">
        <v>45867.29375</v>
      </c>
      <c r="C38" s="5" t="s">
        <v>99</v>
      </c>
      <c r="D38" s="5" t="s">
        <v>192</v>
      </c>
      <c r="E38" s="8">
        <v>100.0</v>
      </c>
      <c r="F38" s="8">
        <v>418.0</v>
      </c>
      <c r="G38" s="9" t="b">
        <v>1</v>
      </c>
      <c r="H38" s="7">
        <v>45867.29375</v>
      </c>
      <c r="I38" s="5" t="s">
        <v>357</v>
      </c>
      <c r="L38" s="10"/>
      <c r="M38" s="10"/>
      <c r="N38" s="8">
        <v>60.1816</v>
      </c>
      <c r="O38" s="8">
        <v>24.8368</v>
      </c>
      <c r="P38" s="5" t="s">
        <v>194</v>
      </c>
      <c r="Q38" s="5" t="s">
        <v>195</v>
      </c>
      <c r="R38" s="5" t="s">
        <v>353</v>
      </c>
      <c r="S38" s="5" t="s">
        <v>263</v>
      </c>
      <c r="T38" s="5" t="s">
        <v>208</v>
      </c>
      <c r="U38" s="5" t="s">
        <v>203</v>
      </c>
      <c r="V38" s="5" t="s">
        <v>199</v>
      </c>
      <c r="W38" s="5" t="s">
        <v>198</v>
      </c>
      <c r="X38" s="5" t="s">
        <v>204</v>
      </c>
      <c r="Y38" s="5" t="s">
        <v>204</v>
      </c>
      <c r="Z38" s="5" t="s">
        <v>198</v>
      </c>
      <c r="AA38" s="5" t="s">
        <v>198</v>
      </c>
      <c r="AB38" s="5" t="s">
        <v>202</v>
      </c>
      <c r="AC38" s="5" t="s">
        <v>202</v>
      </c>
      <c r="AD38" s="5" t="s">
        <v>202</v>
      </c>
      <c r="AE38" s="5" t="s">
        <v>208</v>
      </c>
      <c r="AF38" s="5" t="s">
        <v>204</v>
      </c>
      <c r="AG38" s="5" t="s">
        <v>208</v>
      </c>
      <c r="AH38" s="5" t="s">
        <v>201</v>
      </c>
      <c r="AI38" s="11" t="s">
        <v>358</v>
      </c>
      <c r="AJ38" s="5" t="s">
        <v>206</v>
      </c>
      <c r="AK38" s="5" t="s">
        <v>203</v>
      </c>
      <c r="AL38" s="5" t="s">
        <v>200</v>
      </c>
      <c r="AM38" s="5" t="s">
        <v>202</v>
      </c>
      <c r="AN38" s="5" t="s">
        <v>198</v>
      </c>
      <c r="AO38" s="5" t="s">
        <v>201</v>
      </c>
      <c r="AP38" s="5" t="s">
        <v>200</v>
      </c>
      <c r="AQ38" s="5" t="s">
        <v>359</v>
      </c>
      <c r="AR38" s="5" t="s">
        <v>206</v>
      </c>
      <c r="AS38" s="5" t="s">
        <v>200</v>
      </c>
      <c r="AT38" s="5" t="s">
        <v>202</v>
      </c>
      <c r="AU38" s="5" t="s">
        <v>198</v>
      </c>
      <c r="AV38" s="5" t="s">
        <v>198</v>
      </c>
      <c r="AW38" s="5" t="s">
        <v>198</v>
      </c>
      <c r="AX38" s="5" t="s">
        <v>200</v>
      </c>
      <c r="AY38" s="5" t="s">
        <v>198</v>
      </c>
      <c r="AZ38" s="5" t="s">
        <v>360</v>
      </c>
    </row>
    <row r="39">
      <c r="A39" s="7">
        <v>45867.274305555555</v>
      </c>
      <c r="B39" s="7">
        <v>45867.29375</v>
      </c>
      <c r="C39" s="5" t="s">
        <v>99</v>
      </c>
      <c r="D39" s="5" t="s">
        <v>256</v>
      </c>
      <c r="E39" s="8">
        <v>100.0</v>
      </c>
      <c r="F39" s="8">
        <v>1716.0</v>
      </c>
      <c r="G39" s="9" t="b">
        <v>1</v>
      </c>
      <c r="H39" s="7">
        <v>45867.29375</v>
      </c>
      <c r="I39" s="5" t="s">
        <v>361</v>
      </c>
      <c r="K39" s="10"/>
      <c r="L39" s="10"/>
      <c r="M39" s="10"/>
      <c r="N39" s="8">
        <v>60.1816</v>
      </c>
      <c r="O39" s="8">
        <v>24.8368</v>
      </c>
      <c r="P39" s="5" t="s">
        <v>194</v>
      </c>
      <c r="Q39" s="5" t="s">
        <v>195</v>
      </c>
      <c r="R39" s="5" t="s">
        <v>362</v>
      </c>
      <c r="S39" s="5" t="s">
        <v>216</v>
      </c>
      <c r="T39" s="5" t="s">
        <v>200</v>
      </c>
      <c r="U39" s="5" t="s">
        <v>201</v>
      </c>
      <c r="V39" s="5" t="s">
        <v>199</v>
      </c>
      <c r="W39" s="5" t="s">
        <v>202</v>
      </c>
      <c r="X39" s="5" t="s">
        <v>201</v>
      </c>
      <c r="Y39" s="5" t="s">
        <v>198</v>
      </c>
      <c r="Z39" s="5" t="s">
        <v>202</v>
      </c>
      <c r="AA39" s="5" t="s">
        <v>201</v>
      </c>
      <c r="AB39" s="5" t="s">
        <v>201</v>
      </c>
      <c r="AC39" s="5" t="s">
        <v>201</v>
      </c>
      <c r="AD39" s="5" t="s">
        <v>201</v>
      </c>
      <c r="AE39" s="5" t="s">
        <v>208</v>
      </c>
      <c r="AF39" s="5" t="s">
        <v>200</v>
      </c>
      <c r="AG39" s="5" t="s">
        <v>200</v>
      </c>
      <c r="AH39" s="5" t="s">
        <v>203</v>
      </c>
      <c r="AI39" s="11" t="s">
        <v>363</v>
      </c>
      <c r="AJ39" s="5" t="s">
        <v>206</v>
      </c>
      <c r="AK39" s="5" t="s">
        <v>202</v>
      </c>
      <c r="AL39" s="5" t="s">
        <v>202</v>
      </c>
      <c r="AM39" s="5" t="s">
        <v>201</v>
      </c>
      <c r="AN39" s="5" t="s">
        <v>201</v>
      </c>
      <c r="AO39" s="5" t="s">
        <v>201</v>
      </c>
      <c r="AP39" s="5" t="s">
        <v>201</v>
      </c>
      <c r="AQ39" s="5" t="s">
        <v>364</v>
      </c>
      <c r="AR39" s="5" t="s">
        <v>206</v>
      </c>
      <c r="AS39" s="5" t="s">
        <v>201</v>
      </c>
      <c r="AT39" s="5" t="s">
        <v>202</v>
      </c>
      <c r="AU39" s="5" t="s">
        <v>201</v>
      </c>
      <c r="AV39" s="5" t="s">
        <v>204</v>
      </c>
      <c r="AW39" s="5" t="s">
        <v>204</v>
      </c>
      <c r="AX39" s="5" t="s">
        <v>204</v>
      </c>
      <c r="AY39" s="5" t="s">
        <v>204</v>
      </c>
      <c r="AZ39" s="11" t="s">
        <v>365</v>
      </c>
    </row>
    <row r="40">
      <c r="A40" s="7">
        <v>45867.294444444444</v>
      </c>
      <c r="B40" s="7">
        <v>45867.305555555555</v>
      </c>
      <c r="C40" s="5" t="s">
        <v>99</v>
      </c>
      <c r="D40" s="5" t="s">
        <v>256</v>
      </c>
      <c r="E40" s="8">
        <v>100.0</v>
      </c>
      <c r="F40" s="8">
        <v>1001.0</v>
      </c>
      <c r="G40" s="9" t="b">
        <v>1</v>
      </c>
      <c r="H40" s="7">
        <v>45867.305555555555</v>
      </c>
      <c r="I40" s="5" t="s">
        <v>366</v>
      </c>
      <c r="K40" s="10"/>
      <c r="L40" s="10"/>
      <c r="M40" s="10"/>
      <c r="N40" s="8">
        <v>60.1816</v>
      </c>
      <c r="O40" s="8">
        <v>24.8368</v>
      </c>
      <c r="P40" s="5" t="s">
        <v>194</v>
      </c>
      <c r="Q40" s="5" t="s">
        <v>195</v>
      </c>
      <c r="R40" s="5" t="s">
        <v>353</v>
      </c>
      <c r="S40" s="5" t="s">
        <v>216</v>
      </c>
      <c r="T40" s="5" t="s">
        <v>203</v>
      </c>
      <c r="U40" s="5" t="s">
        <v>208</v>
      </c>
      <c r="V40" s="5" t="s">
        <v>199</v>
      </c>
      <c r="W40" s="5" t="s">
        <v>203</v>
      </c>
      <c r="X40" s="5" t="s">
        <v>208</v>
      </c>
      <c r="Y40" s="5" t="s">
        <v>204</v>
      </c>
      <c r="Z40" s="5" t="s">
        <v>198</v>
      </c>
      <c r="AA40" s="5" t="s">
        <v>202</v>
      </c>
      <c r="AB40" s="5" t="s">
        <v>198</v>
      </c>
      <c r="AC40" s="5" t="s">
        <v>202</v>
      </c>
      <c r="AD40" s="5" t="s">
        <v>202</v>
      </c>
      <c r="AE40" s="5" t="s">
        <v>204</v>
      </c>
      <c r="AF40" s="5" t="s">
        <v>204</v>
      </c>
      <c r="AG40" s="5" t="s">
        <v>200</v>
      </c>
      <c r="AH40" s="5" t="s">
        <v>201</v>
      </c>
      <c r="AI40" s="5" t="s">
        <v>367</v>
      </c>
      <c r="AJ40" s="5" t="s">
        <v>206</v>
      </c>
      <c r="AK40" s="5" t="s">
        <v>202</v>
      </c>
      <c r="AL40" s="5" t="s">
        <v>203</v>
      </c>
      <c r="AM40" s="5" t="s">
        <v>200</v>
      </c>
      <c r="AN40" s="5" t="s">
        <v>202</v>
      </c>
      <c r="AO40" s="5" t="s">
        <v>202</v>
      </c>
      <c r="AP40" s="5" t="s">
        <v>203</v>
      </c>
      <c r="AQ40" s="5" t="s">
        <v>368</v>
      </c>
      <c r="AR40" s="5" t="s">
        <v>206</v>
      </c>
      <c r="AS40" s="5" t="s">
        <v>203</v>
      </c>
      <c r="AT40" s="5" t="s">
        <v>202</v>
      </c>
      <c r="AU40" s="5" t="s">
        <v>200</v>
      </c>
      <c r="AV40" s="5" t="s">
        <v>204</v>
      </c>
      <c r="AW40" s="5" t="s">
        <v>204</v>
      </c>
      <c r="AX40" s="5" t="s">
        <v>204</v>
      </c>
      <c r="AY40" s="5" t="s">
        <v>204</v>
      </c>
      <c r="AZ40" s="5" t="s">
        <v>369</v>
      </c>
    </row>
    <row r="41">
      <c r="A41" s="7">
        <v>45867.308333333334</v>
      </c>
      <c r="B41" s="7">
        <v>45867.31458333333</v>
      </c>
      <c r="C41" s="5" t="s">
        <v>99</v>
      </c>
      <c r="D41" s="5" t="s">
        <v>256</v>
      </c>
      <c r="E41" s="8">
        <v>100.0</v>
      </c>
      <c r="F41" s="8">
        <v>594.0</v>
      </c>
      <c r="G41" s="9" t="b">
        <v>1</v>
      </c>
      <c r="H41" s="7">
        <v>45867.31458333333</v>
      </c>
      <c r="I41" s="5" t="s">
        <v>370</v>
      </c>
      <c r="K41" s="10"/>
      <c r="L41" s="10"/>
      <c r="M41" s="10"/>
      <c r="N41" s="8">
        <v>60.1816</v>
      </c>
      <c r="O41" s="8">
        <v>24.8368</v>
      </c>
      <c r="P41" s="5" t="s">
        <v>194</v>
      </c>
      <c r="Q41" s="5" t="s">
        <v>195</v>
      </c>
      <c r="R41" s="5" t="s">
        <v>353</v>
      </c>
      <c r="S41" s="5" t="s">
        <v>211</v>
      </c>
      <c r="T41" s="5" t="s">
        <v>200</v>
      </c>
      <c r="U41" s="5" t="s">
        <v>204</v>
      </c>
      <c r="V41" s="5" t="s">
        <v>199</v>
      </c>
      <c r="W41" s="5" t="s">
        <v>204</v>
      </c>
      <c r="X41" s="5" t="s">
        <v>200</v>
      </c>
      <c r="Y41" s="5" t="s">
        <v>198</v>
      </c>
      <c r="Z41" s="5" t="s">
        <v>208</v>
      </c>
      <c r="AA41" s="5" t="s">
        <v>202</v>
      </c>
      <c r="AB41" s="5" t="s">
        <v>203</v>
      </c>
      <c r="AC41" s="5" t="s">
        <v>200</v>
      </c>
      <c r="AD41" s="5" t="s">
        <v>200</v>
      </c>
      <c r="AE41" s="5" t="s">
        <v>202</v>
      </c>
      <c r="AF41" s="5" t="s">
        <v>198</v>
      </c>
      <c r="AG41" s="5" t="s">
        <v>200</v>
      </c>
      <c r="AH41" s="5" t="s">
        <v>203</v>
      </c>
      <c r="AI41" s="5" t="s">
        <v>371</v>
      </c>
      <c r="AJ41" s="5" t="s">
        <v>206</v>
      </c>
      <c r="AK41" s="5" t="s">
        <v>202</v>
      </c>
      <c r="AL41" s="5" t="s">
        <v>200</v>
      </c>
      <c r="AM41" s="5" t="s">
        <v>200</v>
      </c>
      <c r="AN41" s="5" t="s">
        <v>208</v>
      </c>
      <c r="AO41" s="5" t="s">
        <v>203</v>
      </c>
      <c r="AP41" s="5" t="s">
        <v>204</v>
      </c>
      <c r="AQ41" s="5" t="s">
        <v>372</v>
      </c>
      <c r="AR41" s="5" t="s">
        <v>206</v>
      </c>
      <c r="AS41" s="5" t="s">
        <v>200</v>
      </c>
      <c r="AT41" s="5" t="s">
        <v>200</v>
      </c>
      <c r="AU41" s="5" t="s">
        <v>202</v>
      </c>
      <c r="AV41" s="5" t="s">
        <v>204</v>
      </c>
      <c r="AW41" s="5" t="s">
        <v>204</v>
      </c>
      <c r="AX41" s="5" t="s">
        <v>204</v>
      </c>
      <c r="AY41" s="5" t="s">
        <v>204</v>
      </c>
      <c r="AZ41" s="5" t="s">
        <v>373</v>
      </c>
    </row>
    <row r="42">
      <c r="A42" s="7">
        <v>45867.330555555556</v>
      </c>
      <c r="B42" s="7">
        <v>45867.34583333333</v>
      </c>
      <c r="C42" s="5" t="s">
        <v>99</v>
      </c>
      <c r="D42" s="5" t="s">
        <v>192</v>
      </c>
      <c r="E42" s="8">
        <v>100.0</v>
      </c>
      <c r="F42" s="8">
        <v>1333.0</v>
      </c>
      <c r="G42" s="9" t="b">
        <v>1</v>
      </c>
      <c r="H42" s="7">
        <v>45867.34583333333</v>
      </c>
      <c r="I42" s="5" t="s">
        <v>374</v>
      </c>
      <c r="K42" s="10"/>
      <c r="L42" s="10"/>
      <c r="M42" s="10"/>
      <c r="N42" s="8">
        <v>60.1816</v>
      </c>
      <c r="O42" s="8">
        <v>24.8368</v>
      </c>
      <c r="P42" s="5" t="s">
        <v>194</v>
      </c>
      <c r="Q42" s="5" t="s">
        <v>195</v>
      </c>
      <c r="R42" s="5" t="s">
        <v>362</v>
      </c>
      <c r="S42" s="5" t="s">
        <v>263</v>
      </c>
      <c r="T42" s="5" t="s">
        <v>202</v>
      </c>
      <c r="U42" s="5" t="s">
        <v>202</v>
      </c>
      <c r="V42" s="5" t="s">
        <v>199</v>
      </c>
      <c r="W42" s="5" t="s">
        <v>201</v>
      </c>
      <c r="X42" s="5" t="s">
        <v>198</v>
      </c>
      <c r="Y42" s="5" t="s">
        <v>200</v>
      </c>
      <c r="Z42" s="5" t="s">
        <v>202</v>
      </c>
      <c r="AA42" s="5" t="s">
        <v>201</v>
      </c>
      <c r="AB42" s="5" t="s">
        <v>201</v>
      </c>
      <c r="AC42" s="5" t="s">
        <v>201</v>
      </c>
      <c r="AD42" s="5" t="s">
        <v>201</v>
      </c>
      <c r="AE42" s="5" t="s">
        <v>200</v>
      </c>
      <c r="AF42" s="5" t="s">
        <v>200</v>
      </c>
      <c r="AG42" s="5" t="s">
        <v>201</v>
      </c>
      <c r="AH42" s="5" t="s">
        <v>200</v>
      </c>
      <c r="AI42" s="5" t="s">
        <v>375</v>
      </c>
      <c r="AJ42" s="5" t="s">
        <v>206</v>
      </c>
      <c r="AK42" s="5" t="s">
        <v>202</v>
      </c>
      <c r="AL42" s="5" t="s">
        <v>201</v>
      </c>
      <c r="AM42" s="5" t="s">
        <v>201</v>
      </c>
      <c r="AN42" s="5" t="s">
        <v>198</v>
      </c>
      <c r="AO42" s="5" t="s">
        <v>203</v>
      </c>
      <c r="AP42" s="5" t="s">
        <v>203</v>
      </c>
      <c r="AQ42" s="5" t="s">
        <v>376</v>
      </c>
      <c r="AR42" s="5" t="s">
        <v>206</v>
      </c>
      <c r="AS42" s="5" t="s">
        <v>202</v>
      </c>
      <c r="AT42" s="5" t="s">
        <v>202</v>
      </c>
      <c r="AU42" s="5" t="s">
        <v>202</v>
      </c>
      <c r="AV42" s="5" t="s">
        <v>208</v>
      </c>
      <c r="AW42" s="5" t="s">
        <v>202</v>
      </c>
      <c r="AX42" s="5" t="s">
        <v>208</v>
      </c>
      <c r="AY42" s="5" t="s">
        <v>208</v>
      </c>
      <c r="AZ42" s="5" t="s">
        <v>377</v>
      </c>
    </row>
    <row r="43">
      <c r="A43" s="7">
        <v>45868.01527777778</v>
      </c>
      <c r="B43" s="7">
        <v>45868.02847222222</v>
      </c>
      <c r="C43" s="5" t="s">
        <v>99</v>
      </c>
      <c r="D43" s="5" t="s">
        <v>192</v>
      </c>
      <c r="E43" s="8">
        <v>100.0</v>
      </c>
      <c r="F43" s="8">
        <v>1140.0</v>
      </c>
      <c r="G43" s="9" t="b">
        <v>1</v>
      </c>
      <c r="H43" s="7">
        <v>45868.02847222222</v>
      </c>
      <c r="I43" s="5" t="s">
        <v>378</v>
      </c>
      <c r="K43" s="10"/>
      <c r="L43" s="10"/>
      <c r="M43" s="10"/>
      <c r="N43" s="8">
        <v>60.1816</v>
      </c>
      <c r="O43" s="8">
        <v>24.8368</v>
      </c>
      <c r="P43" s="5" t="s">
        <v>194</v>
      </c>
      <c r="Q43" s="5" t="s">
        <v>195</v>
      </c>
      <c r="R43" s="5" t="s">
        <v>379</v>
      </c>
      <c r="S43" s="5" t="s">
        <v>197</v>
      </c>
      <c r="T43" s="5" t="s">
        <v>202</v>
      </c>
      <c r="U43" s="5" t="s">
        <v>202</v>
      </c>
      <c r="V43" s="5" t="s">
        <v>199</v>
      </c>
      <c r="W43" s="5" t="s">
        <v>202</v>
      </c>
      <c r="X43" s="5" t="s">
        <v>201</v>
      </c>
      <c r="Y43" s="5" t="s">
        <v>201</v>
      </c>
      <c r="Z43" s="5" t="s">
        <v>202</v>
      </c>
      <c r="AA43" s="5" t="s">
        <v>201</v>
      </c>
      <c r="AB43" s="5" t="s">
        <v>201</v>
      </c>
      <c r="AC43" s="5" t="s">
        <v>201</v>
      </c>
      <c r="AD43" s="5" t="s">
        <v>202</v>
      </c>
      <c r="AE43" s="5" t="s">
        <v>202</v>
      </c>
      <c r="AF43" s="5" t="s">
        <v>200</v>
      </c>
      <c r="AG43" s="5" t="s">
        <v>202</v>
      </c>
      <c r="AH43" s="5" t="s">
        <v>200</v>
      </c>
      <c r="AI43" s="5" t="s">
        <v>380</v>
      </c>
      <c r="AJ43" s="5" t="s">
        <v>206</v>
      </c>
      <c r="AK43" s="5" t="s">
        <v>201</v>
      </c>
      <c r="AL43" s="5" t="s">
        <v>201</v>
      </c>
      <c r="AM43" s="5" t="s">
        <v>201</v>
      </c>
      <c r="AN43" s="5" t="s">
        <v>201</v>
      </c>
      <c r="AO43" s="5" t="s">
        <v>201</v>
      </c>
      <c r="AP43" s="5" t="s">
        <v>202</v>
      </c>
      <c r="AQ43" s="5" t="s">
        <v>381</v>
      </c>
      <c r="AR43" s="5" t="s">
        <v>206</v>
      </c>
      <c r="AS43" s="5" t="s">
        <v>202</v>
      </c>
      <c r="AT43" s="5" t="s">
        <v>202</v>
      </c>
      <c r="AU43" s="5" t="s">
        <v>201</v>
      </c>
      <c r="AV43" s="5" t="s">
        <v>208</v>
      </c>
      <c r="AW43" s="5" t="s">
        <v>204</v>
      </c>
      <c r="AX43" s="5" t="s">
        <v>208</v>
      </c>
      <c r="AY43" s="5" t="s">
        <v>204</v>
      </c>
      <c r="AZ43" s="5" t="s">
        <v>382</v>
      </c>
    </row>
    <row r="44">
      <c r="A44" s="7">
        <v>45868.01527777778</v>
      </c>
      <c r="B44" s="7">
        <v>45868.040972222225</v>
      </c>
      <c r="C44" s="5" t="s">
        <v>99</v>
      </c>
      <c r="D44" s="5" t="s">
        <v>383</v>
      </c>
      <c r="E44" s="8">
        <v>100.0</v>
      </c>
      <c r="F44" s="8">
        <v>2166.0</v>
      </c>
      <c r="G44" s="9" t="b">
        <v>1</v>
      </c>
      <c r="H44" s="7">
        <v>45868.040972222225</v>
      </c>
      <c r="I44" s="5" t="s">
        <v>384</v>
      </c>
      <c r="K44" s="10"/>
      <c r="L44" s="10"/>
      <c r="M44" s="10"/>
      <c r="N44" s="8">
        <v>60.1816</v>
      </c>
      <c r="O44" s="8">
        <v>24.8368</v>
      </c>
      <c r="P44" s="5" t="s">
        <v>194</v>
      </c>
      <c r="Q44" s="5" t="s">
        <v>195</v>
      </c>
      <c r="R44" s="5" t="s">
        <v>385</v>
      </c>
      <c r="S44" s="5" t="s">
        <v>211</v>
      </c>
      <c r="T44" s="5" t="s">
        <v>203</v>
      </c>
      <c r="U44" s="5" t="s">
        <v>200</v>
      </c>
      <c r="V44" s="5" t="s">
        <v>199</v>
      </c>
      <c r="W44" s="5" t="s">
        <v>202</v>
      </c>
      <c r="X44" s="5" t="s">
        <v>202</v>
      </c>
      <c r="Y44" s="5" t="s">
        <v>198</v>
      </c>
      <c r="Z44" s="5" t="s">
        <v>198</v>
      </c>
      <c r="AA44" s="5" t="s">
        <v>202</v>
      </c>
      <c r="AB44" s="5" t="s">
        <v>200</v>
      </c>
      <c r="AC44" s="5" t="s">
        <v>200</v>
      </c>
      <c r="AD44" s="5" t="s">
        <v>202</v>
      </c>
      <c r="AE44" s="5" t="s">
        <v>203</v>
      </c>
      <c r="AF44" s="5" t="s">
        <v>203</v>
      </c>
      <c r="AG44" s="5" t="s">
        <v>200</v>
      </c>
      <c r="AH44" s="5" t="s">
        <v>203</v>
      </c>
      <c r="AI44" s="5" t="s">
        <v>386</v>
      </c>
      <c r="AJ44" s="5" t="s">
        <v>206</v>
      </c>
      <c r="AK44" s="5" t="s">
        <v>202</v>
      </c>
      <c r="AL44" s="5" t="s">
        <v>202</v>
      </c>
      <c r="AM44" s="5" t="s">
        <v>201</v>
      </c>
      <c r="AN44" s="5" t="s">
        <v>202</v>
      </c>
      <c r="AO44" s="5" t="s">
        <v>200</v>
      </c>
      <c r="AP44" s="5" t="s">
        <v>203</v>
      </c>
      <c r="AQ44" s="5" t="s">
        <v>387</v>
      </c>
      <c r="AR44" s="5" t="s">
        <v>206</v>
      </c>
      <c r="AS44" s="5" t="s">
        <v>201</v>
      </c>
      <c r="AT44" s="5" t="s">
        <v>202</v>
      </c>
      <c r="AU44" s="5" t="s">
        <v>202</v>
      </c>
      <c r="AV44" s="5" t="s">
        <v>204</v>
      </c>
      <c r="AW44" s="5" t="s">
        <v>204</v>
      </c>
      <c r="AX44" s="5" t="s">
        <v>204</v>
      </c>
      <c r="AY44" s="5" t="s">
        <v>204</v>
      </c>
      <c r="AZ44" s="5" t="s">
        <v>388</v>
      </c>
    </row>
    <row r="45">
      <c r="A45" s="7">
        <v>45868.02361111111</v>
      </c>
      <c r="B45" s="7">
        <v>45868.041666666664</v>
      </c>
      <c r="C45" s="5" t="s">
        <v>99</v>
      </c>
      <c r="D45" s="5" t="s">
        <v>389</v>
      </c>
      <c r="E45" s="8">
        <v>100.0</v>
      </c>
      <c r="F45" s="8">
        <v>1527.0</v>
      </c>
      <c r="G45" s="9" t="b">
        <v>1</v>
      </c>
      <c r="H45" s="7">
        <v>45868.041666666664</v>
      </c>
      <c r="I45" s="5" t="s">
        <v>390</v>
      </c>
      <c r="K45" s="10"/>
      <c r="L45" s="10"/>
      <c r="M45" s="10"/>
      <c r="N45" s="8">
        <v>60.1816</v>
      </c>
      <c r="O45" s="8">
        <v>24.8368</v>
      </c>
      <c r="P45" s="5" t="s">
        <v>194</v>
      </c>
      <c r="Q45" s="5" t="s">
        <v>195</v>
      </c>
      <c r="R45" s="5" t="s">
        <v>379</v>
      </c>
      <c r="S45" s="5" t="s">
        <v>211</v>
      </c>
      <c r="T45" s="5" t="s">
        <v>202</v>
      </c>
      <c r="U45" s="5" t="s">
        <v>202</v>
      </c>
      <c r="V45" s="5" t="s">
        <v>199</v>
      </c>
      <c r="W45" s="5" t="s">
        <v>202</v>
      </c>
      <c r="X45" s="5" t="s">
        <v>201</v>
      </c>
      <c r="Y45" s="5" t="s">
        <v>201</v>
      </c>
      <c r="Z45" s="5" t="s">
        <v>202</v>
      </c>
      <c r="AA45" s="5" t="s">
        <v>201</v>
      </c>
      <c r="AB45" s="5" t="s">
        <v>201</v>
      </c>
      <c r="AC45" s="5" t="s">
        <v>201</v>
      </c>
      <c r="AD45" s="5" t="s">
        <v>202</v>
      </c>
      <c r="AE45" s="5" t="s">
        <v>202</v>
      </c>
      <c r="AF45" s="5" t="s">
        <v>203</v>
      </c>
      <c r="AG45" s="5" t="s">
        <v>202</v>
      </c>
      <c r="AH45" s="5" t="s">
        <v>208</v>
      </c>
      <c r="AI45" s="5" t="s">
        <v>391</v>
      </c>
      <c r="AJ45" s="5" t="s">
        <v>206</v>
      </c>
      <c r="AK45" s="5" t="s">
        <v>202</v>
      </c>
      <c r="AL45" s="5" t="s">
        <v>202</v>
      </c>
      <c r="AM45" s="5" t="s">
        <v>202</v>
      </c>
      <c r="AN45" s="5" t="s">
        <v>201</v>
      </c>
      <c r="AO45" s="5" t="s">
        <v>202</v>
      </c>
      <c r="AP45" s="5" t="s">
        <v>201</v>
      </c>
      <c r="AQ45" s="5" t="s">
        <v>392</v>
      </c>
      <c r="AR45" s="5" t="s">
        <v>206</v>
      </c>
      <c r="AS45" s="5" t="s">
        <v>201</v>
      </c>
      <c r="AT45" s="5" t="s">
        <v>201</v>
      </c>
      <c r="AU45" s="5" t="s">
        <v>202</v>
      </c>
      <c r="AV45" s="5" t="s">
        <v>204</v>
      </c>
      <c r="AW45" s="5" t="s">
        <v>204</v>
      </c>
      <c r="AX45" s="5" t="s">
        <v>204</v>
      </c>
      <c r="AY45" s="5" t="s">
        <v>204</v>
      </c>
      <c r="AZ45" s="5" t="s">
        <v>393</v>
      </c>
    </row>
    <row r="46">
      <c r="A46" s="7">
        <v>45868.04375</v>
      </c>
      <c r="B46" s="7">
        <v>45868.05416666667</v>
      </c>
      <c r="C46" s="5" t="s">
        <v>99</v>
      </c>
      <c r="D46" s="5" t="s">
        <v>389</v>
      </c>
      <c r="E46" s="8">
        <v>100.0</v>
      </c>
      <c r="F46" s="8">
        <v>866.0</v>
      </c>
      <c r="G46" s="9" t="b">
        <v>1</v>
      </c>
      <c r="H46" s="7">
        <v>45868.05416666667</v>
      </c>
      <c r="I46" s="5" t="s">
        <v>394</v>
      </c>
      <c r="K46" s="10"/>
      <c r="L46" s="10"/>
      <c r="M46" s="10"/>
      <c r="N46" s="8">
        <v>60.1816</v>
      </c>
      <c r="O46" s="8">
        <v>24.8368</v>
      </c>
      <c r="P46" s="5" t="s">
        <v>194</v>
      </c>
      <c r="Q46" s="5" t="s">
        <v>195</v>
      </c>
      <c r="R46" s="5" t="s">
        <v>379</v>
      </c>
      <c r="S46" s="5" t="s">
        <v>216</v>
      </c>
      <c r="T46" s="5" t="s">
        <v>202</v>
      </c>
      <c r="U46" s="5" t="s">
        <v>200</v>
      </c>
      <c r="V46" s="5" t="s">
        <v>199</v>
      </c>
      <c r="W46" s="5" t="s">
        <v>201</v>
      </c>
      <c r="X46" s="5" t="s">
        <v>201</v>
      </c>
      <c r="Y46" s="5" t="s">
        <v>201</v>
      </c>
      <c r="Z46" s="5" t="s">
        <v>202</v>
      </c>
      <c r="AA46" s="5" t="s">
        <v>202</v>
      </c>
      <c r="AB46" s="5" t="s">
        <v>201</v>
      </c>
      <c r="AC46" s="5" t="s">
        <v>201</v>
      </c>
      <c r="AD46" s="5" t="s">
        <v>202</v>
      </c>
      <c r="AE46" s="5" t="s">
        <v>200</v>
      </c>
      <c r="AF46" s="5" t="s">
        <v>202</v>
      </c>
      <c r="AG46" s="5" t="s">
        <v>202</v>
      </c>
      <c r="AH46" s="5" t="s">
        <v>198</v>
      </c>
      <c r="AI46" s="5" t="s">
        <v>395</v>
      </c>
      <c r="AJ46" s="5" t="s">
        <v>206</v>
      </c>
      <c r="AK46" s="5" t="s">
        <v>202</v>
      </c>
      <c r="AL46" s="5" t="s">
        <v>202</v>
      </c>
      <c r="AM46" s="5" t="s">
        <v>201</v>
      </c>
      <c r="AN46" s="5" t="s">
        <v>201</v>
      </c>
      <c r="AO46" s="5" t="s">
        <v>201</v>
      </c>
      <c r="AP46" s="5" t="s">
        <v>201</v>
      </c>
      <c r="AQ46" s="5" t="s">
        <v>396</v>
      </c>
      <c r="AR46" s="5" t="s">
        <v>206</v>
      </c>
      <c r="AS46" s="5" t="s">
        <v>202</v>
      </c>
      <c r="AT46" s="5" t="s">
        <v>202</v>
      </c>
      <c r="AU46" s="5" t="s">
        <v>202</v>
      </c>
      <c r="AV46" s="5" t="s">
        <v>204</v>
      </c>
      <c r="AW46" s="5" t="s">
        <v>204</v>
      </c>
      <c r="AX46" s="5" t="s">
        <v>204</v>
      </c>
      <c r="AY46" s="5" t="s">
        <v>204</v>
      </c>
      <c r="AZ46" s="5" t="s">
        <v>397</v>
      </c>
    </row>
    <row r="47">
      <c r="A47" s="7">
        <v>45868.04513888889</v>
      </c>
      <c r="B47" s="7">
        <v>45868.055555555555</v>
      </c>
      <c r="C47" s="5" t="s">
        <v>99</v>
      </c>
      <c r="D47" s="5" t="s">
        <v>192</v>
      </c>
      <c r="E47" s="8">
        <v>100.0</v>
      </c>
      <c r="F47" s="8">
        <v>863.0</v>
      </c>
      <c r="G47" s="9" t="b">
        <v>1</v>
      </c>
      <c r="H47" s="7">
        <v>45868.055555555555</v>
      </c>
      <c r="I47" s="5" t="s">
        <v>398</v>
      </c>
      <c r="L47" s="10"/>
      <c r="M47" s="10"/>
      <c r="N47" s="8">
        <v>60.1816</v>
      </c>
      <c r="O47" s="8">
        <v>24.8368</v>
      </c>
      <c r="P47" s="5" t="s">
        <v>194</v>
      </c>
      <c r="Q47" s="5" t="s">
        <v>195</v>
      </c>
      <c r="R47" s="5" t="s">
        <v>385</v>
      </c>
      <c r="S47" s="5" t="s">
        <v>197</v>
      </c>
      <c r="T47" s="5" t="s">
        <v>201</v>
      </c>
      <c r="U47" s="5" t="s">
        <v>202</v>
      </c>
      <c r="V47" s="5" t="s">
        <v>199</v>
      </c>
      <c r="W47" s="5" t="s">
        <v>202</v>
      </c>
      <c r="X47" s="5" t="s">
        <v>202</v>
      </c>
      <c r="Y47" s="5" t="s">
        <v>201</v>
      </c>
      <c r="Z47" s="5" t="s">
        <v>202</v>
      </c>
      <c r="AA47" s="5" t="s">
        <v>201</v>
      </c>
      <c r="AB47" s="5" t="s">
        <v>202</v>
      </c>
      <c r="AC47" s="5" t="s">
        <v>202</v>
      </c>
      <c r="AD47" s="5" t="s">
        <v>202</v>
      </c>
      <c r="AE47" s="5" t="s">
        <v>203</v>
      </c>
      <c r="AF47" s="5" t="s">
        <v>203</v>
      </c>
      <c r="AG47" s="5" t="s">
        <v>202</v>
      </c>
      <c r="AH47" s="5" t="s">
        <v>200</v>
      </c>
      <c r="AI47" s="5" t="s">
        <v>399</v>
      </c>
      <c r="AJ47" s="5" t="s">
        <v>206</v>
      </c>
      <c r="AK47" s="5" t="s">
        <v>202</v>
      </c>
      <c r="AL47" s="5" t="s">
        <v>202</v>
      </c>
      <c r="AM47" s="5" t="s">
        <v>201</v>
      </c>
      <c r="AN47" s="5" t="s">
        <v>202</v>
      </c>
      <c r="AO47" s="5" t="s">
        <v>202</v>
      </c>
      <c r="AP47" s="5" t="s">
        <v>203</v>
      </c>
      <c r="AQ47" s="5" t="s">
        <v>400</v>
      </c>
      <c r="AR47" s="5" t="s">
        <v>206</v>
      </c>
      <c r="AS47" s="5" t="s">
        <v>202</v>
      </c>
      <c r="AT47" s="5" t="s">
        <v>202</v>
      </c>
      <c r="AU47" s="5" t="s">
        <v>202</v>
      </c>
      <c r="AV47" s="5" t="s">
        <v>208</v>
      </c>
      <c r="AW47" s="5" t="s">
        <v>204</v>
      </c>
      <c r="AX47" s="5" t="s">
        <v>208</v>
      </c>
      <c r="AY47" s="5" t="s">
        <v>204</v>
      </c>
      <c r="AZ47" s="5" t="s">
        <v>401</v>
      </c>
    </row>
    <row r="48">
      <c r="A48" s="7">
        <v>45868.06041666667</v>
      </c>
      <c r="B48" s="7">
        <v>45868.07083333333</v>
      </c>
      <c r="C48" s="5" t="s">
        <v>99</v>
      </c>
      <c r="D48" s="5" t="s">
        <v>389</v>
      </c>
      <c r="E48" s="8">
        <v>100.0</v>
      </c>
      <c r="F48" s="8">
        <v>942.0</v>
      </c>
      <c r="G48" s="9" t="b">
        <v>1</v>
      </c>
      <c r="H48" s="7">
        <v>45868.07083333333</v>
      </c>
      <c r="I48" s="5" t="s">
        <v>402</v>
      </c>
      <c r="K48" s="10"/>
      <c r="L48" s="10"/>
      <c r="M48" s="10"/>
      <c r="N48" s="8">
        <v>60.1816</v>
      </c>
      <c r="O48" s="8">
        <v>24.8368</v>
      </c>
      <c r="P48" s="5" t="s">
        <v>194</v>
      </c>
      <c r="Q48" s="5" t="s">
        <v>195</v>
      </c>
      <c r="R48" s="5" t="s">
        <v>385</v>
      </c>
      <c r="S48" s="5" t="s">
        <v>263</v>
      </c>
      <c r="T48" s="5" t="s">
        <v>202</v>
      </c>
      <c r="U48" s="5" t="s">
        <v>200</v>
      </c>
      <c r="V48" s="5" t="s">
        <v>199</v>
      </c>
      <c r="W48" s="5" t="s">
        <v>202</v>
      </c>
      <c r="X48" s="5" t="s">
        <v>200</v>
      </c>
      <c r="Y48" s="5" t="s">
        <v>201</v>
      </c>
      <c r="Z48" s="5" t="s">
        <v>200</v>
      </c>
      <c r="AA48" s="5" t="s">
        <v>201</v>
      </c>
      <c r="AB48" s="5" t="s">
        <v>202</v>
      </c>
      <c r="AC48" s="5" t="s">
        <v>200</v>
      </c>
      <c r="AD48" s="5" t="s">
        <v>202</v>
      </c>
      <c r="AE48" s="5" t="s">
        <v>202</v>
      </c>
      <c r="AF48" s="5" t="s">
        <v>208</v>
      </c>
      <c r="AG48" s="5" t="s">
        <v>202</v>
      </c>
      <c r="AH48" s="5" t="s">
        <v>200</v>
      </c>
      <c r="AI48" s="5" t="s">
        <v>403</v>
      </c>
      <c r="AJ48" s="5" t="s">
        <v>206</v>
      </c>
      <c r="AK48" s="5" t="s">
        <v>202</v>
      </c>
      <c r="AL48" s="5" t="s">
        <v>202</v>
      </c>
      <c r="AM48" s="5" t="s">
        <v>202</v>
      </c>
      <c r="AN48" s="5" t="s">
        <v>202</v>
      </c>
      <c r="AO48" s="5" t="s">
        <v>202</v>
      </c>
      <c r="AP48" s="5" t="s">
        <v>203</v>
      </c>
      <c r="AQ48" s="5" t="s">
        <v>404</v>
      </c>
      <c r="AR48" s="5" t="s">
        <v>206</v>
      </c>
      <c r="AS48" s="5" t="s">
        <v>202</v>
      </c>
      <c r="AT48" s="5" t="s">
        <v>200</v>
      </c>
      <c r="AU48" s="5" t="s">
        <v>200</v>
      </c>
      <c r="AV48" s="5" t="s">
        <v>208</v>
      </c>
      <c r="AW48" s="5" t="s">
        <v>208</v>
      </c>
      <c r="AX48" s="5" t="s">
        <v>200</v>
      </c>
      <c r="AY48" s="5" t="s">
        <v>208</v>
      </c>
      <c r="AZ48" s="5" t="s">
        <v>405</v>
      </c>
    </row>
    <row r="49">
      <c r="A49" s="7">
        <v>45868.06527777778</v>
      </c>
      <c r="B49" s="7">
        <v>45868.072916666664</v>
      </c>
      <c r="C49" s="5" t="s">
        <v>99</v>
      </c>
      <c r="D49" s="5" t="s">
        <v>192</v>
      </c>
      <c r="E49" s="8">
        <v>100.0</v>
      </c>
      <c r="F49" s="8">
        <v>659.0</v>
      </c>
      <c r="G49" s="9" t="b">
        <v>1</v>
      </c>
      <c r="H49" s="7">
        <v>45868.072916666664</v>
      </c>
      <c r="I49" s="5" t="s">
        <v>406</v>
      </c>
      <c r="K49" s="10"/>
      <c r="L49" s="10"/>
      <c r="M49" s="10"/>
      <c r="N49" s="8">
        <v>60.1816</v>
      </c>
      <c r="O49" s="8">
        <v>24.8368</v>
      </c>
      <c r="P49" s="5" t="s">
        <v>194</v>
      </c>
      <c r="Q49" s="5" t="s">
        <v>195</v>
      </c>
      <c r="R49" s="5" t="s">
        <v>379</v>
      </c>
      <c r="S49" s="5" t="s">
        <v>263</v>
      </c>
      <c r="T49" s="5" t="s">
        <v>202</v>
      </c>
      <c r="U49" s="5" t="s">
        <v>202</v>
      </c>
      <c r="V49" s="5" t="s">
        <v>199</v>
      </c>
      <c r="W49" s="5" t="s">
        <v>202</v>
      </c>
      <c r="X49" s="5" t="s">
        <v>202</v>
      </c>
      <c r="Y49" s="5" t="s">
        <v>202</v>
      </c>
      <c r="Z49" s="5" t="s">
        <v>202</v>
      </c>
      <c r="AA49" s="5" t="s">
        <v>201</v>
      </c>
      <c r="AB49" s="5" t="s">
        <v>201</v>
      </c>
      <c r="AC49" s="5" t="s">
        <v>201</v>
      </c>
      <c r="AD49" s="5" t="s">
        <v>201</v>
      </c>
      <c r="AE49" s="5" t="s">
        <v>200</v>
      </c>
      <c r="AF49" s="5" t="s">
        <v>202</v>
      </c>
      <c r="AG49" s="5" t="s">
        <v>202</v>
      </c>
      <c r="AH49" s="5" t="s">
        <v>202</v>
      </c>
      <c r="AI49" s="5" t="s">
        <v>407</v>
      </c>
      <c r="AJ49" s="5" t="s">
        <v>206</v>
      </c>
      <c r="AK49" s="5" t="s">
        <v>202</v>
      </c>
      <c r="AL49" s="5" t="s">
        <v>201</v>
      </c>
      <c r="AM49" s="5" t="s">
        <v>201</v>
      </c>
      <c r="AN49" s="5" t="s">
        <v>201</v>
      </c>
      <c r="AO49" s="5" t="s">
        <v>201</v>
      </c>
      <c r="AP49" s="5" t="s">
        <v>201</v>
      </c>
      <c r="AQ49" s="5" t="s">
        <v>408</v>
      </c>
      <c r="AR49" s="5" t="s">
        <v>206</v>
      </c>
      <c r="AS49" s="5" t="s">
        <v>201</v>
      </c>
      <c r="AT49" s="5" t="s">
        <v>201</v>
      </c>
      <c r="AU49" s="5" t="s">
        <v>201</v>
      </c>
      <c r="AV49" s="5" t="s">
        <v>204</v>
      </c>
      <c r="AW49" s="5" t="s">
        <v>204</v>
      </c>
      <c r="AX49" s="5" t="s">
        <v>204</v>
      </c>
      <c r="AY49" s="5" t="s">
        <v>204</v>
      </c>
      <c r="AZ49" s="5" t="s">
        <v>409</v>
      </c>
    </row>
    <row r="50">
      <c r="A50" s="7">
        <v>45868.080555555556</v>
      </c>
      <c r="B50" s="7">
        <v>45868.08541666667</v>
      </c>
      <c r="C50" s="5" t="s">
        <v>99</v>
      </c>
      <c r="D50" s="5" t="s">
        <v>192</v>
      </c>
      <c r="E50" s="8">
        <v>100.0</v>
      </c>
      <c r="F50" s="8">
        <v>380.0</v>
      </c>
      <c r="G50" s="9" t="b">
        <v>1</v>
      </c>
      <c r="H50" s="7">
        <v>45868.08541666667</v>
      </c>
      <c r="I50" s="5" t="s">
        <v>410</v>
      </c>
      <c r="L50" s="10"/>
      <c r="M50" s="10"/>
      <c r="N50" s="8">
        <v>60.1816</v>
      </c>
      <c r="O50" s="8">
        <v>24.8368</v>
      </c>
      <c r="P50" s="5" t="s">
        <v>194</v>
      </c>
      <c r="Q50" s="5" t="s">
        <v>195</v>
      </c>
      <c r="R50" s="5" t="s">
        <v>411</v>
      </c>
      <c r="S50" s="5" t="s">
        <v>263</v>
      </c>
      <c r="T50" s="5" t="s">
        <v>198</v>
      </c>
      <c r="U50" s="5" t="s">
        <v>198</v>
      </c>
      <c r="V50" s="5" t="s">
        <v>199</v>
      </c>
      <c r="W50" s="5" t="s">
        <v>202</v>
      </c>
      <c r="X50" s="5" t="s">
        <v>202</v>
      </c>
      <c r="Y50" s="5" t="s">
        <v>198</v>
      </c>
      <c r="Z50" s="5" t="s">
        <v>198</v>
      </c>
      <c r="AA50" s="5" t="s">
        <v>200</v>
      </c>
      <c r="AB50" s="5" t="s">
        <v>202</v>
      </c>
      <c r="AC50" s="5" t="s">
        <v>202</v>
      </c>
      <c r="AD50" s="5" t="s">
        <v>202</v>
      </c>
      <c r="AE50" s="5" t="s">
        <v>198</v>
      </c>
      <c r="AF50" s="5" t="s">
        <v>203</v>
      </c>
      <c r="AG50" s="5" t="s">
        <v>202</v>
      </c>
      <c r="AH50" s="5" t="s">
        <v>208</v>
      </c>
      <c r="AI50" s="11" t="s">
        <v>412</v>
      </c>
      <c r="AJ50" s="5" t="s">
        <v>206</v>
      </c>
      <c r="AK50" s="5" t="s">
        <v>200</v>
      </c>
      <c r="AL50" s="5" t="s">
        <v>200</v>
      </c>
      <c r="AM50" s="5" t="s">
        <v>200</v>
      </c>
      <c r="AN50" s="5" t="s">
        <v>200</v>
      </c>
      <c r="AO50" s="5" t="s">
        <v>200</v>
      </c>
      <c r="AP50" s="5" t="s">
        <v>202</v>
      </c>
      <c r="AQ50" s="5" t="s">
        <v>413</v>
      </c>
      <c r="AR50" s="5" t="s">
        <v>206</v>
      </c>
      <c r="AS50" s="5" t="s">
        <v>202</v>
      </c>
      <c r="AT50" s="5" t="s">
        <v>201</v>
      </c>
      <c r="AU50" s="5" t="s">
        <v>202</v>
      </c>
      <c r="AV50" s="5" t="s">
        <v>208</v>
      </c>
      <c r="AW50" s="5" t="s">
        <v>208</v>
      </c>
      <c r="AX50" s="5" t="s">
        <v>204</v>
      </c>
      <c r="AY50" s="5" t="s">
        <v>208</v>
      </c>
      <c r="AZ50" s="5" t="s">
        <v>414</v>
      </c>
    </row>
    <row r="51">
      <c r="A51" s="7">
        <v>45868.07152777778</v>
      </c>
      <c r="B51" s="7">
        <v>45868.08541666667</v>
      </c>
      <c r="C51" s="5" t="s">
        <v>99</v>
      </c>
      <c r="D51" s="5" t="s">
        <v>389</v>
      </c>
      <c r="E51" s="8">
        <v>100.0</v>
      </c>
      <c r="F51" s="8">
        <v>1190.0</v>
      </c>
      <c r="G51" s="9" t="b">
        <v>1</v>
      </c>
      <c r="H51" s="7">
        <v>45868.08541666667</v>
      </c>
      <c r="I51" s="5" t="s">
        <v>415</v>
      </c>
      <c r="K51" s="10"/>
      <c r="L51" s="10"/>
      <c r="M51" s="10"/>
      <c r="N51" s="8">
        <v>60.1816</v>
      </c>
      <c r="O51" s="8">
        <v>24.8368</v>
      </c>
      <c r="P51" s="5" t="s">
        <v>194</v>
      </c>
      <c r="Q51" s="5" t="s">
        <v>195</v>
      </c>
      <c r="R51" s="5" t="s">
        <v>385</v>
      </c>
      <c r="S51" s="5" t="s">
        <v>216</v>
      </c>
      <c r="T51" s="5" t="s">
        <v>198</v>
      </c>
      <c r="U51" s="5" t="s">
        <v>200</v>
      </c>
      <c r="V51" s="5" t="s">
        <v>199</v>
      </c>
      <c r="W51" s="5" t="s">
        <v>203</v>
      </c>
      <c r="X51" s="5" t="s">
        <v>198</v>
      </c>
      <c r="Y51" s="5" t="s">
        <v>198</v>
      </c>
      <c r="Z51" s="5" t="s">
        <v>200</v>
      </c>
      <c r="AA51" s="5" t="s">
        <v>202</v>
      </c>
      <c r="AB51" s="5" t="s">
        <v>202</v>
      </c>
      <c r="AC51" s="5" t="s">
        <v>202</v>
      </c>
      <c r="AD51" s="5" t="s">
        <v>200</v>
      </c>
      <c r="AE51" s="5" t="s">
        <v>198</v>
      </c>
      <c r="AF51" s="5" t="s">
        <v>198</v>
      </c>
      <c r="AG51" s="5" t="s">
        <v>202</v>
      </c>
      <c r="AH51" s="5" t="s">
        <v>200</v>
      </c>
      <c r="AI51" s="5" t="s">
        <v>416</v>
      </c>
      <c r="AJ51" s="5" t="s">
        <v>206</v>
      </c>
      <c r="AK51" s="5" t="s">
        <v>202</v>
      </c>
      <c r="AL51" s="5" t="s">
        <v>200</v>
      </c>
      <c r="AM51" s="5" t="s">
        <v>202</v>
      </c>
      <c r="AN51" s="5" t="s">
        <v>200</v>
      </c>
      <c r="AO51" s="5" t="s">
        <v>198</v>
      </c>
      <c r="AP51" s="5" t="s">
        <v>203</v>
      </c>
      <c r="AQ51" s="5" t="s">
        <v>417</v>
      </c>
      <c r="AR51" s="5" t="s">
        <v>206</v>
      </c>
      <c r="AS51" s="5" t="s">
        <v>202</v>
      </c>
      <c r="AT51" s="5" t="s">
        <v>200</v>
      </c>
      <c r="AU51" s="5" t="s">
        <v>198</v>
      </c>
      <c r="AV51" s="5" t="s">
        <v>204</v>
      </c>
      <c r="AW51" s="5" t="s">
        <v>204</v>
      </c>
      <c r="AX51" s="5" t="s">
        <v>208</v>
      </c>
      <c r="AY51" s="5" t="s">
        <v>204</v>
      </c>
      <c r="AZ51" s="5" t="s">
        <v>418</v>
      </c>
    </row>
    <row r="52">
      <c r="A52" s="7">
        <v>45868.08263888889</v>
      </c>
      <c r="B52" s="7">
        <v>45868.089583333334</v>
      </c>
      <c r="C52" s="5" t="s">
        <v>99</v>
      </c>
      <c r="D52" s="5" t="s">
        <v>192</v>
      </c>
      <c r="E52" s="8">
        <v>100.0</v>
      </c>
      <c r="F52" s="8">
        <v>627.0</v>
      </c>
      <c r="G52" s="9" t="b">
        <v>1</v>
      </c>
      <c r="H52" s="7">
        <v>45868.089583333334</v>
      </c>
      <c r="I52" s="5" t="s">
        <v>419</v>
      </c>
      <c r="K52" s="10"/>
      <c r="L52" s="10"/>
      <c r="M52" s="10"/>
      <c r="N52" s="8">
        <v>60.1816</v>
      </c>
      <c r="O52" s="8">
        <v>24.8368</v>
      </c>
      <c r="P52" s="5" t="s">
        <v>194</v>
      </c>
      <c r="Q52" s="5" t="s">
        <v>195</v>
      </c>
      <c r="R52" s="5" t="s">
        <v>411</v>
      </c>
      <c r="S52" s="5" t="s">
        <v>211</v>
      </c>
      <c r="T52" s="5" t="s">
        <v>208</v>
      </c>
      <c r="U52" s="5" t="s">
        <v>208</v>
      </c>
      <c r="V52" s="5" t="s">
        <v>199</v>
      </c>
      <c r="W52" s="5" t="s">
        <v>208</v>
      </c>
      <c r="X52" s="5" t="s">
        <v>204</v>
      </c>
      <c r="Y52" s="5" t="s">
        <v>204</v>
      </c>
      <c r="Z52" s="5" t="s">
        <v>208</v>
      </c>
      <c r="AA52" s="5" t="s">
        <v>202</v>
      </c>
      <c r="AB52" s="5" t="s">
        <v>203</v>
      </c>
      <c r="AC52" s="5" t="s">
        <v>200</v>
      </c>
      <c r="AD52" s="5" t="s">
        <v>200</v>
      </c>
      <c r="AE52" s="5" t="s">
        <v>204</v>
      </c>
      <c r="AF52" s="5" t="s">
        <v>203</v>
      </c>
      <c r="AG52" s="5" t="s">
        <v>208</v>
      </c>
      <c r="AH52" s="5" t="s">
        <v>202</v>
      </c>
      <c r="AI52" s="5" t="s">
        <v>420</v>
      </c>
      <c r="AJ52" s="5" t="s">
        <v>206</v>
      </c>
      <c r="AK52" s="5" t="s">
        <v>204</v>
      </c>
      <c r="AL52" s="5" t="s">
        <v>198</v>
      </c>
      <c r="AM52" s="5" t="s">
        <v>204</v>
      </c>
      <c r="AN52" s="5" t="s">
        <v>203</v>
      </c>
      <c r="AO52" s="5" t="s">
        <v>200</v>
      </c>
      <c r="AP52" s="5" t="s">
        <v>202</v>
      </c>
      <c r="AQ52" s="5" t="s">
        <v>421</v>
      </c>
      <c r="AR52" s="5" t="s">
        <v>206</v>
      </c>
      <c r="AS52" s="5" t="s">
        <v>200</v>
      </c>
      <c r="AT52" s="5" t="s">
        <v>203</v>
      </c>
      <c r="AU52" s="5" t="s">
        <v>203</v>
      </c>
      <c r="AV52" s="5" t="s">
        <v>204</v>
      </c>
      <c r="AW52" s="5" t="s">
        <v>204</v>
      </c>
      <c r="AX52" s="5" t="s">
        <v>204</v>
      </c>
      <c r="AY52" s="5" t="s">
        <v>204</v>
      </c>
      <c r="AZ52" s="5" t="s">
        <v>422</v>
      </c>
    </row>
    <row r="53">
      <c r="A53" s="7">
        <v>45868.092361111114</v>
      </c>
      <c r="B53" s="7">
        <v>45868.09583333333</v>
      </c>
      <c r="C53" s="5" t="s">
        <v>99</v>
      </c>
      <c r="D53" s="5" t="s">
        <v>192</v>
      </c>
      <c r="E53" s="8">
        <v>100.0</v>
      </c>
      <c r="F53" s="8">
        <v>323.0</v>
      </c>
      <c r="G53" s="9" t="b">
        <v>1</v>
      </c>
      <c r="H53" s="7">
        <v>45868.09583333333</v>
      </c>
      <c r="I53" s="5" t="s">
        <v>423</v>
      </c>
      <c r="K53" s="10"/>
      <c r="L53" s="10"/>
      <c r="M53" s="10"/>
      <c r="N53" s="8">
        <v>60.1816</v>
      </c>
      <c r="O53" s="8">
        <v>24.8368</v>
      </c>
      <c r="P53" s="5" t="s">
        <v>194</v>
      </c>
      <c r="Q53" s="5" t="s">
        <v>195</v>
      </c>
      <c r="R53" s="5" t="s">
        <v>411</v>
      </c>
      <c r="S53" s="5" t="s">
        <v>197</v>
      </c>
      <c r="T53" s="5" t="s">
        <v>203</v>
      </c>
      <c r="U53" s="5" t="s">
        <v>198</v>
      </c>
      <c r="V53" s="5" t="s">
        <v>199</v>
      </c>
      <c r="W53" s="5" t="s">
        <v>200</v>
      </c>
      <c r="X53" s="5" t="s">
        <v>202</v>
      </c>
      <c r="Y53" s="5" t="s">
        <v>203</v>
      </c>
      <c r="Z53" s="5" t="s">
        <v>203</v>
      </c>
      <c r="AA53" s="5" t="s">
        <v>202</v>
      </c>
      <c r="AB53" s="5" t="s">
        <v>202</v>
      </c>
      <c r="AC53" s="5" t="s">
        <v>202</v>
      </c>
      <c r="AD53" s="5" t="s">
        <v>202</v>
      </c>
      <c r="AE53" s="5" t="s">
        <v>200</v>
      </c>
      <c r="AF53" s="5" t="s">
        <v>203</v>
      </c>
      <c r="AG53" s="5" t="s">
        <v>202</v>
      </c>
      <c r="AH53" s="5" t="s">
        <v>203</v>
      </c>
      <c r="AI53" s="11" t="s">
        <v>424</v>
      </c>
      <c r="AJ53" s="5" t="s">
        <v>206</v>
      </c>
      <c r="AK53" s="5" t="s">
        <v>203</v>
      </c>
      <c r="AL53" s="5" t="s">
        <v>200</v>
      </c>
      <c r="AM53" s="5" t="s">
        <v>202</v>
      </c>
      <c r="AN53" s="5" t="s">
        <v>203</v>
      </c>
      <c r="AO53" s="5" t="s">
        <v>202</v>
      </c>
      <c r="AP53" s="5" t="s">
        <v>202</v>
      </c>
      <c r="AQ53" s="11" t="s">
        <v>425</v>
      </c>
      <c r="AR53" s="10"/>
      <c r="AS53" s="5" t="s">
        <v>202</v>
      </c>
      <c r="AT53" s="5" t="s">
        <v>202</v>
      </c>
      <c r="AU53" s="5" t="s">
        <v>202</v>
      </c>
      <c r="AV53" s="5" t="s">
        <v>204</v>
      </c>
      <c r="AW53" s="5" t="s">
        <v>204</v>
      </c>
      <c r="AX53" s="5" t="s">
        <v>204</v>
      </c>
      <c r="AY53" s="5" t="s">
        <v>204</v>
      </c>
      <c r="AZ53" s="5" t="s">
        <v>426</v>
      </c>
    </row>
    <row r="54">
      <c r="A54" s="7">
        <v>45868.09166666667</v>
      </c>
      <c r="B54" s="7">
        <v>45868.10208333333</v>
      </c>
      <c r="C54" s="5" t="s">
        <v>99</v>
      </c>
      <c r="D54" s="5" t="s">
        <v>389</v>
      </c>
      <c r="E54" s="8">
        <v>100.0</v>
      </c>
      <c r="F54" s="8">
        <v>885.0</v>
      </c>
      <c r="G54" s="9" t="b">
        <v>1</v>
      </c>
      <c r="H54" s="7">
        <v>45868.10208333333</v>
      </c>
      <c r="I54" s="5" t="s">
        <v>427</v>
      </c>
      <c r="K54" s="10"/>
      <c r="L54" s="10"/>
      <c r="M54" s="10"/>
      <c r="N54" s="8">
        <v>60.1816</v>
      </c>
      <c r="O54" s="8">
        <v>24.8368</v>
      </c>
      <c r="P54" s="5" t="s">
        <v>194</v>
      </c>
      <c r="Q54" s="5" t="s">
        <v>195</v>
      </c>
      <c r="R54" s="5" t="s">
        <v>428</v>
      </c>
      <c r="S54" s="5" t="s">
        <v>216</v>
      </c>
      <c r="T54" s="5" t="s">
        <v>203</v>
      </c>
      <c r="U54" s="5" t="s">
        <v>202</v>
      </c>
      <c r="V54" s="5" t="s">
        <v>199</v>
      </c>
      <c r="W54" s="5" t="s">
        <v>202</v>
      </c>
      <c r="X54" s="5" t="s">
        <v>202</v>
      </c>
      <c r="Y54" s="5" t="s">
        <v>202</v>
      </c>
      <c r="Z54" s="5" t="s">
        <v>198</v>
      </c>
      <c r="AA54" s="5" t="s">
        <v>202</v>
      </c>
      <c r="AB54" s="5" t="s">
        <v>202</v>
      </c>
      <c r="AC54" s="5" t="s">
        <v>202</v>
      </c>
      <c r="AD54" s="5" t="s">
        <v>202</v>
      </c>
      <c r="AE54" s="5" t="s">
        <v>198</v>
      </c>
      <c r="AF54" s="5" t="s">
        <v>203</v>
      </c>
      <c r="AG54" s="5" t="s">
        <v>202</v>
      </c>
      <c r="AH54" s="5" t="s">
        <v>202</v>
      </c>
      <c r="AI54" s="5" t="s">
        <v>429</v>
      </c>
      <c r="AJ54" s="5" t="s">
        <v>206</v>
      </c>
      <c r="AK54" s="5" t="s">
        <v>200</v>
      </c>
      <c r="AL54" s="5" t="s">
        <v>200</v>
      </c>
      <c r="AM54" s="5" t="s">
        <v>200</v>
      </c>
      <c r="AN54" s="5" t="s">
        <v>202</v>
      </c>
      <c r="AO54" s="5" t="s">
        <v>203</v>
      </c>
      <c r="AP54" s="5" t="s">
        <v>200</v>
      </c>
      <c r="AQ54" s="5" t="s">
        <v>430</v>
      </c>
      <c r="AR54" s="5" t="s">
        <v>206</v>
      </c>
      <c r="AS54" s="5" t="s">
        <v>202</v>
      </c>
      <c r="AT54" s="5" t="s">
        <v>200</v>
      </c>
      <c r="AU54" s="5" t="s">
        <v>203</v>
      </c>
      <c r="AV54" s="5" t="s">
        <v>204</v>
      </c>
      <c r="AW54" s="5" t="s">
        <v>204</v>
      </c>
      <c r="AX54" s="5" t="s">
        <v>204</v>
      </c>
      <c r="AY54" s="5" t="s">
        <v>204</v>
      </c>
      <c r="AZ54" s="5" t="s">
        <v>431</v>
      </c>
    </row>
    <row r="55">
      <c r="A55" s="7">
        <v>45868.15555555555</v>
      </c>
      <c r="B55" s="7">
        <v>45868.16805555556</v>
      </c>
      <c r="C55" s="5" t="s">
        <v>99</v>
      </c>
      <c r="D55" s="5" t="s">
        <v>389</v>
      </c>
      <c r="E55" s="8">
        <v>100.0</v>
      </c>
      <c r="F55" s="8">
        <v>1034.0</v>
      </c>
      <c r="G55" s="9" t="b">
        <v>1</v>
      </c>
      <c r="H55" s="7">
        <v>45868.16805555556</v>
      </c>
      <c r="I55" s="5" t="s">
        <v>432</v>
      </c>
      <c r="K55" s="10"/>
      <c r="L55" s="10"/>
      <c r="M55" s="10"/>
      <c r="N55" s="8">
        <v>60.1816</v>
      </c>
      <c r="O55" s="8">
        <v>24.8368</v>
      </c>
      <c r="P55" s="5" t="s">
        <v>194</v>
      </c>
      <c r="Q55" s="5" t="s">
        <v>195</v>
      </c>
      <c r="R55" s="5" t="s">
        <v>433</v>
      </c>
      <c r="S55" s="5" t="s">
        <v>216</v>
      </c>
      <c r="T55" s="5" t="s">
        <v>198</v>
      </c>
      <c r="U55" s="5" t="s">
        <v>208</v>
      </c>
      <c r="V55" s="5" t="s">
        <v>199</v>
      </c>
      <c r="W55" s="5" t="s">
        <v>200</v>
      </c>
      <c r="X55" s="5" t="s">
        <v>203</v>
      </c>
      <c r="Y55" s="5" t="s">
        <v>208</v>
      </c>
      <c r="Z55" s="5" t="s">
        <v>208</v>
      </c>
      <c r="AA55" s="5" t="s">
        <v>208</v>
      </c>
      <c r="AB55" s="5" t="s">
        <v>202</v>
      </c>
      <c r="AC55" s="5" t="s">
        <v>202</v>
      </c>
      <c r="AD55" s="5" t="s">
        <v>198</v>
      </c>
      <c r="AE55" s="5" t="s">
        <v>208</v>
      </c>
      <c r="AF55" s="5" t="s">
        <v>208</v>
      </c>
      <c r="AG55" s="5" t="s">
        <v>202</v>
      </c>
      <c r="AH55" s="5" t="s">
        <v>202</v>
      </c>
      <c r="AI55" s="5" t="s">
        <v>434</v>
      </c>
      <c r="AJ55" s="5" t="s">
        <v>206</v>
      </c>
      <c r="AK55" s="5" t="s">
        <v>202</v>
      </c>
      <c r="AL55" s="5" t="s">
        <v>203</v>
      </c>
      <c r="AM55" s="5" t="s">
        <v>198</v>
      </c>
      <c r="AN55" s="5" t="s">
        <v>202</v>
      </c>
      <c r="AO55" s="5" t="s">
        <v>203</v>
      </c>
      <c r="AP55" s="5" t="s">
        <v>208</v>
      </c>
      <c r="AQ55" s="5" t="s">
        <v>435</v>
      </c>
      <c r="AR55" s="5" t="s">
        <v>206</v>
      </c>
      <c r="AS55" s="5" t="s">
        <v>202</v>
      </c>
      <c r="AT55" s="5" t="s">
        <v>200</v>
      </c>
      <c r="AU55" s="5" t="s">
        <v>198</v>
      </c>
      <c r="AV55" s="5" t="s">
        <v>208</v>
      </c>
      <c r="AW55" s="5" t="s">
        <v>208</v>
      </c>
      <c r="AX55" s="5" t="s">
        <v>204</v>
      </c>
      <c r="AY55" s="5" t="s">
        <v>204</v>
      </c>
      <c r="AZ55" s="11" t="s">
        <v>436</v>
      </c>
    </row>
    <row r="56">
      <c r="A56" s="7">
        <v>45868.16875</v>
      </c>
      <c r="B56" s="7">
        <v>45868.180555555555</v>
      </c>
      <c r="C56" s="5" t="s">
        <v>99</v>
      </c>
      <c r="D56" s="5" t="s">
        <v>389</v>
      </c>
      <c r="E56" s="8">
        <v>100.0</v>
      </c>
      <c r="F56" s="8">
        <v>1006.0</v>
      </c>
      <c r="G56" s="9" t="b">
        <v>1</v>
      </c>
      <c r="H56" s="7">
        <v>45868.180555555555</v>
      </c>
      <c r="I56" s="5" t="s">
        <v>437</v>
      </c>
      <c r="K56" s="10"/>
      <c r="L56" s="10"/>
      <c r="M56" s="10"/>
      <c r="N56" s="8">
        <v>60.1816</v>
      </c>
      <c r="O56" s="8">
        <v>24.8368</v>
      </c>
      <c r="P56" s="5" t="s">
        <v>194</v>
      </c>
      <c r="Q56" s="5" t="s">
        <v>195</v>
      </c>
      <c r="R56" s="5" t="s">
        <v>433</v>
      </c>
      <c r="S56" s="5" t="s">
        <v>211</v>
      </c>
      <c r="T56" s="5" t="s">
        <v>208</v>
      </c>
      <c r="U56" s="5" t="s">
        <v>200</v>
      </c>
      <c r="V56" s="5" t="s">
        <v>199</v>
      </c>
      <c r="W56" s="5" t="s">
        <v>202</v>
      </c>
      <c r="X56" s="5" t="s">
        <v>200</v>
      </c>
      <c r="Y56" s="5" t="s">
        <v>203</v>
      </c>
      <c r="Z56" s="5" t="s">
        <v>200</v>
      </c>
      <c r="AA56" s="5" t="s">
        <v>200</v>
      </c>
      <c r="AB56" s="5" t="s">
        <v>201</v>
      </c>
      <c r="AC56" s="5" t="s">
        <v>202</v>
      </c>
      <c r="AD56" s="5" t="s">
        <v>198</v>
      </c>
      <c r="AE56" s="5" t="s">
        <v>200</v>
      </c>
      <c r="AF56" s="5" t="s">
        <v>200</v>
      </c>
      <c r="AG56" s="5" t="s">
        <v>202</v>
      </c>
      <c r="AH56" s="5" t="s">
        <v>202</v>
      </c>
      <c r="AI56" s="11" t="s">
        <v>438</v>
      </c>
      <c r="AJ56" s="5" t="s">
        <v>206</v>
      </c>
      <c r="AK56" s="5" t="s">
        <v>202</v>
      </c>
      <c r="AL56" s="5" t="s">
        <v>203</v>
      </c>
      <c r="AM56" s="5" t="s">
        <v>200</v>
      </c>
      <c r="AN56" s="5" t="s">
        <v>200</v>
      </c>
      <c r="AO56" s="5" t="s">
        <v>200</v>
      </c>
      <c r="AP56" s="5" t="s">
        <v>202</v>
      </c>
      <c r="AQ56" s="11" t="s">
        <v>439</v>
      </c>
      <c r="AR56" s="5" t="s">
        <v>206</v>
      </c>
      <c r="AS56" s="5" t="s">
        <v>200</v>
      </c>
      <c r="AT56" s="5" t="s">
        <v>202</v>
      </c>
      <c r="AU56" s="5" t="s">
        <v>201</v>
      </c>
      <c r="AV56" s="5" t="s">
        <v>204</v>
      </c>
      <c r="AW56" s="5" t="s">
        <v>208</v>
      </c>
      <c r="AX56" s="5" t="s">
        <v>204</v>
      </c>
      <c r="AY56" s="5" t="s">
        <v>204</v>
      </c>
      <c r="AZ56" s="5" t="s">
        <v>440</v>
      </c>
    </row>
    <row r="57">
      <c r="A57" s="7">
        <v>45868.17222222222</v>
      </c>
      <c r="B57" s="7">
        <v>45868.183333333334</v>
      </c>
      <c r="C57" s="5" t="s">
        <v>99</v>
      </c>
      <c r="D57" s="5" t="s">
        <v>192</v>
      </c>
      <c r="E57" s="8">
        <v>100.0</v>
      </c>
      <c r="F57" s="8">
        <v>961.0</v>
      </c>
      <c r="G57" s="9" t="b">
        <v>1</v>
      </c>
      <c r="H57" s="7">
        <v>45868.183333333334</v>
      </c>
      <c r="I57" s="5" t="s">
        <v>441</v>
      </c>
      <c r="K57" s="10"/>
      <c r="L57" s="10"/>
      <c r="M57" s="10"/>
      <c r="N57" s="8">
        <v>60.1816</v>
      </c>
      <c r="O57" s="8">
        <v>24.8368</v>
      </c>
      <c r="P57" s="5" t="s">
        <v>194</v>
      </c>
      <c r="Q57" s="5" t="s">
        <v>195</v>
      </c>
      <c r="R57" s="5" t="s">
        <v>442</v>
      </c>
      <c r="S57" s="5" t="s">
        <v>197</v>
      </c>
      <c r="T57" s="5" t="s">
        <v>198</v>
      </c>
      <c r="U57" s="5" t="s">
        <v>200</v>
      </c>
      <c r="V57" s="5" t="s">
        <v>199</v>
      </c>
      <c r="W57" s="5" t="s">
        <v>198</v>
      </c>
      <c r="X57" s="5" t="s">
        <v>200</v>
      </c>
      <c r="Y57" s="5" t="s">
        <v>200</v>
      </c>
      <c r="Z57" s="5" t="s">
        <v>202</v>
      </c>
      <c r="AA57" s="5" t="s">
        <v>202</v>
      </c>
      <c r="AB57" s="5" t="s">
        <v>202</v>
      </c>
      <c r="AC57" s="5" t="s">
        <v>202</v>
      </c>
      <c r="AD57" s="5" t="s">
        <v>202</v>
      </c>
      <c r="AE57" s="5" t="s">
        <v>203</v>
      </c>
      <c r="AF57" s="5" t="s">
        <v>200</v>
      </c>
      <c r="AG57" s="5" t="s">
        <v>202</v>
      </c>
      <c r="AH57" s="5" t="s">
        <v>203</v>
      </c>
      <c r="AI57" s="5" t="s">
        <v>443</v>
      </c>
      <c r="AJ57" s="5" t="s">
        <v>206</v>
      </c>
      <c r="AK57" s="5" t="s">
        <v>198</v>
      </c>
      <c r="AL57" s="5" t="s">
        <v>198</v>
      </c>
      <c r="AM57" s="5" t="s">
        <v>198</v>
      </c>
      <c r="AN57" s="5" t="s">
        <v>198</v>
      </c>
      <c r="AO57" s="5" t="s">
        <v>203</v>
      </c>
      <c r="AP57" s="5" t="s">
        <v>200</v>
      </c>
      <c r="AQ57" s="5" t="s">
        <v>444</v>
      </c>
      <c r="AR57" s="5" t="s">
        <v>206</v>
      </c>
      <c r="AS57" s="5" t="s">
        <v>203</v>
      </c>
      <c r="AT57" s="5" t="s">
        <v>200</v>
      </c>
      <c r="AU57" s="5" t="s">
        <v>200</v>
      </c>
      <c r="AV57" s="5" t="s">
        <v>208</v>
      </c>
      <c r="AW57" s="5" t="s">
        <v>198</v>
      </c>
      <c r="AX57" s="5" t="s">
        <v>200</v>
      </c>
      <c r="AY57" s="5" t="s">
        <v>198</v>
      </c>
      <c r="AZ57" s="5" t="s">
        <v>445</v>
      </c>
    </row>
    <row r="58">
      <c r="A58" s="7">
        <v>45868.18402777778</v>
      </c>
      <c r="B58" s="7">
        <v>45868.19375</v>
      </c>
      <c r="C58" s="5" t="s">
        <v>99</v>
      </c>
      <c r="D58" s="5" t="s">
        <v>389</v>
      </c>
      <c r="E58" s="8">
        <v>100.0</v>
      </c>
      <c r="F58" s="8">
        <v>829.0</v>
      </c>
      <c r="G58" s="9" t="b">
        <v>1</v>
      </c>
      <c r="H58" s="7">
        <v>45868.19375</v>
      </c>
      <c r="I58" s="5" t="s">
        <v>446</v>
      </c>
      <c r="K58" s="10"/>
      <c r="L58" s="10"/>
      <c r="M58" s="10"/>
      <c r="N58" s="8">
        <v>60.1816</v>
      </c>
      <c r="O58" s="8">
        <v>24.8368</v>
      </c>
      <c r="P58" s="5" t="s">
        <v>194</v>
      </c>
      <c r="Q58" s="5" t="s">
        <v>195</v>
      </c>
      <c r="R58" s="5" t="s">
        <v>442</v>
      </c>
      <c r="S58" s="5" t="s">
        <v>197</v>
      </c>
      <c r="T58" s="5" t="s">
        <v>200</v>
      </c>
      <c r="U58" s="5" t="s">
        <v>198</v>
      </c>
      <c r="V58" s="5" t="s">
        <v>199</v>
      </c>
      <c r="W58" s="5" t="s">
        <v>203</v>
      </c>
      <c r="X58" s="5" t="s">
        <v>200</v>
      </c>
      <c r="Y58" s="5" t="s">
        <v>201</v>
      </c>
      <c r="Z58" s="5" t="s">
        <v>202</v>
      </c>
      <c r="AA58" s="5" t="s">
        <v>201</v>
      </c>
      <c r="AB58" s="5" t="s">
        <v>201</v>
      </c>
      <c r="AC58" s="5" t="s">
        <v>202</v>
      </c>
      <c r="AD58" s="5" t="s">
        <v>202</v>
      </c>
      <c r="AE58" s="5" t="s">
        <v>198</v>
      </c>
      <c r="AF58" s="5" t="s">
        <v>200</v>
      </c>
      <c r="AG58" s="5" t="s">
        <v>200</v>
      </c>
      <c r="AH58" s="5" t="s">
        <v>200</v>
      </c>
      <c r="AI58" s="5" t="s">
        <v>447</v>
      </c>
      <c r="AJ58" s="5" t="s">
        <v>206</v>
      </c>
      <c r="AK58" s="5" t="s">
        <v>200</v>
      </c>
      <c r="AL58" s="5" t="s">
        <v>200</v>
      </c>
      <c r="AM58" s="5" t="s">
        <v>203</v>
      </c>
      <c r="AN58" s="5" t="s">
        <v>200</v>
      </c>
      <c r="AO58" s="5" t="s">
        <v>198</v>
      </c>
      <c r="AP58" s="5" t="s">
        <v>200</v>
      </c>
      <c r="AQ58" s="5" t="s">
        <v>448</v>
      </c>
      <c r="AR58" s="5" t="s">
        <v>206</v>
      </c>
      <c r="AS58" s="5" t="s">
        <v>202</v>
      </c>
      <c r="AT58" s="5" t="s">
        <v>202</v>
      </c>
      <c r="AU58" s="5" t="s">
        <v>202</v>
      </c>
      <c r="AV58" s="5" t="s">
        <v>208</v>
      </c>
      <c r="AW58" s="5" t="s">
        <v>204</v>
      </c>
      <c r="AX58" s="5" t="s">
        <v>208</v>
      </c>
      <c r="AY58" s="5" t="s">
        <v>204</v>
      </c>
      <c r="AZ58" s="5" t="s">
        <v>449</v>
      </c>
    </row>
    <row r="59">
      <c r="A59" s="7">
        <v>45868.18402777778</v>
      </c>
      <c r="B59" s="7">
        <v>45868.20138888889</v>
      </c>
      <c r="C59" s="5" t="s">
        <v>99</v>
      </c>
      <c r="D59" s="5" t="s">
        <v>192</v>
      </c>
      <c r="E59" s="8">
        <v>100.0</v>
      </c>
      <c r="F59" s="8">
        <v>1471.0</v>
      </c>
      <c r="G59" s="9" t="b">
        <v>1</v>
      </c>
      <c r="H59" s="7">
        <v>45868.20138888889</v>
      </c>
      <c r="I59" s="5" t="s">
        <v>450</v>
      </c>
      <c r="K59" s="10"/>
      <c r="L59" s="10"/>
      <c r="M59" s="10"/>
      <c r="N59" s="8">
        <v>60.1816</v>
      </c>
      <c r="O59" s="8">
        <v>24.8368</v>
      </c>
      <c r="P59" s="5" t="s">
        <v>194</v>
      </c>
      <c r="Q59" s="5" t="s">
        <v>195</v>
      </c>
      <c r="R59" s="5" t="s">
        <v>433</v>
      </c>
      <c r="S59" s="5" t="s">
        <v>197</v>
      </c>
      <c r="T59" s="5" t="s">
        <v>202</v>
      </c>
      <c r="U59" s="5" t="s">
        <v>202</v>
      </c>
      <c r="V59" s="5" t="s">
        <v>199</v>
      </c>
      <c r="W59" s="5" t="s">
        <v>202</v>
      </c>
      <c r="X59" s="5" t="s">
        <v>201</v>
      </c>
      <c r="Y59" s="5" t="s">
        <v>201</v>
      </c>
      <c r="Z59" s="5" t="s">
        <v>202</v>
      </c>
      <c r="AA59" s="5" t="s">
        <v>203</v>
      </c>
      <c r="AB59" s="5" t="s">
        <v>202</v>
      </c>
      <c r="AC59" s="5" t="s">
        <v>202</v>
      </c>
      <c r="AD59" s="5" t="s">
        <v>202</v>
      </c>
      <c r="AE59" s="5" t="s">
        <v>202</v>
      </c>
      <c r="AF59" s="5" t="s">
        <v>200</v>
      </c>
      <c r="AG59" s="5" t="s">
        <v>201</v>
      </c>
      <c r="AH59" s="5" t="s">
        <v>202</v>
      </c>
      <c r="AI59" s="11" t="s">
        <v>451</v>
      </c>
      <c r="AJ59" s="5" t="s">
        <v>206</v>
      </c>
      <c r="AK59" s="5" t="s">
        <v>202</v>
      </c>
      <c r="AL59" s="5" t="s">
        <v>202</v>
      </c>
      <c r="AM59" s="5" t="s">
        <v>202</v>
      </c>
      <c r="AN59" s="5" t="s">
        <v>200</v>
      </c>
      <c r="AO59" s="5" t="s">
        <v>200</v>
      </c>
      <c r="AP59" s="5" t="s">
        <v>202</v>
      </c>
      <c r="AQ59" s="5" t="s">
        <v>452</v>
      </c>
      <c r="AR59" s="5" t="s">
        <v>206</v>
      </c>
      <c r="AS59" s="5" t="s">
        <v>202</v>
      </c>
      <c r="AT59" s="5" t="s">
        <v>208</v>
      </c>
      <c r="AU59" s="5" t="s">
        <v>201</v>
      </c>
      <c r="AV59" s="5" t="s">
        <v>208</v>
      </c>
      <c r="AW59" s="5" t="s">
        <v>208</v>
      </c>
      <c r="AX59" s="5" t="s">
        <v>200</v>
      </c>
      <c r="AY59" s="5" t="s">
        <v>202</v>
      </c>
      <c r="AZ59" s="11" t="s">
        <v>453</v>
      </c>
    </row>
    <row r="60">
      <c r="A60" s="7">
        <v>45868.19513888889</v>
      </c>
      <c r="B60" s="7">
        <v>45868.20208333333</v>
      </c>
      <c r="C60" s="5" t="s">
        <v>99</v>
      </c>
      <c r="D60" s="5" t="s">
        <v>389</v>
      </c>
      <c r="E60" s="8">
        <v>100.0</v>
      </c>
      <c r="F60" s="8">
        <v>626.0</v>
      </c>
      <c r="G60" s="9" t="b">
        <v>1</v>
      </c>
      <c r="H60" s="7">
        <v>45868.20208333333</v>
      </c>
      <c r="I60" s="5" t="s">
        <v>454</v>
      </c>
      <c r="K60" s="10"/>
      <c r="L60" s="10"/>
      <c r="M60" s="10"/>
      <c r="N60" s="8">
        <v>60.1816</v>
      </c>
      <c r="O60" s="8">
        <v>24.8368</v>
      </c>
      <c r="P60" s="5" t="s">
        <v>194</v>
      </c>
      <c r="Q60" s="5" t="s">
        <v>195</v>
      </c>
      <c r="R60" s="5" t="s">
        <v>442</v>
      </c>
      <c r="S60" s="5" t="s">
        <v>216</v>
      </c>
      <c r="T60" s="5" t="s">
        <v>200</v>
      </c>
      <c r="U60" s="5" t="s">
        <v>200</v>
      </c>
      <c r="V60" s="5" t="s">
        <v>199</v>
      </c>
      <c r="W60" s="5" t="s">
        <v>200</v>
      </c>
      <c r="X60" s="5" t="s">
        <v>200</v>
      </c>
      <c r="Y60" s="5" t="s">
        <v>202</v>
      </c>
      <c r="Z60" s="5" t="s">
        <v>200</v>
      </c>
      <c r="AA60" s="5" t="s">
        <v>200</v>
      </c>
      <c r="AB60" s="5" t="s">
        <v>200</v>
      </c>
      <c r="AC60" s="5" t="s">
        <v>200</v>
      </c>
      <c r="AD60" s="5" t="s">
        <v>200</v>
      </c>
      <c r="AE60" s="5" t="s">
        <v>203</v>
      </c>
      <c r="AF60" s="5" t="s">
        <v>198</v>
      </c>
      <c r="AG60" s="5" t="s">
        <v>200</v>
      </c>
      <c r="AH60" s="5" t="s">
        <v>208</v>
      </c>
      <c r="AI60" s="5" t="s">
        <v>455</v>
      </c>
      <c r="AJ60" s="5" t="s">
        <v>206</v>
      </c>
      <c r="AK60" s="5" t="s">
        <v>200</v>
      </c>
      <c r="AL60" s="5" t="s">
        <v>200</v>
      </c>
      <c r="AM60" s="5" t="s">
        <v>200</v>
      </c>
      <c r="AN60" s="5" t="s">
        <v>202</v>
      </c>
      <c r="AO60" s="5" t="s">
        <v>202</v>
      </c>
      <c r="AP60" s="5" t="s">
        <v>202</v>
      </c>
      <c r="AQ60" s="5" t="s">
        <v>456</v>
      </c>
      <c r="AR60" s="5" t="s">
        <v>206</v>
      </c>
      <c r="AS60" s="5" t="s">
        <v>202</v>
      </c>
      <c r="AT60" s="5" t="s">
        <v>202</v>
      </c>
      <c r="AU60" s="5" t="s">
        <v>202</v>
      </c>
      <c r="AV60" s="5" t="s">
        <v>208</v>
      </c>
      <c r="AW60" s="5" t="s">
        <v>208</v>
      </c>
      <c r="AX60" s="5" t="s">
        <v>208</v>
      </c>
      <c r="AY60" s="5" t="s">
        <v>208</v>
      </c>
      <c r="AZ60" s="5" t="s">
        <v>457</v>
      </c>
    </row>
    <row r="61">
      <c r="A61" s="7">
        <v>45868.21111111111</v>
      </c>
      <c r="B61" s="7">
        <v>45868.21527777778</v>
      </c>
      <c r="C61" s="5" t="s">
        <v>99</v>
      </c>
      <c r="D61" s="5" t="s">
        <v>389</v>
      </c>
      <c r="E61" s="8">
        <v>100.0</v>
      </c>
      <c r="F61" s="8">
        <v>319.0</v>
      </c>
      <c r="G61" s="9" t="b">
        <v>1</v>
      </c>
      <c r="H61" s="7">
        <v>45868.21527777778</v>
      </c>
      <c r="I61" s="5" t="s">
        <v>458</v>
      </c>
      <c r="K61" s="10"/>
      <c r="L61" s="10"/>
      <c r="M61" s="10"/>
      <c r="N61" s="8">
        <v>60.1816</v>
      </c>
      <c r="O61" s="8">
        <v>24.8368</v>
      </c>
      <c r="P61" s="5" t="s">
        <v>194</v>
      </c>
      <c r="Q61" s="5" t="s">
        <v>195</v>
      </c>
      <c r="R61" s="5" t="s">
        <v>442</v>
      </c>
      <c r="S61" s="5" t="s">
        <v>263</v>
      </c>
      <c r="T61" s="5" t="s">
        <v>200</v>
      </c>
      <c r="U61" s="5" t="s">
        <v>200</v>
      </c>
      <c r="V61" s="5" t="s">
        <v>199</v>
      </c>
      <c r="W61" s="5" t="s">
        <v>202</v>
      </c>
      <c r="X61" s="5" t="s">
        <v>200</v>
      </c>
      <c r="Y61" s="5" t="s">
        <v>200</v>
      </c>
      <c r="Z61" s="5" t="s">
        <v>202</v>
      </c>
      <c r="AA61" s="5" t="s">
        <v>202</v>
      </c>
      <c r="AB61" s="5" t="s">
        <v>202</v>
      </c>
      <c r="AC61" s="5" t="s">
        <v>202</v>
      </c>
      <c r="AD61" s="5" t="s">
        <v>202</v>
      </c>
      <c r="AE61" s="5" t="s">
        <v>200</v>
      </c>
      <c r="AF61" s="5" t="s">
        <v>203</v>
      </c>
      <c r="AG61" s="5" t="s">
        <v>202</v>
      </c>
      <c r="AH61" s="5" t="s">
        <v>203</v>
      </c>
      <c r="AI61" s="5" t="s">
        <v>459</v>
      </c>
      <c r="AJ61" s="5" t="s">
        <v>206</v>
      </c>
      <c r="AK61" s="5" t="s">
        <v>202</v>
      </c>
      <c r="AL61" s="5" t="s">
        <v>202</v>
      </c>
      <c r="AM61" s="5" t="s">
        <v>202</v>
      </c>
      <c r="AN61" s="5" t="s">
        <v>203</v>
      </c>
      <c r="AO61" s="5" t="s">
        <v>202</v>
      </c>
      <c r="AP61" s="5" t="s">
        <v>202</v>
      </c>
      <c r="AQ61" s="5" t="s">
        <v>460</v>
      </c>
      <c r="AR61" s="5" t="s">
        <v>206</v>
      </c>
      <c r="AS61" s="5" t="s">
        <v>200</v>
      </c>
      <c r="AT61" s="5" t="s">
        <v>200</v>
      </c>
      <c r="AU61" s="5" t="s">
        <v>203</v>
      </c>
      <c r="AV61" s="5" t="s">
        <v>198</v>
      </c>
      <c r="AW61" s="5" t="s">
        <v>198</v>
      </c>
      <c r="AX61" s="5" t="s">
        <v>200</v>
      </c>
      <c r="AY61" s="5" t="s">
        <v>200</v>
      </c>
      <c r="AZ61" s="5" t="s">
        <v>461</v>
      </c>
    </row>
    <row r="62">
      <c r="A62" s="7">
        <v>45868.20694444444</v>
      </c>
      <c r="B62" s="7">
        <v>45868.21597222222</v>
      </c>
      <c r="C62" s="5" t="s">
        <v>99</v>
      </c>
      <c r="D62" s="5" t="s">
        <v>383</v>
      </c>
      <c r="E62" s="8">
        <v>100.0</v>
      </c>
      <c r="F62" s="8">
        <v>746.0</v>
      </c>
      <c r="G62" s="9" t="b">
        <v>1</v>
      </c>
      <c r="H62" s="7">
        <v>45868.21597222222</v>
      </c>
      <c r="I62" s="5" t="s">
        <v>462</v>
      </c>
      <c r="K62" s="10"/>
      <c r="L62" s="10"/>
      <c r="M62" s="10"/>
      <c r="N62" s="8">
        <v>60.1816</v>
      </c>
      <c r="O62" s="8">
        <v>24.8368</v>
      </c>
      <c r="P62" s="5" t="s">
        <v>194</v>
      </c>
      <c r="Q62" s="5" t="s">
        <v>195</v>
      </c>
      <c r="R62" s="5" t="s">
        <v>433</v>
      </c>
      <c r="S62" s="5" t="s">
        <v>263</v>
      </c>
      <c r="T62" s="5" t="s">
        <v>202</v>
      </c>
      <c r="U62" s="5" t="s">
        <v>200</v>
      </c>
      <c r="V62" s="5" t="s">
        <v>199</v>
      </c>
      <c r="W62" s="5" t="s">
        <v>202</v>
      </c>
      <c r="X62" s="5" t="s">
        <v>201</v>
      </c>
      <c r="Y62" s="5" t="s">
        <v>202</v>
      </c>
      <c r="Z62" s="5" t="s">
        <v>202</v>
      </c>
      <c r="AA62" s="5" t="s">
        <v>200</v>
      </c>
      <c r="AB62" s="5" t="s">
        <v>202</v>
      </c>
      <c r="AC62" s="5" t="s">
        <v>202</v>
      </c>
      <c r="AD62" s="5" t="s">
        <v>202</v>
      </c>
      <c r="AE62" s="5" t="s">
        <v>208</v>
      </c>
      <c r="AF62" s="5" t="s">
        <v>198</v>
      </c>
      <c r="AG62" s="5" t="s">
        <v>200</v>
      </c>
      <c r="AH62" s="5" t="s">
        <v>202</v>
      </c>
      <c r="AI62" s="11" t="s">
        <v>463</v>
      </c>
      <c r="AJ62" s="5" t="s">
        <v>206</v>
      </c>
      <c r="AK62" s="5" t="s">
        <v>202</v>
      </c>
      <c r="AL62" s="5" t="s">
        <v>202</v>
      </c>
      <c r="AM62" s="5" t="s">
        <v>202</v>
      </c>
      <c r="AN62" s="5" t="s">
        <v>200</v>
      </c>
      <c r="AO62" s="5" t="s">
        <v>200</v>
      </c>
      <c r="AP62" s="5" t="s">
        <v>202</v>
      </c>
      <c r="AQ62" s="5" t="s">
        <v>464</v>
      </c>
      <c r="AR62" s="5" t="s">
        <v>206</v>
      </c>
      <c r="AS62" s="5" t="s">
        <v>202</v>
      </c>
      <c r="AT62" s="5" t="s">
        <v>200</v>
      </c>
      <c r="AU62" s="5" t="s">
        <v>201</v>
      </c>
      <c r="AV62" s="5" t="s">
        <v>208</v>
      </c>
      <c r="AW62" s="5" t="s">
        <v>208</v>
      </c>
      <c r="AX62" s="5" t="s">
        <v>202</v>
      </c>
      <c r="AY62" s="5" t="s">
        <v>200</v>
      </c>
      <c r="AZ62" s="11" t="s">
        <v>465</v>
      </c>
    </row>
    <row r="63">
      <c r="A63" s="7">
        <v>45868.21805555555</v>
      </c>
      <c r="B63" s="7">
        <v>45868.222916666666</v>
      </c>
      <c r="C63" s="5" t="s">
        <v>99</v>
      </c>
      <c r="D63" s="5" t="s">
        <v>383</v>
      </c>
      <c r="E63" s="8">
        <v>100.0</v>
      </c>
      <c r="F63" s="8">
        <v>459.0</v>
      </c>
      <c r="G63" s="9" t="b">
        <v>1</v>
      </c>
      <c r="H63" s="7">
        <v>45868.222916666666</v>
      </c>
      <c r="I63" s="5" t="s">
        <v>466</v>
      </c>
      <c r="K63" s="10"/>
      <c r="L63" s="10"/>
      <c r="M63" s="10"/>
      <c r="N63" s="8">
        <v>60.1816</v>
      </c>
      <c r="O63" s="8">
        <v>24.8368</v>
      </c>
      <c r="P63" s="5" t="s">
        <v>194</v>
      </c>
      <c r="Q63" s="5" t="s">
        <v>195</v>
      </c>
      <c r="R63" s="5" t="s">
        <v>411</v>
      </c>
      <c r="S63" s="5" t="s">
        <v>211</v>
      </c>
      <c r="T63" s="5" t="s">
        <v>198</v>
      </c>
      <c r="U63" s="5" t="s">
        <v>198</v>
      </c>
      <c r="V63" s="5" t="s">
        <v>199</v>
      </c>
      <c r="W63" s="5" t="s">
        <v>200</v>
      </c>
      <c r="X63" s="5" t="s">
        <v>200</v>
      </c>
      <c r="Y63" s="5" t="s">
        <v>203</v>
      </c>
      <c r="Z63" s="5" t="s">
        <v>200</v>
      </c>
      <c r="AA63" s="5" t="s">
        <v>200</v>
      </c>
      <c r="AB63" s="5" t="s">
        <v>202</v>
      </c>
      <c r="AC63" s="5" t="s">
        <v>200</v>
      </c>
      <c r="AD63" s="5" t="s">
        <v>200</v>
      </c>
      <c r="AE63" s="5" t="s">
        <v>203</v>
      </c>
      <c r="AF63" s="5" t="s">
        <v>203</v>
      </c>
      <c r="AG63" s="5" t="s">
        <v>200</v>
      </c>
      <c r="AH63" s="5" t="s">
        <v>201</v>
      </c>
      <c r="AI63" s="5" t="s">
        <v>467</v>
      </c>
      <c r="AJ63" s="5" t="s">
        <v>206</v>
      </c>
      <c r="AK63" s="5" t="s">
        <v>200</v>
      </c>
      <c r="AL63" s="5" t="s">
        <v>202</v>
      </c>
      <c r="AM63" s="5" t="s">
        <v>202</v>
      </c>
      <c r="AN63" s="5" t="s">
        <v>200</v>
      </c>
      <c r="AO63" s="5" t="s">
        <v>203</v>
      </c>
      <c r="AP63" s="5" t="s">
        <v>200</v>
      </c>
      <c r="AQ63" s="5" t="s">
        <v>413</v>
      </c>
      <c r="AR63" s="5" t="s">
        <v>206</v>
      </c>
      <c r="AS63" s="5" t="s">
        <v>200</v>
      </c>
      <c r="AT63" s="5" t="s">
        <v>200</v>
      </c>
      <c r="AU63" s="5" t="s">
        <v>202</v>
      </c>
      <c r="AV63" s="5" t="s">
        <v>204</v>
      </c>
      <c r="AW63" s="5" t="s">
        <v>204</v>
      </c>
      <c r="AX63" s="5" t="s">
        <v>204</v>
      </c>
      <c r="AY63" s="5" t="s">
        <v>204</v>
      </c>
      <c r="AZ63" s="5" t="s">
        <v>413</v>
      </c>
    </row>
    <row r="64">
      <c r="A64" s="7">
        <v>45868.22638888889</v>
      </c>
      <c r="B64" s="7">
        <v>45868.22986111111</v>
      </c>
      <c r="C64" s="5" t="s">
        <v>99</v>
      </c>
      <c r="D64" s="5" t="s">
        <v>383</v>
      </c>
      <c r="E64" s="8">
        <v>100.0</v>
      </c>
      <c r="F64" s="8">
        <v>309.0</v>
      </c>
      <c r="G64" s="9" t="b">
        <v>1</v>
      </c>
      <c r="H64" s="7">
        <v>45868.22986111111</v>
      </c>
      <c r="I64" s="5" t="s">
        <v>468</v>
      </c>
      <c r="K64" s="10"/>
      <c r="L64" s="10"/>
      <c r="M64" s="10"/>
      <c r="N64" s="8">
        <v>60.1816</v>
      </c>
      <c r="O64" s="8">
        <v>24.8368</v>
      </c>
      <c r="P64" s="5" t="s">
        <v>194</v>
      </c>
      <c r="Q64" s="5" t="s">
        <v>195</v>
      </c>
      <c r="R64" s="5" t="s">
        <v>411</v>
      </c>
      <c r="S64" s="5" t="s">
        <v>216</v>
      </c>
      <c r="T64" s="5" t="s">
        <v>203</v>
      </c>
      <c r="U64" s="5" t="s">
        <v>208</v>
      </c>
      <c r="V64" s="5" t="s">
        <v>199</v>
      </c>
      <c r="W64" s="5" t="s">
        <v>200</v>
      </c>
      <c r="X64" s="5" t="s">
        <v>202</v>
      </c>
      <c r="Y64" s="5" t="s">
        <v>198</v>
      </c>
      <c r="Z64" s="5" t="s">
        <v>208</v>
      </c>
      <c r="AA64" s="5" t="s">
        <v>200</v>
      </c>
      <c r="AB64" s="5" t="s">
        <v>200</v>
      </c>
      <c r="AC64" s="5" t="s">
        <v>200</v>
      </c>
      <c r="AD64" s="5" t="s">
        <v>200</v>
      </c>
      <c r="AE64" s="5" t="s">
        <v>198</v>
      </c>
      <c r="AF64" s="5" t="s">
        <v>203</v>
      </c>
      <c r="AG64" s="5" t="s">
        <v>200</v>
      </c>
      <c r="AH64" s="5" t="s">
        <v>198</v>
      </c>
      <c r="AI64" s="5" t="s">
        <v>413</v>
      </c>
      <c r="AJ64" s="5" t="s">
        <v>206</v>
      </c>
      <c r="AK64" s="5" t="s">
        <v>200</v>
      </c>
      <c r="AL64" s="5" t="s">
        <v>200</v>
      </c>
      <c r="AM64" s="5" t="s">
        <v>203</v>
      </c>
      <c r="AN64" s="5" t="s">
        <v>200</v>
      </c>
      <c r="AO64" s="5" t="s">
        <v>200</v>
      </c>
      <c r="AP64" s="5" t="s">
        <v>200</v>
      </c>
      <c r="AQ64" s="5" t="s">
        <v>413</v>
      </c>
      <c r="AR64" s="5" t="s">
        <v>206</v>
      </c>
      <c r="AS64" s="5" t="s">
        <v>202</v>
      </c>
      <c r="AT64" s="5" t="s">
        <v>200</v>
      </c>
      <c r="AU64" s="5" t="s">
        <v>200</v>
      </c>
      <c r="AV64" s="5" t="s">
        <v>204</v>
      </c>
      <c r="AW64" s="5" t="s">
        <v>204</v>
      </c>
      <c r="AX64" s="5" t="s">
        <v>204</v>
      </c>
      <c r="AY64" s="5" t="s">
        <v>204</v>
      </c>
      <c r="AZ64" s="5" t="s">
        <v>413</v>
      </c>
    </row>
    <row r="65">
      <c r="A65" s="7">
        <v>45868.229166666664</v>
      </c>
      <c r="B65" s="7">
        <v>45868.2375</v>
      </c>
      <c r="C65" s="5" t="s">
        <v>99</v>
      </c>
      <c r="D65" s="5" t="s">
        <v>192</v>
      </c>
      <c r="E65" s="8">
        <v>100.0</v>
      </c>
      <c r="F65" s="8">
        <v>723.0</v>
      </c>
      <c r="G65" s="9" t="b">
        <v>1</v>
      </c>
      <c r="H65" s="7">
        <v>45868.2375</v>
      </c>
      <c r="I65" s="5" t="s">
        <v>469</v>
      </c>
      <c r="K65" s="10"/>
      <c r="L65" s="10"/>
      <c r="M65" s="10"/>
      <c r="N65" s="8">
        <v>60.1816</v>
      </c>
      <c r="O65" s="8">
        <v>24.8368</v>
      </c>
      <c r="P65" s="5" t="s">
        <v>194</v>
      </c>
      <c r="Q65" s="5" t="s">
        <v>195</v>
      </c>
      <c r="R65" s="5" t="s">
        <v>470</v>
      </c>
      <c r="S65" s="5" t="s">
        <v>197</v>
      </c>
      <c r="T65" s="5" t="s">
        <v>200</v>
      </c>
      <c r="U65" s="5" t="s">
        <v>202</v>
      </c>
      <c r="V65" s="5" t="s">
        <v>199</v>
      </c>
      <c r="W65" s="5" t="s">
        <v>202</v>
      </c>
      <c r="X65" s="5" t="s">
        <v>202</v>
      </c>
      <c r="Y65" s="5" t="s">
        <v>202</v>
      </c>
      <c r="Z65" s="5" t="s">
        <v>202</v>
      </c>
      <c r="AA65" s="5" t="s">
        <v>200</v>
      </c>
      <c r="AB65" s="5" t="s">
        <v>202</v>
      </c>
      <c r="AC65" s="5" t="s">
        <v>202</v>
      </c>
      <c r="AD65" s="5" t="s">
        <v>202</v>
      </c>
      <c r="AE65" s="5" t="s">
        <v>203</v>
      </c>
      <c r="AF65" s="5" t="s">
        <v>203</v>
      </c>
      <c r="AG65" s="5" t="s">
        <v>200</v>
      </c>
      <c r="AH65" s="5" t="s">
        <v>200</v>
      </c>
      <c r="AI65" s="5" t="s">
        <v>471</v>
      </c>
      <c r="AJ65" s="5" t="s">
        <v>206</v>
      </c>
      <c r="AK65" s="5" t="s">
        <v>203</v>
      </c>
      <c r="AL65" s="5" t="s">
        <v>203</v>
      </c>
      <c r="AM65" s="5" t="s">
        <v>200</v>
      </c>
      <c r="AN65" s="5" t="s">
        <v>202</v>
      </c>
      <c r="AO65" s="5" t="s">
        <v>200</v>
      </c>
      <c r="AP65" s="5" t="s">
        <v>202</v>
      </c>
      <c r="AQ65" s="5" t="s">
        <v>472</v>
      </c>
      <c r="AR65" s="5" t="s">
        <v>206</v>
      </c>
      <c r="AS65" s="5" t="s">
        <v>200</v>
      </c>
      <c r="AT65" s="5" t="s">
        <v>202</v>
      </c>
      <c r="AU65" s="5" t="s">
        <v>202</v>
      </c>
      <c r="AV65" s="5" t="s">
        <v>200</v>
      </c>
      <c r="AW65" s="5" t="s">
        <v>200</v>
      </c>
      <c r="AX65" s="5" t="s">
        <v>201</v>
      </c>
      <c r="AY65" s="5" t="s">
        <v>208</v>
      </c>
      <c r="AZ65" s="5" t="s">
        <v>473</v>
      </c>
    </row>
    <row r="66">
      <c r="A66" s="7">
        <v>45868.243055555555</v>
      </c>
      <c r="B66" s="7">
        <v>45868.24930555555</v>
      </c>
      <c r="C66" s="5" t="s">
        <v>99</v>
      </c>
      <c r="D66" s="5" t="s">
        <v>389</v>
      </c>
      <c r="E66" s="8">
        <v>100.0</v>
      </c>
      <c r="F66" s="8">
        <v>488.0</v>
      </c>
      <c r="G66" s="9" t="b">
        <v>1</v>
      </c>
      <c r="H66" s="7">
        <v>45868.24930555555</v>
      </c>
      <c r="I66" s="5" t="s">
        <v>474</v>
      </c>
      <c r="L66" s="10"/>
      <c r="M66" s="10"/>
      <c r="N66" s="8">
        <v>60.1816</v>
      </c>
      <c r="O66" s="8">
        <v>24.8368</v>
      </c>
      <c r="P66" s="5" t="s">
        <v>194</v>
      </c>
      <c r="Q66" s="5" t="s">
        <v>195</v>
      </c>
      <c r="R66" s="5" t="s">
        <v>470</v>
      </c>
      <c r="S66" s="5" t="s">
        <v>263</v>
      </c>
      <c r="T66" s="5" t="s">
        <v>202</v>
      </c>
      <c r="U66" s="5" t="s">
        <v>202</v>
      </c>
      <c r="V66" s="5" t="s">
        <v>199</v>
      </c>
      <c r="W66" s="5" t="s">
        <v>202</v>
      </c>
      <c r="X66" s="5" t="s">
        <v>200</v>
      </c>
      <c r="Y66" s="5" t="s">
        <v>202</v>
      </c>
      <c r="Z66" s="5" t="s">
        <v>202</v>
      </c>
      <c r="AA66" s="5" t="s">
        <v>202</v>
      </c>
      <c r="AB66" s="5" t="s">
        <v>202</v>
      </c>
      <c r="AC66" s="5" t="s">
        <v>201</v>
      </c>
      <c r="AD66" s="5" t="s">
        <v>202</v>
      </c>
      <c r="AE66" s="5" t="s">
        <v>202</v>
      </c>
      <c r="AF66" s="5" t="s">
        <v>200</v>
      </c>
      <c r="AG66" s="5" t="s">
        <v>202</v>
      </c>
      <c r="AH66" s="5" t="s">
        <v>201</v>
      </c>
      <c r="AI66" s="5" t="s">
        <v>475</v>
      </c>
      <c r="AJ66" s="5" t="s">
        <v>206</v>
      </c>
      <c r="AK66" s="5" t="s">
        <v>202</v>
      </c>
      <c r="AL66" s="5" t="s">
        <v>200</v>
      </c>
      <c r="AM66" s="5" t="s">
        <v>202</v>
      </c>
      <c r="AN66" s="5" t="s">
        <v>200</v>
      </c>
      <c r="AO66" s="5" t="s">
        <v>200</v>
      </c>
      <c r="AP66" s="5" t="s">
        <v>200</v>
      </c>
      <c r="AQ66" s="5" t="s">
        <v>476</v>
      </c>
      <c r="AR66" s="5" t="s">
        <v>206</v>
      </c>
      <c r="AS66" s="5" t="s">
        <v>202</v>
      </c>
      <c r="AT66" s="5" t="s">
        <v>202</v>
      </c>
      <c r="AU66" s="5" t="s">
        <v>202</v>
      </c>
      <c r="AV66" s="5" t="s">
        <v>200</v>
      </c>
      <c r="AW66" s="5" t="s">
        <v>200</v>
      </c>
      <c r="AX66" s="5" t="s">
        <v>202</v>
      </c>
      <c r="AY66" s="5" t="s">
        <v>203</v>
      </c>
      <c r="AZ66" s="5" t="s">
        <v>477</v>
      </c>
    </row>
    <row r="67">
      <c r="A67" s="7">
        <v>45868.24930555555</v>
      </c>
      <c r="B67" s="7">
        <v>45868.256944444445</v>
      </c>
      <c r="C67" s="5" t="s">
        <v>99</v>
      </c>
      <c r="D67" s="5" t="s">
        <v>192</v>
      </c>
      <c r="E67" s="8">
        <v>100.0</v>
      </c>
      <c r="F67" s="8">
        <v>675.0</v>
      </c>
      <c r="G67" s="9" t="b">
        <v>1</v>
      </c>
      <c r="H67" s="7">
        <v>45868.256944444445</v>
      </c>
      <c r="I67" s="5" t="s">
        <v>478</v>
      </c>
      <c r="K67" s="10"/>
      <c r="L67" s="10"/>
      <c r="M67" s="10"/>
      <c r="N67" s="8">
        <v>60.1816</v>
      </c>
      <c r="O67" s="8">
        <v>24.8368</v>
      </c>
      <c r="P67" s="5" t="s">
        <v>194</v>
      </c>
      <c r="Q67" s="5" t="s">
        <v>195</v>
      </c>
      <c r="R67" s="5" t="s">
        <v>428</v>
      </c>
      <c r="S67" s="5" t="s">
        <v>197</v>
      </c>
      <c r="T67" s="5" t="s">
        <v>198</v>
      </c>
      <c r="U67" s="5" t="s">
        <v>208</v>
      </c>
      <c r="V67" s="5" t="s">
        <v>199</v>
      </c>
      <c r="W67" s="5" t="s">
        <v>200</v>
      </c>
      <c r="X67" s="5" t="s">
        <v>200</v>
      </c>
      <c r="Y67" s="5" t="s">
        <v>208</v>
      </c>
      <c r="Z67" s="5" t="s">
        <v>208</v>
      </c>
      <c r="AA67" s="5" t="s">
        <v>208</v>
      </c>
      <c r="AB67" s="5" t="s">
        <v>200</v>
      </c>
      <c r="AC67" s="5" t="s">
        <v>200</v>
      </c>
      <c r="AD67" s="5" t="s">
        <v>200</v>
      </c>
      <c r="AE67" s="5" t="s">
        <v>208</v>
      </c>
      <c r="AF67" s="5" t="s">
        <v>203</v>
      </c>
      <c r="AG67" s="5" t="s">
        <v>200</v>
      </c>
      <c r="AH67" s="5" t="s">
        <v>208</v>
      </c>
      <c r="AI67" s="5" t="s">
        <v>479</v>
      </c>
      <c r="AJ67" s="5" t="s">
        <v>206</v>
      </c>
      <c r="AK67" s="5" t="s">
        <v>200</v>
      </c>
      <c r="AL67" s="5" t="s">
        <v>200</v>
      </c>
      <c r="AM67" s="5" t="s">
        <v>200</v>
      </c>
      <c r="AN67" s="5" t="s">
        <v>198</v>
      </c>
      <c r="AO67" s="5" t="s">
        <v>198</v>
      </c>
      <c r="AP67" s="5" t="s">
        <v>200</v>
      </c>
      <c r="AQ67" s="5" t="s">
        <v>480</v>
      </c>
      <c r="AR67" s="5" t="s">
        <v>206</v>
      </c>
      <c r="AS67" s="5" t="s">
        <v>200</v>
      </c>
      <c r="AT67" s="5" t="s">
        <v>200</v>
      </c>
      <c r="AU67" s="5" t="s">
        <v>203</v>
      </c>
      <c r="AV67" s="5" t="s">
        <v>200</v>
      </c>
      <c r="AW67" s="5" t="s">
        <v>200</v>
      </c>
      <c r="AX67" s="5" t="s">
        <v>200</v>
      </c>
      <c r="AY67" s="5" t="s">
        <v>198</v>
      </c>
      <c r="AZ67" s="5" t="s">
        <v>481</v>
      </c>
    </row>
    <row r="68">
      <c r="A68" s="7">
        <v>45868.25</v>
      </c>
      <c r="B68" s="7">
        <v>45868.25833333333</v>
      </c>
      <c r="C68" s="5" t="s">
        <v>99</v>
      </c>
      <c r="D68" s="5" t="s">
        <v>389</v>
      </c>
      <c r="E68" s="8">
        <v>100.0</v>
      </c>
      <c r="F68" s="8">
        <v>735.0</v>
      </c>
      <c r="G68" s="9" t="b">
        <v>1</v>
      </c>
      <c r="H68" s="7">
        <v>45868.25833333333</v>
      </c>
      <c r="I68" s="5" t="s">
        <v>482</v>
      </c>
      <c r="K68" s="10"/>
      <c r="L68" s="10"/>
      <c r="M68" s="10"/>
      <c r="N68" s="8">
        <v>60.1816</v>
      </c>
      <c r="O68" s="8">
        <v>24.8368</v>
      </c>
      <c r="P68" s="5" t="s">
        <v>194</v>
      </c>
      <c r="Q68" s="5" t="s">
        <v>195</v>
      </c>
      <c r="R68" s="5" t="s">
        <v>470</v>
      </c>
      <c r="S68" s="5" t="s">
        <v>211</v>
      </c>
      <c r="T68" s="5" t="s">
        <v>203</v>
      </c>
      <c r="U68" s="5" t="s">
        <v>202</v>
      </c>
      <c r="V68" s="5" t="s">
        <v>199</v>
      </c>
      <c r="W68" s="5" t="s">
        <v>200</v>
      </c>
      <c r="X68" s="5" t="s">
        <v>200</v>
      </c>
      <c r="Y68" s="5" t="s">
        <v>200</v>
      </c>
      <c r="Z68" s="5" t="s">
        <v>200</v>
      </c>
      <c r="AA68" s="5" t="s">
        <v>203</v>
      </c>
      <c r="AB68" s="5" t="s">
        <v>200</v>
      </c>
      <c r="AC68" s="5" t="s">
        <v>202</v>
      </c>
      <c r="AD68" s="5" t="s">
        <v>202</v>
      </c>
      <c r="AE68" s="5" t="s">
        <v>198</v>
      </c>
      <c r="AF68" s="5" t="s">
        <v>203</v>
      </c>
      <c r="AG68" s="5" t="s">
        <v>202</v>
      </c>
      <c r="AH68" s="5" t="s">
        <v>202</v>
      </c>
      <c r="AI68" s="5" t="s">
        <v>483</v>
      </c>
      <c r="AJ68" s="5" t="s">
        <v>206</v>
      </c>
      <c r="AK68" s="5" t="s">
        <v>200</v>
      </c>
      <c r="AL68" s="5" t="s">
        <v>203</v>
      </c>
      <c r="AM68" s="5" t="s">
        <v>200</v>
      </c>
      <c r="AN68" s="5" t="s">
        <v>198</v>
      </c>
      <c r="AO68" s="5" t="s">
        <v>198</v>
      </c>
      <c r="AP68" s="5" t="s">
        <v>202</v>
      </c>
      <c r="AQ68" s="5" t="s">
        <v>484</v>
      </c>
      <c r="AR68" s="5" t="s">
        <v>206</v>
      </c>
      <c r="AS68" s="5" t="s">
        <v>202</v>
      </c>
      <c r="AT68" s="5" t="s">
        <v>202</v>
      </c>
      <c r="AU68" s="5" t="s">
        <v>203</v>
      </c>
      <c r="AV68" s="5" t="s">
        <v>200</v>
      </c>
      <c r="AW68" s="5" t="s">
        <v>203</v>
      </c>
      <c r="AX68" s="5" t="s">
        <v>202</v>
      </c>
      <c r="AY68" s="5" t="s">
        <v>198</v>
      </c>
      <c r="AZ68" s="5" t="s">
        <v>485</v>
      </c>
    </row>
    <row r="69">
      <c r="A69" s="7">
        <v>45868.25902777778</v>
      </c>
      <c r="B69" s="7">
        <v>45868.26527777778</v>
      </c>
      <c r="C69" s="5" t="s">
        <v>99</v>
      </c>
      <c r="D69" s="5" t="s">
        <v>389</v>
      </c>
      <c r="E69" s="8">
        <v>100.0</v>
      </c>
      <c r="F69" s="8">
        <v>537.0</v>
      </c>
      <c r="G69" s="9" t="b">
        <v>1</v>
      </c>
      <c r="H69" s="7">
        <v>45868.26527777778</v>
      </c>
      <c r="I69" s="5" t="s">
        <v>486</v>
      </c>
      <c r="K69" s="10"/>
      <c r="L69" s="10"/>
      <c r="M69" s="10"/>
      <c r="N69" s="8">
        <v>60.1816</v>
      </c>
      <c r="O69" s="8">
        <v>24.8368</v>
      </c>
      <c r="P69" s="5" t="s">
        <v>194</v>
      </c>
      <c r="Q69" s="5" t="s">
        <v>195</v>
      </c>
      <c r="R69" s="5" t="s">
        <v>470</v>
      </c>
      <c r="S69" s="5" t="s">
        <v>216</v>
      </c>
      <c r="T69" s="5" t="s">
        <v>202</v>
      </c>
      <c r="U69" s="5" t="s">
        <v>202</v>
      </c>
      <c r="V69" s="5" t="s">
        <v>199</v>
      </c>
      <c r="W69" s="5" t="s">
        <v>201</v>
      </c>
      <c r="X69" s="5" t="s">
        <v>202</v>
      </c>
      <c r="Y69" s="5" t="s">
        <v>203</v>
      </c>
      <c r="Z69" s="5" t="s">
        <v>202</v>
      </c>
      <c r="AA69" s="5" t="s">
        <v>200</v>
      </c>
      <c r="AB69" s="5" t="s">
        <v>202</v>
      </c>
      <c r="AC69" s="5" t="s">
        <v>202</v>
      </c>
      <c r="AD69" s="5" t="s">
        <v>202</v>
      </c>
      <c r="AE69" s="5" t="s">
        <v>200</v>
      </c>
      <c r="AF69" s="5" t="s">
        <v>200</v>
      </c>
      <c r="AG69" s="5" t="s">
        <v>202</v>
      </c>
      <c r="AH69" s="5" t="s">
        <v>200</v>
      </c>
      <c r="AI69" s="5" t="s">
        <v>487</v>
      </c>
      <c r="AJ69" s="5" t="s">
        <v>206</v>
      </c>
      <c r="AK69" s="5" t="s">
        <v>202</v>
      </c>
      <c r="AL69" s="5" t="s">
        <v>202</v>
      </c>
      <c r="AM69" s="5" t="s">
        <v>202</v>
      </c>
      <c r="AN69" s="5" t="s">
        <v>200</v>
      </c>
      <c r="AO69" s="5" t="s">
        <v>202</v>
      </c>
      <c r="AP69" s="5" t="s">
        <v>202</v>
      </c>
      <c r="AQ69" s="5" t="s">
        <v>488</v>
      </c>
      <c r="AR69" s="5" t="s">
        <v>206</v>
      </c>
      <c r="AS69" s="5" t="s">
        <v>202</v>
      </c>
      <c r="AT69" s="5" t="s">
        <v>202</v>
      </c>
      <c r="AU69" s="5" t="s">
        <v>202</v>
      </c>
      <c r="AV69" s="5" t="s">
        <v>203</v>
      </c>
      <c r="AW69" s="5" t="s">
        <v>203</v>
      </c>
      <c r="AX69" s="5" t="s">
        <v>200</v>
      </c>
      <c r="AY69" s="5" t="s">
        <v>198</v>
      </c>
      <c r="AZ69" s="5" t="s">
        <v>489</v>
      </c>
    </row>
    <row r="70">
      <c r="A70" s="7">
        <v>45868.26458333333</v>
      </c>
      <c r="B70" s="7">
        <v>45868.27222222222</v>
      </c>
      <c r="C70" s="5" t="s">
        <v>99</v>
      </c>
      <c r="D70" s="5" t="s">
        <v>490</v>
      </c>
      <c r="E70" s="8">
        <v>100.0</v>
      </c>
      <c r="F70" s="8">
        <v>616.0</v>
      </c>
      <c r="G70" s="9" t="b">
        <v>1</v>
      </c>
      <c r="H70" s="7">
        <v>45868.27222222222</v>
      </c>
      <c r="I70" s="5" t="s">
        <v>491</v>
      </c>
      <c r="K70" s="10"/>
      <c r="L70" s="10"/>
      <c r="M70" s="10"/>
      <c r="N70" s="8">
        <v>60.1816</v>
      </c>
      <c r="O70" s="8">
        <v>24.8368</v>
      </c>
      <c r="P70" s="5" t="s">
        <v>194</v>
      </c>
      <c r="Q70" s="5" t="s">
        <v>195</v>
      </c>
      <c r="R70" s="5" t="s">
        <v>428</v>
      </c>
      <c r="S70" s="5" t="s">
        <v>263</v>
      </c>
      <c r="T70" s="5" t="s">
        <v>208</v>
      </c>
      <c r="U70" s="5" t="s">
        <v>204</v>
      </c>
      <c r="V70" s="5" t="s">
        <v>199</v>
      </c>
      <c r="W70" s="5" t="s">
        <v>200</v>
      </c>
      <c r="X70" s="5" t="s">
        <v>203</v>
      </c>
      <c r="Y70" s="5" t="s">
        <v>208</v>
      </c>
      <c r="Z70" s="5" t="s">
        <v>208</v>
      </c>
      <c r="AA70" s="5" t="s">
        <v>202</v>
      </c>
      <c r="AB70" s="5" t="s">
        <v>200</v>
      </c>
      <c r="AC70" s="5" t="s">
        <v>202</v>
      </c>
      <c r="AD70" s="5" t="s">
        <v>202</v>
      </c>
      <c r="AE70" s="5" t="s">
        <v>208</v>
      </c>
      <c r="AF70" s="5" t="s">
        <v>202</v>
      </c>
      <c r="AG70" s="5" t="s">
        <v>200</v>
      </c>
      <c r="AH70" s="5" t="s">
        <v>200</v>
      </c>
      <c r="AI70" s="5" t="s">
        <v>492</v>
      </c>
      <c r="AJ70" s="5" t="s">
        <v>206</v>
      </c>
      <c r="AK70" s="5" t="s">
        <v>208</v>
      </c>
      <c r="AL70" s="5" t="s">
        <v>208</v>
      </c>
      <c r="AM70" s="5" t="s">
        <v>208</v>
      </c>
      <c r="AN70" s="5" t="s">
        <v>208</v>
      </c>
      <c r="AO70" s="5" t="s">
        <v>201</v>
      </c>
      <c r="AP70" s="5" t="s">
        <v>204</v>
      </c>
      <c r="AQ70" s="5" t="s">
        <v>493</v>
      </c>
      <c r="AR70" s="5" t="s">
        <v>206</v>
      </c>
      <c r="AS70" s="5" t="s">
        <v>202</v>
      </c>
      <c r="AT70" s="5" t="s">
        <v>208</v>
      </c>
      <c r="AU70" s="5" t="s">
        <v>198</v>
      </c>
      <c r="AV70" s="5" t="s">
        <v>201</v>
      </c>
      <c r="AW70" s="5" t="s">
        <v>201</v>
      </c>
      <c r="AX70" s="5" t="s">
        <v>201</v>
      </c>
      <c r="AY70" s="5" t="s">
        <v>202</v>
      </c>
      <c r="AZ70" s="5" t="s">
        <v>494</v>
      </c>
    </row>
    <row r="71">
      <c r="A71" s="7">
        <v>45868.27916666667</v>
      </c>
      <c r="B71" s="7">
        <v>45868.290972222225</v>
      </c>
      <c r="C71" s="5" t="s">
        <v>99</v>
      </c>
      <c r="D71" s="5" t="s">
        <v>192</v>
      </c>
      <c r="E71" s="8">
        <v>100.0</v>
      </c>
      <c r="F71" s="8">
        <v>1057.0</v>
      </c>
      <c r="G71" s="9" t="b">
        <v>1</v>
      </c>
      <c r="H71" s="7">
        <v>45868.290972222225</v>
      </c>
      <c r="I71" s="5" t="s">
        <v>495</v>
      </c>
      <c r="K71" s="10"/>
      <c r="L71" s="10"/>
      <c r="M71" s="10"/>
      <c r="N71" s="8">
        <v>60.1816</v>
      </c>
      <c r="O71" s="8">
        <v>24.8368</v>
      </c>
      <c r="P71" s="5" t="s">
        <v>194</v>
      </c>
      <c r="Q71" s="5" t="s">
        <v>195</v>
      </c>
      <c r="R71" s="5" t="s">
        <v>496</v>
      </c>
      <c r="S71" s="5" t="s">
        <v>263</v>
      </c>
      <c r="T71" s="5" t="s">
        <v>208</v>
      </c>
      <c r="U71" s="5" t="s">
        <v>198</v>
      </c>
      <c r="V71" s="5" t="s">
        <v>199</v>
      </c>
      <c r="W71" s="5" t="s">
        <v>200</v>
      </c>
      <c r="X71" s="5" t="s">
        <v>202</v>
      </c>
      <c r="Y71" s="5" t="s">
        <v>208</v>
      </c>
      <c r="Z71" s="5" t="s">
        <v>202</v>
      </c>
      <c r="AA71" s="5" t="s">
        <v>198</v>
      </c>
      <c r="AB71" s="5" t="s">
        <v>202</v>
      </c>
      <c r="AC71" s="5" t="s">
        <v>201</v>
      </c>
      <c r="AD71" s="5" t="s">
        <v>201</v>
      </c>
      <c r="AE71" s="5" t="s">
        <v>203</v>
      </c>
      <c r="AF71" s="5" t="s">
        <v>198</v>
      </c>
      <c r="AG71" s="5" t="s">
        <v>200</v>
      </c>
      <c r="AH71" s="5" t="s">
        <v>208</v>
      </c>
      <c r="AI71" s="11" t="s">
        <v>497</v>
      </c>
      <c r="AJ71" s="5" t="s">
        <v>206</v>
      </c>
      <c r="AK71" s="5" t="s">
        <v>198</v>
      </c>
      <c r="AL71" s="5" t="s">
        <v>202</v>
      </c>
      <c r="AM71" s="5" t="s">
        <v>200</v>
      </c>
      <c r="AN71" s="5" t="s">
        <v>203</v>
      </c>
      <c r="AO71" s="5" t="s">
        <v>208</v>
      </c>
      <c r="AP71" s="5" t="s">
        <v>203</v>
      </c>
      <c r="AQ71" s="11" t="s">
        <v>498</v>
      </c>
      <c r="AR71" s="5" t="s">
        <v>206</v>
      </c>
      <c r="AS71" s="5" t="s">
        <v>200</v>
      </c>
      <c r="AT71" s="5" t="s">
        <v>204</v>
      </c>
      <c r="AU71" s="5" t="s">
        <v>202</v>
      </c>
      <c r="AV71" s="5" t="s">
        <v>203</v>
      </c>
      <c r="AW71" s="5" t="s">
        <v>204</v>
      </c>
      <c r="AX71" s="5" t="s">
        <v>208</v>
      </c>
      <c r="AY71" s="5" t="s">
        <v>208</v>
      </c>
      <c r="AZ71" s="5" t="s">
        <v>499</v>
      </c>
    </row>
    <row r="72">
      <c r="A72" s="7">
        <v>45868.28194444445</v>
      </c>
      <c r="B72" s="7">
        <v>45868.294444444444</v>
      </c>
      <c r="C72" s="5" t="s">
        <v>99</v>
      </c>
      <c r="D72" s="5" t="s">
        <v>389</v>
      </c>
      <c r="E72" s="8">
        <v>100.0</v>
      </c>
      <c r="F72" s="8">
        <v>1105.0</v>
      </c>
      <c r="G72" s="9" t="b">
        <v>1</v>
      </c>
      <c r="H72" s="7">
        <v>45868.294444444444</v>
      </c>
      <c r="I72" s="5" t="s">
        <v>500</v>
      </c>
      <c r="K72" s="10"/>
      <c r="L72" s="10"/>
      <c r="M72" s="10"/>
      <c r="N72" s="8">
        <v>60.1816</v>
      </c>
      <c r="O72" s="8">
        <v>24.8368</v>
      </c>
      <c r="P72" s="5" t="s">
        <v>194</v>
      </c>
      <c r="Q72" s="5" t="s">
        <v>195</v>
      </c>
      <c r="R72" s="5" t="s">
        <v>501</v>
      </c>
      <c r="S72" s="5" t="s">
        <v>211</v>
      </c>
      <c r="T72" s="5" t="s">
        <v>200</v>
      </c>
      <c r="U72" s="5" t="s">
        <v>202</v>
      </c>
      <c r="V72" s="5" t="s">
        <v>199</v>
      </c>
      <c r="W72" s="5" t="s">
        <v>202</v>
      </c>
      <c r="X72" s="5" t="s">
        <v>202</v>
      </c>
      <c r="Y72" s="5" t="s">
        <v>203</v>
      </c>
      <c r="Z72" s="5" t="s">
        <v>200</v>
      </c>
      <c r="AA72" s="5" t="s">
        <v>202</v>
      </c>
      <c r="AB72" s="5" t="s">
        <v>202</v>
      </c>
      <c r="AC72" s="5" t="s">
        <v>202</v>
      </c>
      <c r="AD72" s="5" t="s">
        <v>202</v>
      </c>
      <c r="AE72" s="5" t="s">
        <v>202</v>
      </c>
      <c r="AF72" s="5" t="s">
        <v>203</v>
      </c>
      <c r="AG72" s="5" t="s">
        <v>202</v>
      </c>
      <c r="AH72" s="5" t="s">
        <v>204</v>
      </c>
      <c r="AI72" s="5" t="s">
        <v>502</v>
      </c>
      <c r="AJ72" s="5" t="s">
        <v>206</v>
      </c>
      <c r="AK72" s="5" t="s">
        <v>202</v>
      </c>
      <c r="AL72" s="5" t="s">
        <v>201</v>
      </c>
      <c r="AM72" s="5" t="s">
        <v>201</v>
      </c>
      <c r="AN72" s="5" t="s">
        <v>201</v>
      </c>
      <c r="AO72" s="5" t="s">
        <v>202</v>
      </c>
      <c r="AP72" s="5" t="s">
        <v>201</v>
      </c>
      <c r="AQ72" s="5" t="s">
        <v>503</v>
      </c>
      <c r="AR72" s="5" t="s">
        <v>206</v>
      </c>
      <c r="AS72" s="5" t="s">
        <v>201</v>
      </c>
      <c r="AT72" s="5" t="s">
        <v>202</v>
      </c>
      <c r="AU72" s="5" t="s">
        <v>201</v>
      </c>
      <c r="AV72" s="5" t="s">
        <v>204</v>
      </c>
      <c r="AW72" s="5" t="s">
        <v>204</v>
      </c>
      <c r="AX72" s="5" t="s">
        <v>204</v>
      </c>
      <c r="AY72" s="5" t="s">
        <v>204</v>
      </c>
      <c r="AZ72" s="5" t="s">
        <v>504</v>
      </c>
    </row>
    <row r="73">
      <c r="A73" s="7">
        <v>45868.30069444444</v>
      </c>
      <c r="B73" s="7">
        <v>45868.30763888889</v>
      </c>
      <c r="C73" s="5" t="s">
        <v>99</v>
      </c>
      <c r="D73" s="5" t="s">
        <v>389</v>
      </c>
      <c r="E73" s="8">
        <v>100.0</v>
      </c>
      <c r="F73" s="8">
        <v>553.0</v>
      </c>
      <c r="G73" s="9" t="b">
        <v>1</v>
      </c>
      <c r="H73" s="7">
        <v>45868.30763888889</v>
      </c>
      <c r="I73" s="5" t="s">
        <v>505</v>
      </c>
      <c r="K73" s="10"/>
      <c r="L73" s="10"/>
      <c r="M73" s="10"/>
      <c r="N73" s="8">
        <v>60.1816</v>
      </c>
      <c r="O73" s="8">
        <v>24.8368</v>
      </c>
      <c r="P73" s="5" t="s">
        <v>194</v>
      </c>
      <c r="Q73" s="5" t="s">
        <v>195</v>
      </c>
      <c r="R73" s="5" t="s">
        <v>496</v>
      </c>
      <c r="S73" s="5" t="s">
        <v>216</v>
      </c>
      <c r="T73" s="5" t="s">
        <v>203</v>
      </c>
      <c r="U73" s="5" t="s">
        <v>203</v>
      </c>
      <c r="V73" s="5" t="s">
        <v>199</v>
      </c>
      <c r="W73" s="5" t="s">
        <v>201</v>
      </c>
      <c r="X73" s="5" t="s">
        <v>201</v>
      </c>
      <c r="Y73" s="5" t="s">
        <v>200</v>
      </c>
      <c r="Z73" s="5" t="s">
        <v>198</v>
      </c>
      <c r="AA73" s="5" t="s">
        <v>200</v>
      </c>
      <c r="AB73" s="5" t="s">
        <v>201</v>
      </c>
      <c r="AC73" s="5" t="s">
        <v>201</v>
      </c>
      <c r="AD73" s="5" t="s">
        <v>201</v>
      </c>
      <c r="AE73" s="5" t="s">
        <v>203</v>
      </c>
      <c r="AF73" s="5" t="s">
        <v>208</v>
      </c>
      <c r="AG73" s="5" t="s">
        <v>201</v>
      </c>
      <c r="AH73" s="5" t="s">
        <v>204</v>
      </c>
      <c r="AI73" s="5" t="s">
        <v>506</v>
      </c>
      <c r="AJ73" s="5" t="s">
        <v>206</v>
      </c>
      <c r="AK73" s="5" t="s">
        <v>201</v>
      </c>
      <c r="AL73" s="5" t="s">
        <v>202</v>
      </c>
      <c r="AM73" s="5" t="s">
        <v>202</v>
      </c>
      <c r="AN73" s="5" t="s">
        <v>201</v>
      </c>
      <c r="AO73" s="5" t="s">
        <v>201</v>
      </c>
      <c r="AP73" s="5" t="s">
        <v>201</v>
      </c>
      <c r="AQ73" s="5" t="s">
        <v>507</v>
      </c>
      <c r="AR73" s="5" t="s">
        <v>206</v>
      </c>
      <c r="AS73" s="5" t="s">
        <v>201</v>
      </c>
      <c r="AT73" s="5" t="s">
        <v>201</v>
      </c>
      <c r="AU73" s="5" t="s">
        <v>201</v>
      </c>
      <c r="AV73" s="5" t="s">
        <v>204</v>
      </c>
      <c r="AW73" s="5" t="s">
        <v>204</v>
      </c>
      <c r="AX73" s="5" t="s">
        <v>204</v>
      </c>
      <c r="AY73" s="5" t="s">
        <v>204</v>
      </c>
      <c r="AZ73" s="5" t="s">
        <v>508</v>
      </c>
    </row>
    <row r="74">
      <c r="A74" s="7">
        <v>45868.30138888889</v>
      </c>
      <c r="B74" s="7">
        <v>45868.30972222222</v>
      </c>
      <c r="C74" s="5" t="s">
        <v>99</v>
      </c>
      <c r="D74" s="5" t="s">
        <v>192</v>
      </c>
      <c r="E74" s="8">
        <v>100.0</v>
      </c>
      <c r="F74" s="8">
        <v>729.0</v>
      </c>
      <c r="G74" s="9" t="b">
        <v>1</v>
      </c>
      <c r="H74" s="7">
        <v>45868.30972222222</v>
      </c>
      <c r="I74" s="5" t="s">
        <v>509</v>
      </c>
      <c r="K74" s="10"/>
      <c r="L74" s="10"/>
      <c r="M74" s="10"/>
      <c r="N74" s="8">
        <v>60.1816</v>
      </c>
      <c r="O74" s="8">
        <v>24.8368</v>
      </c>
      <c r="P74" s="5" t="s">
        <v>194</v>
      </c>
      <c r="Q74" s="5" t="s">
        <v>195</v>
      </c>
      <c r="R74" s="5" t="s">
        <v>501</v>
      </c>
      <c r="S74" s="5" t="s">
        <v>263</v>
      </c>
      <c r="T74" s="5" t="s">
        <v>202</v>
      </c>
      <c r="U74" s="5" t="s">
        <v>202</v>
      </c>
      <c r="V74" s="5" t="s">
        <v>199</v>
      </c>
      <c r="W74" s="5" t="s">
        <v>201</v>
      </c>
      <c r="X74" s="5" t="s">
        <v>201</v>
      </c>
      <c r="Y74" s="5" t="s">
        <v>202</v>
      </c>
      <c r="Z74" s="5" t="s">
        <v>202</v>
      </c>
      <c r="AA74" s="5" t="s">
        <v>201</v>
      </c>
      <c r="AB74" s="5" t="s">
        <v>201</v>
      </c>
      <c r="AC74" s="5" t="s">
        <v>201</v>
      </c>
      <c r="AD74" s="5" t="s">
        <v>201</v>
      </c>
      <c r="AE74" s="5" t="s">
        <v>202</v>
      </c>
      <c r="AF74" s="5" t="s">
        <v>202</v>
      </c>
      <c r="AG74" s="5" t="s">
        <v>202</v>
      </c>
      <c r="AH74" s="5" t="s">
        <v>203</v>
      </c>
      <c r="AI74" s="5" t="s">
        <v>510</v>
      </c>
      <c r="AJ74" s="5" t="s">
        <v>206</v>
      </c>
      <c r="AK74" s="5" t="s">
        <v>202</v>
      </c>
      <c r="AL74" s="5" t="s">
        <v>201</v>
      </c>
      <c r="AM74" s="5" t="s">
        <v>201</v>
      </c>
      <c r="AN74" s="5" t="s">
        <v>201</v>
      </c>
      <c r="AO74" s="5" t="s">
        <v>201</v>
      </c>
      <c r="AP74" s="5" t="s">
        <v>201</v>
      </c>
      <c r="AQ74" s="5" t="s">
        <v>511</v>
      </c>
      <c r="AR74" s="5" t="s">
        <v>206</v>
      </c>
      <c r="AS74" s="5" t="s">
        <v>201</v>
      </c>
      <c r="AT74" s="5" t="s">
        <v>202</v>
      </c>
      <c r="AU74" s="5" t="s">
        <v>201</v>
      </c>
      <c r="AV74" s="5" t="s">
        <v>204</v>
      </c>
      <c r="AW74" s="5" t="s">
        <v>204</v>
      </c>
      <c r="AX74" s="5" t="s">
        <v>208</v>
      </c>
      <c r="AY74" s="5" t="s">
        <v>204</v>
      </c>
      <c r="AZ74" s="5" t="s">
        <v>512</v>
      </c>
    </row>
    <row r="75">
      <c r="A75" s="7">
        <v>45868.31319444445</v>
      </c>
      <c r="B75" s="7">
        <v>45868.322222222225</v>
      </c>
      <c r="C75" s="5" t="s">
        <v>99</v>
      </c>
      <c r="D75" s="5" t="s">
        <v>389</v>
      </c>
      <c r="E75" s="8">
        <v>100.0</v>
      </c>
      <c r="F75" s="8">
        <v>806.0</v>
      </c>
      <c r="G75" s="9" t="b">
        <v>1</v>
      </c>
      <c r="H75" s="7">
        <v>45868.322222222225</v>
      </c>
      <c r="I75" s="5" t="s">
        <v>513</v>
      </c>
      <c r="K75" s="10"/>
      <c r="L75" s="10"/>
      <c r="M75" s="10"/>
      <c r="N75" s="8">
        <v>60.1816</v>
      </c>
      <c r="O75" s="8">
        <v>24.8368</v>
      </c>
      <c r="P75" s="5" t="s">
        <v>194</v>
      </c>
      <c r="Q75" s="5" t="s">
        <v>195</v>
      </c>
      <c r="R75" s="5" t="s">
        <v>496</v>
      </c>
      <c r="S75" s="5" t="s">
        <v>211</v>
      </c>
      <c r="T75" s="5" t="s">
        <v>203</v>
      </c>
      <c r="U75" s="5" t="s">
        <v>203</v>
      </c>
      <c r="V75" s="5" t="s">
        <v>199</v>
      </c>
      <c r="W75" s="5" t="s">
        <v>203</v>
      </c>
      <c r="X75" s="5" t="s">
        <v>201</v>
      </c>
      <c r="Y75" s="5" t="s">
        <v>198</v>
      </c>
      <c r="Z75" s="5" t="s">
        <v>203</v>
      </c>
      <c r="AA75" s="5" t="s">
        <v>201</v>
      </c>
      <c r="AB75" s="5" t="s">
        <v>201</v>
      </c>
      <c r="AC75" s="5" t="s">
        <v>201</v>
      </c>
      <c r="AD75" s="5" t="s">
        <v>201</v>
      </c>
      <c r="AE75" s="5" t="s">
        <v>208</v>
      </c>
      <c r="AF75" s="5" t="s">
        <v>204</v>
      </c>
      <c r="AG75" s="5" t="s">
        <v>201</v>
      </c>
      <c r="AH75" s="5" t="s">
        <v>204</v>
      </c>
      <c r="AI75" s="5" t="s">
        <v>514</v>
      </c>
      <c r="AJ75" s="5" t="s">
        <v>206</v>
      </c>
      <c r="AK75" s="5" t="s">
        <v>202</v>
      </c>
      <c r="AL75" s="5" t="s">
        <v>201</v>
      </c>
      <c r="AM75" s="5" t="s">
        <v>202</v>
      </c>
      <c r="AN75" s="5" t="s">
        <v>202</v>
      </c>
      <c r="AO75" s="5" t="s">
        <v>200</v>
      </c>
      <c r="AP75" s="5" t="s">
        <v>200</v>
      </c>
      <c r="AQ75" s="5" t="s">
        <v>515</v>
      </c>
      <c r="AR75" s="5" t="s">
        <v>206</v>
      </c>
      <c r="AS75" s="5" t="s">
        <v>201</v>
      </c>
      <c r="AT75" s="5" t="s">
        <v>201</v>
      </c>
      <c r="AU75" s="5" t="s">
        <v>201</v>
      </c>
      <c r="AV75" s="5" t="s">
        <v>204</v>
      </c>
      <c r="AW75" s="5" t="s">
        <v>204</v>
      </c>
      <c r="AX75" s="5" t="s">
        <v>204</v>
      </c>
      <c r="AY75" s="5" t="s">
        <v>204</v>
      </c>
      <c r="AZ75" s="5" t="s">
        <v>516</v>
      </c>
    </row>
    <row r="76">
      <c r="A76" s="7">
        <v>45868.31597222222</v>
      </c>
      <c r="B76" s="7">
        <v>45868.32361111111</v>
      </c>
      <c r="C76" s="5" t="s">
        <v>99</v>
      </c>
      <c r="D76" s="5" t="s">
        <v>192</v>
      </c>
      <c r="E76" s="8">
        <v>100.0</v>
      </c>
      <c r="F76" s="8">
        <v>612.0</v>
      </c>
      <c r="G76" s="9" t="b">
        <v>1</v>
      </c>
      <c r="H76" s="7">
        <v>45868.32361111111</v>
      </c>
      <c r="I76" s="5" t="s">
        <v>517</v>
      </c>
      <c r="K76" s="10"/>
      <c r="L76" s="10"/>
      <c r="M76" s="10"/>
      <c r="N76" s="8">
        <v>60.1816</v>
      </c>
      <c r="O76" s="8">
        <v>24.8368</v>
      </c>
      <c r="P76" s="5" t="s">
        <v>194</v>
      </c>
      <c r="Q76" s="5" t="s">
        <v>195</v>
      </c>
      <c r="R76" s="5" t="s">
        <v>501</v>
      </c>
      <c r="S76" s="5" t="s">
        <v>197</v>
      </c>
      <c r="T76" s="5" t="s">
        <v>202</v>
      </c>
      <c r="U76" s="5" t="s">
        <v>202</v>
      </c>
      <c r="V76" s="5" t="s">
        <v>199</v>
      </c>
      <c r="W76" s="5" t="s">
        <v>201</v>
      </c>
      <c r="X76" s="5" t="s">
        <v>201</v>
      </c>
      <c r="Y76" s="5" t="s">
        <v>201</v>
      </c>
      <c r="Z76" s="5" t="s">
        <v>202</v>
      </c>
      <c r="AA76" s="5" t="s">
        <v>201</v>
      </c>
      <c r="AB76" s="5" t="s">
        <v>201</v>
      </c>
      <c r="AC76" s="5" t="s">
        <v>201</v>
      </c>
      <c r="AD76" s="5" t="s">
        <v>201</v>
      </c>
      <c r="AE76" s="5" t="s">
        <v>202</v>
      </c>
      <c r="AF76" s="5" t="s">
        <v>202</v>
      </c>
      <c r="AG76" s="5" t="s">
        <v>201</v>
      </c>
      <c r="AH76" s="5" t="s">
        <v>208</v>
      </c>
      <c r="AI76" s="5" t="s">
        <v>518</v>
      </c>
      <c r="AJ76" s="5" t="s">
        <v>206</v>
      </c>
      <c r="AK76" s="5" t="s">
        <v>201</v>
      </c>
      <c r="AL76" s="5" t="s">
        <v>201</v>
      </c>
      <c r="AM76" s="5" t="s">
        <v>201</v>
      </c>
      <c r="AN76" s="5" t="s">
        <v>201</v>
      </c>
      <c r="AO76" s="5" t="s">
        <v>201</v>
      </c>
      <c r="AP76" s="5" t="s">
        <v>201</v>
      </c>
      <c r="AQ76" s="5" t="s">
        <v>519</v>
      </c>
      <c r="AR76" s="5" t="s">
        <v>206</v>
      </c>
      <c r="AS76" s="5" t="s">
        <v>201</v>
      </c>
      <c r="AT76" s="5" t="s">
        <v>202</v>
      </c>
      <c r="AU76" s="5" t="s">
        <v>201</v>
      </c>
      <c r="AV76" s="5" t="s">
        <v>204</v>
      </c>
      <c r="AW76" s="5" t="s">
        <v>204</v>
      </c>
      <c r="AX76" s="5" t="s">
        <v>204</v>
      </c>
      <c r="AY76" s="5" t="s">
        <v>204</v>
      </c>
      <c r="AZ76" s="5" t="s">
        <v>520</v>
      </c>
    </row>
    <row r="77">
      <c r="A77" s="7">
        <v>45868.32777777778</v>
      </c>
      <c r="B77" s="7">
        <v>45868.334027777775</v>
      </c>
      <c r="C77" s="5" t="s">
        <v>99</v>
      </c>
      <c r="D77" s="5" t="s">
        <v>192</v>
      </c>
      <c r="E77" s="8">
        <v>100.0</v>
      </c>
      <c r="F77" s="8">
        <v>561.0</v>
      </c>
      <c r="G77" s="9" t="b">
        <v>1</v>
      </c>
      <c r="H77" s="7">
        <v>45868.334027777775</v>
      </c>
      <c r="I77" s="5" t="s">
        <v>521</v>
      </c>
      <c r="K77" s="10"/>
      <c r="L77" s="10"/>
      <c r="M77" s="10"/>
      <c r="N77" s="8">
        <v>60.1816</v>
      </c>
      <c r="O77" s="8">
        <v>24.8368</v>
      </c>
      <c r="P77" s="5" t="s">
        <v>194</v>
      </c>
      <c r="Q77" s="5" t="s">
        <v>195</v>
      </c>
      <c r="R77" s="5" t="s">
        <v>496</v>
      </c>
      <c r="S77" s="5" t="s">
        <v>197</v>
      </c>
      <c r="T77" s="5" t="s">
        <v>208</v>
      </c>
      <c r="U77" s="5" t="s">
        <v>208</v>
      </c>
      <c r="V77" s="5" t="s">
        <v>199</v>
      </c>
      <c r="W77" s="5" t="s">
        <v>198</v>
      </c>
      <c r="X77" s="5" t="s">
        <v>203</v>
      </c>
      <c r="Y77" s="5" t="s">
        <v>208</v>
      </c>
      <c r="Z77" s="5" t="s">
        <v>203</v>
      </c>
      <c r="AA77" s="5" t="s">
        <v>202</v>
      </c>
      <c r="AB77" s="5" t="s">
        <v>203</v>
      </c>
      <c r="AC77" s="5" t="s">
        <v>202</v>
      </c>
      <c r="AD77" s="5" t="s">
        <v>208</v>
      </c>
      <c r="AE77" s="5" t="s">
        <v>202</v>
      </c>
      <c r="AF77" s="5" t="s">
        <v>204</v>
      </c>
      <c r="AG77" s="5" t="s">
        <v>203</v>
      </c>
      <c r="AH77" s="5" t="s">
        <v>204</v>
      </c>
      <c r="AI77" s="5" t="s">
        <v>522</v>
      </c>
      <c r="AJ77" s="5" t="s">
        <v>206</v>
      </c>
      <c r="AK77" s="5" t="s">
        <v>208</v>
      </c>
      <c r="AL77" s="5" t="s">
        <v>203</v>
      </c>
      <c r="AM77" s="5" t="s">
        <v>203</v>
      </c>
      <c r="AN77" s="5" t="s">
        <v>202</v>
      </c>
      <c r="AO77" s="5" t="s">
        <v>202</v>
      </c>
      <c r="AP77" s="5" t="s">
        <v>208</v>
      </c>
      <c r="AQ77" s="5" t="s">
        <v>523</v>
      </c>
      <c r="AR77" s="5" t="s">
        <v>206</v>
      </c>
      <c r="AS77" s="5" t="s">
        <v>204</v>
      </c>
      <c r="AT77" s="5" t="s">
        <v>204</v>
      </c>
      <c r="AU77" s="5" t="s">
        <v>200</v>
      </c>
      <c r="AV77" s="5" t="s">
        <v>201</v>
      </c>
      <c r="AW77" s="5" t="s">
        <v>200</v>
      </c>
      <c r="AX77" s="5" t="s">
        <v>201</v>
      </c>
      <c r="AY77" s="5" t="s">
        <v>201</v>
      </c>
      <c r="AZ77" s="5" t="s">
        <v>524</v>
      </c>
    </row>
    <row r="78">
      <c r="A78" s="7">
        <v>45868.325694444444</v>
      </c>
      <c r="B78" s="7">
        <v>45868.33611111111</v>
      </c>
      <c r="C78" s="5" t="s">
        <v>99</v>
      </c>
      <c r="D78" s="5" t="s">
        <v>389</v>
      </c>
      <c r="E78" s="8">
        <v>100.0</v>
      </c>
      <c r="F78" s="8">
        <v>862.0</v>
      </c>
      <c r="G78" s="9" t="b">
        <v>1</v>
      </c>
      <c r="H78" s="7">
        <v>45868.33611111111</v>
      </c>
      <c r="I78" s="5" t="s">
        <v>525</v>
      </c>
      <c r="K78" s="10"/>
      <c r="L78" s="10"/>
      <c r="M78" s="10"/>
      <c r="N78" s="8">
        <v>60.1816</v>
      </c>
      <c r="O78" s="8">
        <v>24.8368</v>
      </c>
      <c r="P78" s="5" t="s">
        <v>194</v>
      </c>
      <c r="Q78" s="5" t="s">
        <v>195</v>
      </c>
      <c r="R78" s="5" t="s">
        <v>501</v>
      </c>
      <c r="S78" s="5" t="s">
        <v>216</v>
      </c>
      <c r="T78" s="5" t="s">
        <v>200</v>
      </c>
      <c r="U78" s="5" t="s">
        <v>202</v>
      </c>
      <c r="V78" s="5" t="s">
        <v>199</v>
      </c>
      <c r="W78" s="5" t="s">
        <v>201</v>
      </c>
      <c r="X78" s="5" t="s">
        <v>202</v>
      </c>
      <c r="Y78" s="5" t="s">
        <v>202</v>
      </c>
      <c r="Z78" s="5" t="s">
        <v>200</v>
      </c>
      <c r="AA78" s="5" t="s">
        <v>201</v>
      </c>
      <c r="AB78" s="5" t="s">
        <v>201</v>
      </c>
      <c r="AC78" s="5" t="s">
        <v>201</v>
      </c>
      <c r="AD78" s="5" t="s">
        <v>201</v>
      </c>
      <c r="AE78" s="5" t="s">
        <v>202</v>
      </c>
      <c r="AF78" s="5" t="s">
        <v>202</v>
      </c>
      <c r="AG78" s="5" t="s">
        <v>201</v>
      </c>
      <c r="AH78" s="5" t="s">
        <v>208</v>
      </c>
      <c r="AI78" s="5" t="s">
        <v>526</v>
      </c>
      <c r="AJ78" s="5" t="s">
        <v>206</v>
      </c>
      <c r="AK78" s="5" t="s">
        <v>201</v>
      </c>
      <c r="AL78" s="5" t="s">
        <v>201</v>
      </c>
      <c r="AM78" s="5" t="s">
        <v>201</v>
      </c>
      <c r="AN78" s="5" t="s">
        <v>201</v>
      </c>
      <c r="AO78" s="5" t="s">
        <v>202</v>
      </c>
      <c r="AP78" s="5" t="s">
        <v>201</v>
      </c>
      <c r="AQ78" s="5" t="s">
        <v>527</v>
      </c>
      <c r="AR78" s="5" t="s">
        <v>206</v>
      </c>
      <c r="AS78" s="5" t="s">
        <v>201</v>
      </c>
      <c r="AT78" s="5" t="s">
        <v>202</v>
      </c>
      <c r="AU78" s="5" t="s">
        <v>201</v>
      </c>
      <c r="AV78" s="5" t="s">
        <v>204</v>
      </c>
      <c r="AW78" s="5" t="s">
        <v>204</v>
      </c>
      <c r="AX78" s="5" t="s">
        <v>204</v>
      </c>
      <c r="AY78" s="5" t="s">
        <v>204</v>
      </c>
      <c r="AZ78" s="5" t="s">
        <v>528</v>
      </c>
    </row>
    <row r="79">
      <c r="A79" s="7">
        <v>45869.010416666664</v>
      </c>
      <c r="B79" s="7">
        <v>45869.02222222222</v>
      </c>
      <c r="C79" s="5" t="s">
        <v>99</v>
      </c>
      <c r="D79" s="5" t="s">
        <v>529</v>
      </c>
      <c r="E79" s="8">
        <v>100.0</v>
      </c>
      <c r="F79" s="8">
        <v>1029.0</v>
      </c>
      <c r="G79" s="9" t="b">
        <v>1</v>
      </c>
      <c r="H79" s="7">
        <v>45869.02222222222</v>
      </c>
      <c r="I79" s="5" t="s">
        <v>530</v>
      </c>
      <c r="K79" s="10"/>
      <c r="L79" s="10"/>
      <c r="M79" s="10"/>
      <c r="N79" s="8">
        <v>60.1816</v>
      </c>
      <c r="O79" s="8">
        <v>24.8368</v>
      </c>
      <c r="P79" s="5" t="s">
        <v>194</v>
      </c>
      <c r="Q79" s="5" t="s">
        <v>195</v>
      </c>
      <c r="R79" s="5" t="s">
        <v>531</v>
      </c>
      <c r="S79" s="5" t="s">
        <v>216</v>
      </c>
      <c r="T79" s="5" t="s">
        <v>200</v>
      </c>
      <c r="U79" s="5" t="s">
        <v>198</v>
      </c>
      <c r="V79" s="5" t="s">
        <v>199</v>
      </c>
      <c r="W79" s="5" t="s">
        <v>208</v>
      </c>
      <c r="X79" s="5" t="s">
        <v>200</v>
      </c>
      <c r="Y79" s="5" t="s">
        <v>200</v>
      </c>
      <c r="Z79" s="5" t="s">
        <v>200</v>
      </c>
      <c r="AA79" s="5" t="s">
        <v>202</v>
      </c>
      <c r="AB79" s="5" t="s">
        <v>202</v>
      </c>
      <c r="AC79" s="5" t="s">
        <v>202</v>
      </c>
      <c r="AD79" s="5" t="s">
        <v>208</v>
      </c>
      <c r="AE79" s="5" t="s">
        <v>198</v>
      </c>
      <c r="AF79" s="5" t="s">
        <v>208</v>
      </c>
      <c r="AG79" s="5" t="s">
        <v>202</v>
      </c>
      <c r="AH79" s="5" t="s">
        <v>202</v>
      </c>
      <c r="AI79" s="5" t="s">
        <v>532</v>
      </c>
      <c r="AJ79" s="5" t="s">
        <v>206</v>
      </c>
      <c r="AK79" s="5" t="s">
        <v>202</v>
      </c>
      <c r="AL79" s="5" t="s">
        <v>200</v>
      </c>
      <c r="AM79" s="5" t="s">
        <v>200</v>
      </c>
      <c r="AN79" s="5" t="s">
        <v>200</v>
      </c>
      <c r="AO79" s="5" t="s">
        <v>202</v>
      </c>
      <c r="AP79" s="5" t="s">
        <v>208</v>
      </c>
      <c r="AQ79" s="5" t="s">
        <v>533</v>
      </c>
      <c r="AR79" s="5" t="s">
        <v>206</v>
      </c>
      <c r="AS79" s="5" t="s">
        <v>208</v>
      </c>
      <c r="AT79" s="5" t="s">
        <v>201</v>
      </c>
      <c r="AU79" s="5" t="s">
        <v>200</v>
      </c>
      <c r="AV79" s="5" t="s">
        <v>198</v>
      </c>
      <c r="AW79" s="5" t="s">
        <v>204</v>
      </c>
      <c r="AX79" s="5" t="s">
        <v>204</v>
      </c>
      <c r="AY79" s="5" t="s">
        <v>204</v>
      </c>
      <c r="AZ79" s="5" t="s">
        <v>534</v>
      </c>
    </row>
    <row r="80">
      <c r="A80" s="7">
        <v>45869.01527777778</v>
      </c>
      <c r="B80" s="7">
        <v>45869.02847222222</v>
      </c>
      <c r="C80" s="5" t="s">
        <v>99</v>
      </c>
      <c r="D80" s="5" t="s">
        <v>192</v>
      </c>
      <c r="E80" s="8">
        <v>100.0</v>
      </c>
      <c r="F80" s="8">
        <v>1118.0</v>
      </c>
      <c r="G80" s="9" t="b">
        <v>1</v>
      </c>
      <c r="H80" s="7">
        <v>45869.02847222222</v>
      </c>
      <c r="I80" s="5" t="s">
        <v>535</v>
      </c>
      <c r="K80" s="10"/>
      <c r="L80" s="10"/>
      <c r="M80" s="10"/>
      <c r="N80" s="8">
        <v>60.1816</v>
      </c>
      <c r="O80" s="8">
        <v>24.8368</v>
      </c>
      <c r="P80" s="5" t="s">
        <v>194</v>
      </c>
      <c r="Q80" s="5" t="s">
        <v>195</v>
      </c>
      <c r="R80" s="5" t="s">
        <v>536</v>
      </c>
      <c r="S80" s="5" t="s">
        <v>197</v>
      </c>
      <c r="T80" s="5" t="s">
        <v>200</v>
      </c>
      <c r="U80" s="5" t="s">
        <v>198</v>
      </c>
      <c r="V80" s="5" t="s">
        <v>199</v>
      </c>
      <c r="W80" s="5" t="s">
        <v>201</v>
      </c>
      <c r="X80" s="5" t="s">
        <v>201</v>
      </c>
      <c r="Y80" s="5" t="s">
        <v>200</v>
      </c>
      <c r="Z80" s="5" t="s">
        <v>200</v>
      </c>
      <c r="AA80" s="5" t="s">
        <v>202</v>
      </c>
      <c r="AB80" s="5" t="s">
        <v>202</v>
      </c>
      <c r="AC80" s="5" t="s">
        <v>201</v>
      </c>
      <c r="AD80" s="5" t="s">
        <v>201</v>
      </c>
      <c r="AE80" s="5" t="s">
        <v>202</v>
      </c>
      <c r="AF80" s="5" t="s">
        <v>208</v>
      </c>
      <c r="AG80" s="5" t="s">
        <v>201</v>
      </c>
      <c r="AH80" s="5" t="s">
        <v>202</v>
      </c>
      <c r="AI80" s="5" t="s">
        <v>537</v>
      </c>
      <c r="AJ80" s="5" t="s">
        <v>206</v>
      </c>
      <c r="AK80" s="5" t="s">
        <v>203</v>
      </c>
      <c r="AL80" s="5" t="s">
        <v>201</v>
      </c>
      <c r="AM80" s="5" t="s">
        <v>201</v>
      </c>
      <c r="AN80" s="5" t="s">
        <v>198</v>
      </c>
      <c r="AO80" s="5" t="s">
        <v>200</v>
      </c>
      <c r="AP80" s="5" t="s">
        <v>203</v>
      </c>
      <c r="AQ80" s="5" t="s">
        <v>538</v>
      </c>
      <c r="AS80" s="5" t="s">
        <v>201</v>
      </c>
      <c r="AT80" s="5" t="s">
        <v>201</v>
      </c>
      <c r="AU80" s="5" t="s">
        <v>201</v>
      </c>
      <c r="AV80" s="5" t="s">
        <v>204</v>
      </c>
      <c r="AW80" s="5" t="s">
        <v>204</v>
      </c>
      <c r="AX80" s="5" t="s">
        <v>204</v>
      </c>
      <c r="AY80" s="5" t="s">
        <v>204</v>
      </c>
      <c r="AZ80" s="11" t="s">
        <v>539</v>
      </c>
    </row>
    <row r="81">
      <c r="A81" s="7">
        <v>45869.03611111111</v>
      </c>
      <c r="B81" s="7">
        <v>45869.041666666664</v>
      </c>
      <c r="C81" s="5" t="s">
        <v>99</v>
      </c>
      <c r="D81" s="5" t="s">
        <v>192</v>
      </c>
      <c r="E81" s="8">
        <v>100.0</v>
      </c>
      <c r="F81" s="8">
        <v>497.0</v>
      </c>
      <c r="G81" s="9" t="b">
        <v>1</v>
      </c>
      <c r="H81" s="7">
        <v>45869.041666666664</v>
      </c>
      <c r="I81" s="5" t="s">
        <v>540</v>
      </c>
      <c r="K81" s="10"/>
      <c r="L81" s="10"/>
      <c r="M81" s="10"/>
      <c r="N81" s="8">
        <v>60.1816</v>
      </c>
      <c r="O81" s="8">
        <v>24.8368</v>
      </c>
      <c r="P81" s="5" t="s">
        <v>194</v>
      </c>
      <c r="Q81" s="5" t="s">
        <v>195</v>
      </c>
      <c r="R81" s="5" t="s">
        <v>531</v>
      </c>
      <c r="S81" s="5" t="s">
        <v>197</v>
      </c>
      <c r="T81" s="5" t="s">
        <v>202</v>
      </c>
      <c r="U81" s="5" t="s">
        <v>208</v>
      </c>
      <c r="V81" s="5" t="s">
        <v>199</v>
      </c>
      <c r="W81" s="5" t="s">
        <v>198</v>
      </c>
      <c r="X81" s="5" t="s">
        <v>200</v>
      </c>
      <c r="Y81" s="5" t="s">
        <v>202</v>
      </c>
      <c r="Z81" s="5" t="s">
        <v>198</v>
      </c>
      <c r="AA81" s="5" t="s">
        <v>200</v>
      </c>
      <c r="AB81" s="5" t="s">
        <v>202</v>
      </c>
      <c r="AC81" s="5" t="s">
        <v>200</v>
      </c>
      <c r="AD81" s="5" t="s">
        <v>208</v>
      </c>
      <c r="AE81" s="5" t="s">
        <v>208</v>
      </c>
      <c r="AF81" s="5" t="s">
        <v>208</v>
      </c>
      <c r="AG81" s="5" t="s">
        <v>200</v>
      </c>
      <c r="AH81" s="5" t="s">
        <v>200</v>
      </c>
      <c r="AI81" s="5" t="s">
        <v>541</v>
      </c>
      <c r="AJ81" s="5" t="s">
        <v>206</v>
      </c>
      <c r="AK81" s="5" t="s">
        <v>200</v>
      </c>
      <c r="AL81" s="5" t="s">
        <v>202</v>
      </c>
      <c r="AM81" s="5" t="s">
        <v>200</v>
      </c>
      <c r="AN81" s="5" t="s">
        <v>198</v>
      </c>
      <c r="AO81" s="5" t="s">
        <v>200</v>
      </c>
      <c r="AP81" s="5" t="s">
        <v>202</v>
      </c>
      <c r="AQ81" s="5" t="s">
        <v>542</v>
      </c>
      <c r="AS81" s="5" t="s">
        <v>200</v>
      </c>
      <c r="AT81" s="5" t="s">
        <v>208</v>
      </c>
      <c r="AU81" s="5" t="s">
        <v>202</v>
      </c>
      <c r="AV81" s="5" t="s">
        <v>208</v>
      </c>
      <c r="AW81" s="5" t="s">
        <v>208</v>
      </c>
      <c r="AX81" s="5" t="s">
        <v>200</v>
      </c>
      <c r="AY81" s="5" t="s">
        <v>200</v>
      </c>
      <c r="AZ81" s="5" t="s">
        <v>543</v>
      </c>
    </row>
    <row r="82">
      <c r="A82" s="7">
        <v>45869.029861111114</v>
      </c>
      <c r="B82" s="7">
        <v>45869.04722222222</v>
      </c>
      <c r="C82" s="5" t="s">
        <v>99</v>
      </c>
      <c r="D82" s="5" t="s">
        <v>389</v>
      </c>
      <c r="E82" s="8">
        <v>100.0</v>
      </c>
      <c r="F82" s="8">
        <v>1473.0</v>
      </c>
      <c r="G82" s="9" t="b">
        <v>1</v>
      </c>
      <c r="H82" s="7">
        <v>45869.04722222222</v>
      </c>
      <c r="I82" s="5" t="s">
        <v>544</v>
      </c>
      <c r="K82" s="10"/>
      <c r="L82" s="10"/>
      <c r="M82" s="10"/>
      <c r="N82" s="8">
        <v>60.1816</v>
      </c>
      <c r="O82" s="8">
        <v>24.8368</v>
      </c>
      <c r="P82" s="5" t="s">
        <v>194</v>
      </c>
      <c r="Q82" s="5" t="s">
        <v>195</v>
      </c>
      <c r="R82" s="5" t="s">
        <v>536</v>
      </c>
      <c r="S82" s="5" t="s">
        <v>211</v>
      </c>
      <c r="T82" s="5" t="s">
        <v>200</v>
      </c>
      <c r="U82" s="5" t="s">
        <v>200</v>
      </c>
      <c r="V82" s="5" t="s">
        <v>199</v>
      </c>
      <c r="W82" s="5" t="s">
        <v>201</v>
      </c>
      <c r="X82" s="5" t="s">
        <v>201</v>
      </c>
      <c r="Y82" s="5" t="s">
        <v>200</v>
      </c>
      <c r="Z82" s="5" t="s">
        <v>200</v>
      </c>
      <c r="AA82" s="5" t="s">
        <v>202</v>
      </c>
      <c r="AB82" s="5" t="s">
        <v>202</v>
      </c>
      <c r="AC82" s="5" t="s">
        <v>201</v>
      </c>
      <c r="AD82" s="5" t="s">
        <v>201</v>
      </c>
      <c r="AE82" s="5" t="s">
        <v>202</v>
      </c>
      <c r="AF82" s="5" t="s">
        <v>208</v>
      </c>
      <c r="AG82" s="5" t="s">
        <v>202</v>
      </c>
      <c r="AH82" s="5" t="s">
        <v>203</v>
      </c>
      <c r="AI82" s="5" t="s">
        <v>545</v>
      </c>
      <c r="AJ82" s="5" t="s">
        <v>206</v>
      </c>
      <c r="AK82" s="5" t="s">
        <v>203</v>
      </c>
      <c r="AL82" s="5" t="s">
        <v>198</v>
      </c>
      <c r="AM82" s="5" t="s">
        <v>202</v>
      </c>
      <c r="AN82" s="5" t="s">
        <v>202</v>
      </c>
      <c r="AO82" s="5" t="s">
        <v>200</v>
      </c>
      <c r="AP82" s="5" t="s">
        <v>203</v>
      </c>
      <c r="AQ82" s="5" t="s">
        <v>546</v>
      </c>
      <c r="AR82" s="5" t="s">
        <v>206</v>
      </c>
      <c r="AS82" s="5" t="s">
        <v>202</v>
      </c>
      <c r="AT82" s="5" t="s">
        <v>201</v>
      </c>
      <c r="AU82" s="5" t="s">
        <v>201</v>
      </c>
      <c r="AV82" s="5" t="s">
        <v>204</v>
      </c>
      <c r="AW82" s="5" t="s">
        <v>204</v>
      </c>
      <c r="AX82" s="5" t="s">
        <v>204</v>
      </c>
      <c r="AY82" s="5" t="s">
        <v>204</v>
      </c>
      <c r="AZ82" s="5" t="s">
        <v>547</v>
      </c>
    </row>
    <row r="83">
      <c r="A83" s="7">
        <v>45869.04652777778</v>
      </c>
      <c r="B83" s="7">
        <v>45869.052777777775</v>
      </c>
      <c r="C83" s="5" t="s">
        <v>99</v>
      </c>
      <c r="D83" s="5" t="s">
        <v>383</v>
      </c>
      <c r="E83" s="8">
        <v>100.0</v>
      </c>
      <c r="F83" s="8">
        <v>554.0</v>
      </c>
      <c r="G83" s="9" t="b">
        <v>1</v>
      </c>
      <c r="H83" s="7">
        <v>45869.052777777775</v>
      </c>
      <c r="I83" s="5" t="s">
        <v>548</v>
      </c>
      <c r="K83" s="10"/>
      <c r="L83" s="10"/>
      <c r="M83" s="10"/>
      <c r="N83" s="8">
        <v>60.1816</v>
      </c>
      <c r="O83" s="8">
        <v>24.8368</v>
      </c>
      <c r="P83" s="5" t="s">
        <v>194</v>
      </c>
      <c r="Q83" s="5" t="s">
        <v>195</v>
      </c>
      <c r="R83" s="5" t="s">
        <v>531</v>
      </c>
      <c r="S83" s="5" t="s">
        <v>263</v>
      </c>
      <c r="T83" s="5" t="s">
        <v>200</v>
      </c>
      <c r="U83" s="5" t="s">
        <v>208</v>
      </c>
      <c r="V83" s="5" t="s">
        <v>199</v>
      </c>
      <c r="W83" s="5" t="s">
        <v>203</v>
      </c>
      <c r="X83" s="5" t="s">
        <v>198</v>
      </c>
      <c r="Y83" s="5" t="s">
        <v>203</v>
      </c>
      <c r="Z83" s="5" t="s">
        <v>198</v>
      </c>
      <c r="AA83" s="5" t="s">
        <v>200</v>
      </c>
      <c r="AB83" s="5" t="s">
        <v>200</v>
      </c>
      <c r="AC83" s="5" t="s">
        <v>202</v>
      </c>
      <c r="AD83" s="5" t="s">
        <v>198</v>
      </c>
      <c r="AE83" s="5" t="s">
        <v>198</v>
      </c>
      <c r="AF83" s="5" t="s">
        <v>203</v>
      </c>
      <c r="AG83" s="5" t="s">
        <v>200</v>
      </c>
      <c r="AH83" s="5" t="s">
        <v>200</v>
      </c>
      <c r="AI83" s="5" t="s">
        <v>549</v>
      </c>
      <c r="AJ83" s="5" t="s">
        <v>206</v>
      </c>
      <c r="AK83" s="5" t="s">
        <v>198</v>
      </c>
      <c r="AL83" s="5" t="s">
        <v>200</v>
      </c>
      <c r="AM83" s="5" t="s">
        <v>198</v>
      </c>
      <c r="AN83" s="5" t="s">
        <v>198</v>
      </c>
      <c r="AO83" s="5" t="s">
        <v>198</v>
      </c>
      <c r="AP83" s="5" t="s">
        <v>198</v>
      </c>
      <c r="AQ83" s="5" t="s">
        <v>550</v>
      </c>
      <c r="AS83" s="5" t="s">
        <v>200</v>
      </c>
      <c r="AT83" s="5" t="s">
        <v>208</v>
      </c>
      <c r="AU83" s="5" t="s">
        <v>198</v>
      </c>
      <c r="AV83" s="5" t="s">
        <v>208</v>
      </c>
      <c r="AW83" s="5" t="s">
        <v>198</v>
      </c>
      <c r="AX83" s="5" t="s">
        <v>200</v>
      </c>
      <c r="AY83" s="5" t="s">
        <v>198</v>
      </c>
      <c r="AZ83" s="5" t="s">
        <v>551</v>
      </c>
    </row>
    <row r="84">
      <c r="A84" s="7">
        <v>45869.05347222222</v>
      </c>
      <c r="B84" s="7">
        <v>45869.0625</v>
      </c>
      <c r="C84" s="5" t="s">
        <v>99</v>
      </c>
      <c r="D84" s="5" t="s">
        <v>383</v>
      </c>
      <c r="E84" s="8">
        <v>100.0</v>
      </c>
      <c r="F84" s="8">
        <v>794.0</v>
      </c>
      <c r="G84" s="9" t="b">
        <v>1</v>
      </c>
      <c r="H84" s="7">
        <v>45869.0625</v>
      </c>
      <c r="I84" s="5" t="s">
        <v>552</v>
      </c>
      <c r="K84" s="10"/>
      <c r="L84" s="10"/>
      <c r="M84" s="10"/>
      <c r="N84" s="8">
        <v>60.1816</v>
      </c>
      <c r="O84" s="8">
        <v>24.8368</v>
      </c>
      <c r="P84" s="5" t="s">
        <v>194</v>
      </c>
      <c r="Q84" s="5" t="s">
        <v>195</v>
      </c>
      <c r="R84" s="5" t="s">
        <v>244</v>
      </c>
      <c r="S84" s="5" t="s">
        <v>197</v>
      </c>
      <c r="T84" s="5" t="s">
        <v>200</v>
      </c>
      <c r="U84" s="5" t="s">
        <v>208</v>
      </c>
      <c r="V84" s="5" t="s">
        <v>199</v>
      </c>
      <c r="W84" s="5" t="s">
        <v>202</v>
      </c>
      <c r="X84" s="5" t="s">
        <v>204</v>
      </c>
      <c r="Y84" s="5" t="s">
        <v>201</v>
      </c>
      <c r="Z84" s="5" t="s">
        <v>204</v>
      </c>
      <c r="AA84" s="5" t="s">
        <v>208</v>
      </c>
      <c r="AB84" s="5" t="s">
        <v>200</v>
      </c>
      <c r="AC84" s="5" t="s">
        <v>200</v>
      </c>
      <c r="AD84" s="5" t="s">
        <v>208</v>
      </c>
      <c r="AE84" s="5" t="s">
        <v>204</v>
      </c>
      <c r="AF84" s="5" t="s">
        <v>200</v>
      </c>
      <c r="AG84" s="5" t="s">
        <v>203</v>
      </c>
      <c r="AH84" s="5" t="s">
        <v>201</v>
      </c>
      <c r="AI84" s="5" t="s">
        <v>553</v>
      </c>
      <c r="AJ84" s="5" t="s">
        <v>206</v>
      </c>
      <c r="AK84" s="5" t="s">
        <v>202</v>
      </c>
      <c r="AL84" s="5" t="s">
        <v>202</v>
      </c>
      <c r="AM84" s="5" t="s">
        <v>201</v>
      </c>
      <c r="AN84" s="5" t="s">
        <v>201</v>
      </c>
      <c r="AO84" s="5" t="s">
        <v>200</v>
      </c>
      <c r="AP84" s="5" t="s">
        <v>202</v>
      </c>
      <c r="AQ84" s="5" t="s">
        <v>554</v>
      </c>
      <c r="AR84" s="5" t="s">
        <v>206</v>
      </c>
      <c r="AS84" s="5" t="s">
        <v>201</v>
      </c>
      <c r="AT84" s="5" t="s">
        <v>202</v>
      </c>
      <c r="AU84" s="5" t="s">
        <v>201</v>
      </c>
      <c r="AV84" s="5" t="s">
        <v>204</v>
      </c>
      <c r="AW84" s="5" t="s">
        <v>204</v>
      </c>
      <c r="AX84" s="5" t="s">
        <v>200</v>
      </c>
      <c r="AY84" s="5" t="s">
        <v>204</v>
      </c>
      <c r="AZ84" s="5" t="s">
        <v>555</v>
      </c>
    </row>
    <row r="85">
      <c r="A85" s="7">
        <v>45869.05694444444</v>
      </c>
      <c r="B85" s="7">
        <v>45869.06458333333</v>
      </c>
      <c r="C85" s="5" t="s">
        <v>99</v>
      </c>
      <c r="D85" s="5" t="s">
        <v>389</v>
      </c>
      <c r="E85" s="8">
        <v>100.0</v>
      </c>
      <c r="F85" s="8">
        <v>680.0</v>
      </c>
      <c r="G85" s="9" t="b">
        <v>1</v>
      </c>
      <c r="H85" s="7">
        <v>45869.06458333333</v>
      </c>
      <c r="I85" s="5" t="s">
        <v>556</v>
      </c>
      <c r="K85" s="10"/>
      <c r="L85" s="10"/>
      <c r="M85" s="10"/>
      <c r="N85" s="8">
        <v>60.1816</v>
      </c>
      <c r="O85" s="8">
        <v>24.8368</v>
      </c>
      <c r="P85" s="5" t="s">
        <v>194</v>
      </c>
      <c r="Q85" s="5" t="s">
        <v>195</v>
      </c>
      <c r="R85" s="5" t="s">
        <v>531</v>
      </c>
      <c r="S85" s="5" t="s">
        <v>211</v>
      </c>
      <c r="T85" s="5" t="s">
        <v>198</v>
      </c>
      <c r="U85" s="5" t="s">
        <v>198</v>
      </c>
      <c r="V85" s="5" t="s">
        <v>199</v>
      </c>
      <c r="W85" s="5" t="s">
        <v>198</v>
      </c>
      <c r="X85" s="5" t="s">
        <v>200</v>
      </c>
      <c r="Y85" s="5" t="s">
        <v>200</v>
      </c>
      <c r="Z85" s="5" t="s">
        <v>198</v>
      </c>
      <c r="AA85" s="5" t="s">
        <v>200</v>
      </c>
      <c r="AB85" s="5" t="s">
        <v>202</v>
      </c>
      <c r="AC85" s="5" t="s">
        <v>200</v>
      </c>
      <c r="AD85" s="5" t="s">
        <v>202</v>
      </c>
      <c r="AE85" s="5" t="s">
        <v>208</v>
      </c>
      <c r="AF85" s="5" t="s">
        <v>200</v>
      </c>
      <c r="AG85" s="5" t="s">
        <v>202</v>
      </c>
      <c r="AH85" s="5" t="s">
        <v>200</v>
      </c>
      <c r="AI85" s="5" t="s">
        <v>557</v>
      </c>
      <c r="AJ85" s="5" t="s">
        <v>206</v>
      </c>
      <c r="AK85" s="5" t="s">
        <v>203</v>
      </c>
      <c r="AL85" s="5" t="s">
        <v>200</v>
      </c>
      <c r="AM85" s="5" t="s">
        <v>200</v>
      </c>
      <c r="AN85" s="5" t="s">
        <v>202</v>
      </c>
      <c r="AO85" s="5" t="s">
        <v>200</v>
      </c>
      <c r="AP85" s="5" t="s">
        <v>200</v>
      </c>
      <c r="AQ85" s="5" t="s">
        <v>558</v>
      </c>
      <c r="AR85" s="5" t="s">
        <v>206</v>
      </c>
      <c r="AS85" s="5" t="s">
        <v>198</v>
      </c>
      <c r="AT85" s="5" t="s">
        <v>200</v>
      </c>
      <c r="AU85" s="5" t="s">
        <v>200</v>
      </c>
      <c r="AV85" s="5" t="s">
        <v>204</v>
      </c>
      <c r="AW85" s="5" t="s">
        <v>204</v>
      </c>
      <c r="AX85" s="5" t="s">
        <v>208</v>
      </c>
      <c r="AY85" s="5" t="s">
        <v>204</v>
      </c>
      <c r="AZ85" s="5" t="s">
        <v>559</v>
      </c>
    </row>
    <row r="86">
      <c r="A86" s="7">
        <v>45869.05625</v>
      </c>
      <c r="B86" s="7">
        <v>45869.06805555556</v>
      </c>
      <c r="C86" s="5" t="s">
        <v>99</v>
      </c>
      <c r="D86" s="5" t="s">
        <v>192</v>
      </c>
      <c r="E86" s="8">
        <v>100.0</v>
      </c>
      <c r="F86" s="8">
        <v>1077.0</v>
      </c>
      <c r="G86" s="9" t="b">
        <v>1</v>
      </c>
      <c r="H86" s="7">
        <v>45869.06875</v>
      </c>
      <c r="I86" s="5" t="s">
        <v>560</v>
      </c>
      <c r="K86" s="10"/>
      <c r="L86" s="10"/>
      <c r="M86" s="10"/>
      <c r="N86" s="8">
        <v>60.1816</v>
      </c>
      <c r="O86" s="8">
        <v>24.8368</v>
      </c>
      <c r="P86" s="5" t="s">
        <v>194</v>
      </c>
      <c r="Q86" s="5" t="s">
        <v>195</v>
      </c>
      <c r="R86" s="5" t="s">
        <v>536</v>
      </c>
      <c r="S86" s="5" t="s">
        <v>216</v>
      </c>
      <c r="T86" s="5" t="s">
        <v>200</v>
      </c>
      <c r="U86" s="5" t="s">
        <v>200</v>
      </c>
      <c r="V86" s="5" t="s">
        <v>199</v>
      </c>
      <c r="W86" s="5" t="s">
        <v>201</v>
      </c>
      <c r="X86" s="5" t="s">
        <v>201</v>
      </c>
      <c r="Y86" s="5" t="s">
        <v>200</v>
      </c>
      <c r="Z86" s="5" t="s">
        <v>200</v>
      </c>
      <c r="AA86" s="5" t="s">
        <v>202</v>
      </c>
      <c r="AB86" s="5" t="s">
        <v>202</v>
      </c>
      <c r="AC86" s="5" t="s">
        <v>201</v>
      </c>
      <c r="AD86" s="5" t="s">
        <v>201</v>
      </c>
      <c r="AE86" s="5" t="s">
        <v>200</v>
      </c>
      <c r="AF86" s="5" t="s">
        <v>198</v>
      </c>
      <c r="AG86" s="5" t="s">
        <v>202</v>
      </c>
      <c r="AH86" s="5" t="s">
        <v>198</v>
      </c>
      <c r="AI86" s="5" t="s">
        <v>561</v>
      </c>
      <c r="AJ86" s="5" t="s">
        <v>206</v>
      </c>
      <c r="AK86" s="5" t="s">
        <v>202</v>
      </c>
      <c r="AL86" s="5" t="s">
        <v>201</v>
      </c>
      <c r="AM86" s="5" t="s">
        <v>201</v>
      </c>
      <c r="AN86" s="5" t="s">
        <v>201</v>
      </c>
      <c r="AO86" s="5" t="s">
        <v>200</v>
      </c>
      <c r="AP86" s="5" t="s">
        <v>203</v>
      </c>
      <c r="AQ86" s="5" t="s">
        <v>562</v>
      </c>
      <c r="AR86" s="5" t="s">
        <v>206</v>
      </c>
      <c r="AS86" s="5" t="s">
        <v>202</v>
      </c>
      <c r="AT86" s="5" t="s">
        <v>201</v>
      </c>
      <c r="AU86" s="5" t="s">
        <v>201</v>
      </c>
      <c r="AV86" s="5" t="s">
        <v>204</v>
      </c>
      <c r="AW86" s="5" t="s">
        <v>204</v>
      </c>
      <c r="AX86" s="5" t="s">
        <v>204</v>
      </c>
      <c r="AY86" s="5" t="s">
        <v>204</v>
      </c>
      <c r="AZ86" s="5" t="s">
        <v>563</v>
      </c>
    </row>
    <row r="87">
      <c r="A87" s="7">
        <v>45869.066666666666</v>
      </c>
      <c r="B87" s="7">
        <v>45869.07986111111</v>
      </c>
      <c r="C87" s="5" t="s">
        <v>99</v>
      </c>
      <c r="D87" s="5" t="s">
        <v>389</v>
      </c>
      <c r="E87" s="8">
        <v>100.0</v>
      </c>
      <c r="F87" s="8">
        <v>1145.0</v>
      </c>
      <c r="G87" s="9" t="b">
        <v>1</v>
      </c>
      <c r="H87" s="7">
        <v>45869.07986111111</v>
      </c>
      <c r="I87" s="5" t="s">
        <v>564</v>
      </c>
      <c r="K87" s="10"/>
      <c r="L87" s="10"/>
      <c r="M87" s="10"/>
      <c r="N87" s="8">
        <v>60.1816</v>
      </c>
      <c r="O87" s="8">
        <v>24.8368</v>
      </c>
      <c r="P87" s="5" t="s">
        <v>194</v>
      </c>
      <c r="Q87" s="5" t="s">
        <v>195</v>
      </c>
      <c r="R87" s="5" t="s">
        <v>244</v>
      </c>
      <c r="S87" s="5" t="s">
        <v>211</v>
      </c>
      <c r="T87" s="5" t="s">
        <v>203</v>
      </c>
      <c r="U87" s="5" t="s">
        <v>208</v>
      </c>
      <c r="V87" s="5" t="s">
        <v>199</v>
      </c>
      <c r="W87" s="5" t="s">
        <v>202</v>
      </c>
      <c r="X87" s="5" t="s">
        <v>208</v>
      </c>
      <c r="Y87" s="5" t="s">
        <v>208</v>
      </c>
      <c r="Z87" s="5" t="s">
        <v>208</v>
      </c>
      <c r="AA87" s="5" t="s">
        <v>204</v>
      </c>
      <c r="AB87" s="5" t="s">
        <v>208</v>
      </c>
      <c r="AC87" s="5" t="s">
        <v>208</v>
      </c>
      <c r="AD87" s="5" t="s">
        <v>198</v>
      </c>
      <c r="AE87" s="5" t="s">
        <v>204</v>
      </c>
      <c r="AF87" s="5" t="s">
        <v>208</v>
      </c>
      <c r="AG87" s="5" t="s">
        <v>208</v>
      </c>
      <c r="AH87" s="5" t="s">
        <v>201</v>
      </c>
      <c r="AI87" s="5" t="s">
        <v>565</v>
      </c>
      <c r="AJ87" s="5" t="s">
        <v>206</v>
      </c>
      <c r="AK87" s="5" t="s">
        <v>200</v>
      </c>
      <c r="AL87" s="5" t="s">
        <v>208</v>
      </c>
      <c r="AM87" s="5" t="s">
        <v>208</v>
      </c>
      <c r="AN87" s="5" t="s">
        <v>208</v>
      </c>
      <c r="AO87" s="5" t="s">
        <v>208</v>
      </c>
      <c r="AP87" s="5" t="s">
        <v>203</v>
      </c>
      <c r="AQ87" s="5" t="s">
        <v>566</v>
      </c>
      <c r="AR87" s="5" t="s">
        <v>206</v>
      </c>
      <c r="AS87" s="5" t="s">
        <v>202</v>
      </c>
      <c r="AT87" s="5" t="s">
        <v>202</v>
      </c>
      <c r="AU87" s="5" t="s">
        <v>204</v>
      </c>
      <c r="AV87" s="5" t="s">
        <v>204</v>
      </c>
      <c r="AW87" s="5" t="s">
        <v>204</v>
      </c>
      <c r="AX87" s="5" t="s">
        <v>204</v>
      </c>
      <c r="AY87" s="5" t="s">
        <v>204</v>
      </c>
      <c r="AZ87" s="5" t="s">
        <v>567</v>
      </c>
    </row>
    <row r="88">
      <c r="A88" s="7">
        <v>45869.072916666664</v>
      </c>
      <c r="B88" s="7">
        <v>45869.08611111111</v>
      </c>
      <c r="C88" s="5" t="s">
        <v>99</v>
      </c>
      <c r="D88" s="5" t="s">
        <v>192</v>
      </c>
      <c r="E88" s="8">
        <v>100.0</v>
      </c>
      <c r="F88" s="8">
        <v>1139.0</v>
      </c>
      <c r="G88" s="9" t="b">
        <v>1</v>
      </c>
      <c r="H88" s="7">
        <v>45869.08611111111</v>
      </c>
      <c r="I88" s="5" t="s">
        <v>568</v>
      </c>
      <c r="K88" s="10"/>
      <c r="L88" s="10"/>
      <c r="M88" s="10"/>
      <c r="N88" s="8">
        <v>60.1816</v>
      </c>
      <c r="O88" s="8">
        <v>24.8368</v>
      </c>
      <c r="P88" s="5" t="s">
        <v>194</v>
      </c>
      <c r="Q88" s="5" t="s">
        <v>195</v>
      </c>
      <c r="R88" s="5" t="s">
        <v>536</v>
      </c>
      <c r="S88" s="5" t="s">
        <v>263</v>
      </c>
      <c r="T88" s="5" t="s">
        <v>202</v>
      </c>
      <c r="U88" s="5" t="s">
        <v>198</v>
      </c>
      <c r="V88" s="5" t="s">
        <v>199</v>
      </c>
      <c r="W88" s="5" t="s">
        <v>201</v>
      </c>
      <c r="X88" s="5" t="s">
        <v>201</v>
      </c>
      <c r="Y88" s="5" t="s">
        <v>202</v>
      </c>
      <c r="Z88" s="5" t="s">
        <v>200</v>
      </c>
      <c r="AA88" s="5" t="s">
        <v>202</v>
      </c>
      <c r="AB88" s="5" t="s">
        <v>200</v>
      </c>
      <c r="AC88" s="5" t="s">
        <v>200</v>
      </c>
      <c r="AD88" s="5" t="s">
        <v>201</v>
      </c>
      <c r="AE88" s="5" t="s">
        <v>200</v>
      </c>
      <c r="AF88" s="5" t="s">
        <v>198</v>
      </c>
      <c r="AG88" s="5" t="s">
        <v>200</v>
      </c>
      <c r="AH88" s="5" t="s">
        <v>203</v>
      </c>
      <c r="AI88" s="5" t="s">
        <v>569</v>
      </c>
      <c r="AJ88" s="5" t="s">
        <v>206</v>
      </c>
      <c r="AK88" s="5" t="s">
        <v>202</v>
      </c>
      <c r="AL88" s="5" t="s">
        <v>202</v>
      </c>
      <c r="AM88" s="5" t="s">
        <v>201</v>
      </c>
      <c r="AN88" s="5" t="s">
        <v>201</v>
      </c>
      <c r="AO88" s="5" t="s">
        <v>202</v>
      </c>
      <c r="AP88" s="5" t="s">
        <v>203</v>
      </c>
      <c r="AQ88" s="5" t="s">
        <v>570</v>
      </c>
      <c r="AR88" s="5" t="s">
        <v>206</v>
      </c>
      <c r="AS88" s="5" t="s">
        <v>201</v>
      </c>
      <c r="AT88" s="5" t="s">
        <v>201</v>
      </c>
      <c r="AU88" s="5" t="s">
        <v>201</v>
      </c>
      <c r="AV88" s="5" t="s">
        <v>204</v>
      </c>
      <c r="AW88" s="5" t="s">
        <v>204</v>
      </c>
      <c r="AX88" s="5" t="s">
        <v>204</v>
      </c>
      <c r="AY88" s="5" t="s">
        <v>204</v>
      </c>
      <c r="AZ88" s="5" t="s">
        <v>571</v>
      </c>
    </row>
    <row r="89">
      <c r="A89" s="7">
        <v>45869.080555555556</v>
      </c>
      <c r="B89" s="7">
        <v>45869.092361111114</v>
      </c>
      <c r="C89" s="5" t="s">
        <v>99</v>
      </c>
      <c r="D89" s="5" t="s">
        <v>389</v>
      </c>
      <c r="E89" s="8">
        <v>100.0</v>
      </c>
      <c r="F89" s="8">
        <v>1024.0</v>
      </c>
      <c r="G89" s="9" t="b">
        <v>1</v>
      </c>
      <c r="H89" s="7">
        <v>45869.092361111114</v>
      </c>
      <c r="I89" s="5" t="s">
        <v>572</v>
      </c>
      <c r="K89" s="10"/>
      <c r="L89" s="10"/>
      <c r="M89" s="10"/>
      <c r="N89" s="8">
        <v>60.1816</v>
      </c>
      <c r="O89" s="8">
        <v>24.8368</v>
      </c>
      <c r="P89" s="5" t="s">
        <v>194</v>
      </c>
      <c r="Q89" s="5" t="s">
        <v>195</v>
      </c>
      <c r="R89" s="5" t="s">
        <v>573</v>
      </c>
      <c r="S89" s="5" t="s">
        <v>211</v>
      </c>
      <c r="T89" s="5" t="s">
        <v>202</v>
      </c>
      <c r="U89" s="5" t="s">
        <v>200</v>
      </c>
      <c r="V89" s="5" t="s">
        <v>199</v>
      </c>
      <c r="W89" s="5" t="s">
        <v>203</v>
      </c>
      <c r="X89" s="5" t="s">
        <v>201</v>
      </c>
      <c r="Y89" s="5" t="s">
        <v>202</v>
      </c>
      <c r="Z89" s="5" t="s">
        <v>202</v>
      </c>
      <c r="AA89" s="5" t="s">
        <v>201</v>
      </c>
      <c r="AB89" s="5" t="s">
        <v>201</v>
      </c>
      <c r="AC89" s="5" t="s">
        <v>200</v>
      </c>
      <c r="AD89" s="5" t="s">
        <v>202</v>
      </c>
      <c r="AE89" s="5" t="s">
        <v>203</v>
      </c>
      <c r="AF89" s="5" t="s">
        <v>198</v>
      </c>
      <c r="AG89" s="5" t="s">
        <v>201</v>
      </c>
      <c r="AH89" s="5" t="s">
        <v>200</v>
      </c>
      <c r="AI89" s="5" t="s">
        <v>574</v>
      </c>
      <c r="AJ89" s="5" t="s">
        <v>206</v>
      </c>
      <c r="AK89" s="5" t="s">
        <v>198</v>
      </c>
      <c r="AL89" s="5" t="s">
        <v>201</v>
      </c>
      <c r="AM89" s="5" t="s">
        <v>201</v>
      </c>
      <c r="AN89" s="5" t="s">
        <v>198</v>
      </c>
      <c r="AO89" s="5" t="s">
        <v>202</v>
      </c>
      <c r="AP89" s="5" t="s">
        <v>201</v>
      </c>
      <c r="AQ89" s="5" t="s">
        <v>575</v>
      </c>
      <c r="AR89" s="5" t="s">
        <v>206</v>
      </c>
      <c r="AS89" s="5" t="s">
        <v>200</v>
      </c>
      <c r="AT89" s="5" t="s">
        <v>200</v>
      </c>
      <c r="AU89" s="5" t="s">
        <v>201</v>
      </c>
      <c r="AV89" s="5" t="s">
        <v>204</v>
      </c>
      <c r="AW89" s="5" t="s">
        <v>204</v>
      </c>
      <c r="AX89" s="5" t="s">
        <v>204</v>
      </c>
      <c r="AY89" s="5" t="s">
        <v>204</v>
      </c>
      <c r="AZ89" s="5" t="s">
        <v>576</v>
      </c>
    </row>
    <row r="90">
      <c r="A90" s="7">
        <v>45869.09722222222</v>
      </c>
      <c r="B90" s="7">
        <v>45869.10486111111</v>
      </c>
      <c r="C90" s="5" t="s">
        <v>99</v>
      </c>
      <c r="D90" s="5" t="s">
        <v>192</v>
      </c>
      <c r="E90" s="8">
        <v>100.0</v>
      </c>
      <c r="F90" s="8">
        <v>646.0</v>
      </c>
      <c r="G90" s="9" t="b">
        <v>1</v>
      </c>
      <c r="H90" s="7">
        <v>45869.10486111111</v>
      </c>
      <c r="I90" s="5" t="s">
        <v>577</v>
      </c>
      <c r="K90" s="10"/>
      <c r="L90" s="10"/>
      <c r="M90" s="10"/>
      <c r="N90" s="8">
        <v>60.1816</v>
      </c>
      <c r="O90" s="8">
        <v>24.8368</v>
      </c>
      <c r="P90" s="5" t="s">
        <v>194</v>
      </c>
      <c r="Q90" s="5" t="s">
        <v>195</v>
      </c>
      <c r="R90" s="5" t="s">
        <v>573</v>
      </c>
      <c r="S90" s="5" t="s">
        <v>263</v>
      </c>
      <c r="T90" s="5" t="s">
        <v>201</v>
      </c>
      <c r="U90" s="5" t="s">
        <v>202</v>
      </c>
      <c r="V90" s="5" t="s">
        <v>199</v>
      </c>
      <c r="W90" s="5" t="s">
        <v>202</v>
      </c>
      <c r="X90" s="5" t="s">
        <v>201</v>
      </c>
      <c r="Y90" s="5" t="s">
        <v>201</v>
      </c>
      <c r="Z90" s="5" t="s">
        <v>198</v>
      </c>
      <c r="AA90" s="5" t="s">
        <v>201</v>
      </c>
      <c r="AB90" s="5" t="s">
        <v>201</v>
      </c>
      <c r="AC90" s="5" t="s">
        <v>201</v>
      </c>
      <c r="AD90" s="5" t="s">
        <v>202</v>
      </c>
      <c r="AE90" s="5" t="s">
        <v>202</v>
      </c>
      <c r="AF90" s="5" t="s">
        <v>202</v>
      </c>
      <c r="AG90" s="5" t="s">
        <v>201</v>
      </c>
      <c r="AH90" s="5" t="s">
        <v>198</v>
      </c>
      <c r="AI90" s="5" t="s">
        <v>578</v>
      </c>
      <c r="AJ90" s="5" t="s">
        <v>206</v>
      </c>
      <c r="AK90" s="5" t="s">
        <v>200</v>
      </c>
      <c r="AL90" s="5" t="s">
        <v>201</v>
      </c>
      <c r="AM90" s="5" t="s">
        <v>201</v>
      </c>
      <c r="AN90" s="5" t="s">
        <v>201</v>
      </c>
      <c r="AO90" s="5" t="s">
        <v>201</v>
      </c>
      <c r="AP90" s="5" t="s">
        <v>201</v>
      </c>
      <c r="AQ90" s="5" t="s">
        <v>579</v>
      </c>
      <c r="AR90" s="5" t="s">
        <v>206</v>
      </c>
      <c r="AS90" s="5" t="s">
        <v>201</v>
      </c>
      <c r="AT90" s="5" t="s">
        <v>198</v>
      </c>
      <c r="AU90" s="5" t="s">
        <v>201</v>
      </c>
      <c r="AV90" s="5" t="s">
        <v>200</v>
      </c>
      <c r="AW90" s="5" t="s">
        <v>202</v>
      </c>
      <c r="AX90" s="5" t="s">
        <v>204</v>
      </c>
      <c r="AY90" s="5" t="s">
        <v>204</v>
      </c>
      <c r="AZ90" s="5" t="s">
        <v>580</v>
      </c>
    </row>
    <row r="91">
      <c r="A91" s="7">
        <v>45869.092361111114</v>
      </c>
      <c r="B91" s="7">
        <v>45869.10902777778</v>
      </c>
      <c r="C91" s="5" t="s">
        <v>99</v>
      </c>
      <c r="D91" s="5" t="s">
        <v>389</v>
      </c>
      <c r="E91" s="8">
        <v>100.0</v>
      </c>
      <c r="F91" s="8">
        <v>1424.0</v>
      </c>
      <c r="G91" s="9" t="b">
        <v>1</v>
      </c>
      <c r="H91" s="7">
        <v>45869.10902777778</v>
      </c>
      <c r="I91" s="5" t="s">
        <v>581</v>
      </c>
      <c r="K91" s="10"/>
      <c r="L91" s="10"/>
      <c r="M91" s="10"/>
      <c r="N91" s="8">
        <v>60.1816</v>
      </c>
      <c r="O91" s="8">
        <v>24.8368</v>
      </c>
      <c r="P91" s="5" t="s">
        <v>194</v>
      </c>
      <c r="Q91" s="5" t="s">
        <v>195</v>
      </c>
      <c r="R91" s="5" t="s">
        <v>582</v>
      </c>
      <c r="S91" s="5" t="s">
        <v>197</v>
      </c>
      <c r="T91" s="5" t="s">
        <v>202</v>
      </c>
      <c r="U91" s="5" t="s">
        <v>202</v>
      </c>
      <c r="V91" s="5" t="s">
        <v>199</v>
      </c>
      <c r="W91" s="5" t="s">
        <v>201</v>
      </c>
      <c r="X91" s="5" t="s">
        <v>201</v>
      </c>
      <c r="Y91" s="5" t="s">
        <v>200</v>
      </c>
      <c r="Z91" s="5" t="s">
        <v>202</v>
      </c>
      <c r="AA91" s="5" t="s">
        <v>201</v>
      </c>
      <c r="AB91" s="5" t="s">
        <v>202</v>
      </c>
      <c r="AC91" s="5" t="s">
        <v>202</v>
      </c>
      <c r="AD91" s="5" t="s">
        <v>201</v>
      </c>
      <c r="AE91" s="5" t="s">
        <v>202</v>
      </c>
      <c r="AF91" s="5" t="s">
        <v>200</v>
      </c>
      <c r="AG91" s="5" t="s">
        <v>201</v>
      </c>
      <c r="AH91" s="5" t="s">
        <v>202</v>
      </c>
      <c r="AI91" s="5" t="s">
        <v>583</v>
      </c>
      <c r="AJ91" s="5" t="s">
        <v>206</v>
      </c>
      <c r="AK91" s="5" t="s">
        <v>202</v>
      </c>
      <c r="AL91" s="5" t="s">
        <v>202</v>
      </c>
      <c r="AM91" s="5" t="s">
        <v>201</v>
      </c>
      <c r="AN91" s="5" t="s">
        <v>202</v>
      </c>
      <c r="AO91" s="5" t="s">
        <v>201</v>
      </c>
      <c r="AP91" s="5" t="s">
        <v>201</v>
      </c>
      <c r="AQ91" s="11" t="s">
        <v>584</v>
      </c>
      <c r="AR91" s="5" t="s">
        <v>206</v>
      </c>
      <c r="AS91" s="5" t="s">
        <v>202</v>
      </c>
      <c r="AT91" s="5" t="s">
        <v>202</v>
      </c>
      <c r="AU91" s="5" t="s">
        <v>201</v>
      </c>
      <c r="AV91" s="5" t="s">
        <v>204</v>
      </c>
      <c r="AW91" s="5" t="s">
        <v>204</v>
      </c>
      <c r="AX91" s="5" t="s">
        <v>204</v>
      </c>
      <c r="AY91" s="5" t="s">
        <v>204</v>
      </c>
      <c r="AZ91" s="5" t="s">
        <v>585</v>
      </c>
    </row>
    <row r="92">
      <c r="A92" s="7">
        <v>45869.10902777778</v>
      </c>
      <c r="B92" s="7">
        <v>45869.114583333336</v>
      </c>
      <c r="C92" s="5" t="s">
        <v>99</v>
      </c>
      <c r="D92" s="5" t="s">
        <v>192</v>
      </c>
      <c r="E92" s="8">
        <v>100.0</v>
      </c>
      <c r="F92" s="8">
        <v>484.0</v>
      </c>
      <c r="G92" s="9" t="b">
        <v>1</v>
      </c>
      <c r="H92" s="7">
        <v>45869.114583333336</v>
      </c>
      <c r="I92" s="5" t="s">
        <v>586</v>
      </c>
      <c r="K92" s="10"/>
      <c r="L92" s="10"/>
      <c r="M92" s="10"/>
      <c r="N92" s="8">
        <v>60.1816</v>
      </c>
      <c r="O92" s="8">
        <v>24.8368</v>
      </c>
      <c r="P92" s="5" t="s">
        <v>194</v>
      </c>
      <c r="Q92" s="5" t="s">
        <v>195</v>
      </c>
      <c r="R92" s="5" t="s">
        <v>573</v>
      </c>
      <c r="S92" s="5" t="s">
        <v>197</v>
      </c>
      <c r="T92" s="5" t="s">
        <v>201</v>
      </c>
      <c r="U92" s="5" t="s">
        <v>202</v>
      </c>
      <c r="V92" s="5" t="s">
        <v>199</v>
      </c>
      <c r="W92" s="5" t="s">
        <v>202</v>
      </c>
      <c r="X92" s="5" t="s">
        <v>201</v>
      </c>
      <c r="Y92" s="5" t="s">
        <v>201</v>
      </c>
      <c r="Z92" s="5" t="s">
        <v>202</v>
      </c>
      <c r="AA92" s="5" t="s">
        <v>201</v>
      </c>
      <c r="AB92" s="5" t="s">
        <v>201</v>
      </c>
      <c r="AC92" s="5" t="s">
        <v>201</v>
      </c>
      <c r="AD92" s="5" t="s">
        <v>201</v>
      </c>
      <c r="AE92" s="5" t="s">
        <v>198</v>
      </c>
      <c r="AF92" s="5" t="s">
        <v>198</v>
      </c>
      <c r="AG92" s="5" t="s">
        <v>201</v>
      </c>
      <c r="AH92" s="5" t="s">
        <v>198</v>
      </c>
      <c r="AI92" s="5" t="s">
        <v>587</v>
      </c>
      <c r="AJ92" s="5" t="s">
        <v>206</v>
      </c>
      <c r="AK92" s="5" t="s">
        <v>202</v>
      </c>
      <c r="AL92" s="5" t="s">
        <v>201</v>
      </c>
      <c r="AM92" s="5" t="s">
        <v>201</v>
      </c>
      <c r="AN92" s="5" t="s">
        <v>201</v>
      </c>
      <c r="AO92" s="5" t="s">
        <v>201</v>
      </c>
      <c r="AP92" s="5" t="s">
        <v>201</v>
      </c>
      <c r="AQ92" s="5" t="s">
        <v>588</v>
      </c>
      <c r="AR92" s="5" t="s">
        <v>206</v>
      </c>
      <c r="AS92" s="5" t="s">
        <v>201</v>
      </c>
      <c r="AT92" s="5" t="s">
        <v>201</v>
      </c>
      <c r="AU92" s="5" t="s">
        <v>201</v>
      </c>
      <c r="AV92" s="5" t="s">
        <v>201</v>
      </c>
      <c r="AW92" s="5" t="s">
        <v>201</v>
      </c>
      <c r="AX92" s="5" t="s">
        <v>200</v>
      </c>
      <c r="AY92" s="5" t="s">
        <v>208</v>
      </c>
      <c r="AZ92" s="5" t="s">
        <v>589</v>
      </c>
    </row>
    <row r="93">
      <c r="A93" s="7">
        <v>45869.11666666667</v>
      </c>
      <c r="B93" s="7">
        <v>45869.12569444445</v>
      </c>
      <c r="C93" s="5" t="s">
        <v>99</v>
      </c>
      <c r="D93" s="5" t="s">
        <v>389</v>
      </c>
      <c r="E93" s="8">
        <v>100.0</v>
      </c>
      <c r="F93" s="8">
        <v>768.0</v>
      </c>
      <c r="G93" s="9" t="b">
        <v>1</v>
      </c>
      <c r="H93" s="7">
        <v>45869.12569444445</v>
      </c>
      <c r="I93" s="5" t="s">
        <v>590</v>
      </c>
      <c r="K93" s="10"/>
      <c r="L93" s="10"/>
      <c r="M93" s="10"/>
      <c r="N93" s="8">
        <v>60.1816</v>
      </c>
      <c r="O93" s="8">
        <v>24.8368</v>
      </c>
      <c r="P93" s="5" t="s">
        <v>194</v>
      </c>
      <c r="Q93" s="5" t="s">
        <v>195</v>
      </c>
      <c r="R93" s="5" t="s">
        <v>573</v>
      </c>
      <c r="S93" s="5" t="s">
        <v>216</v>
      </c>
      <c r="T93" s="5" t="s">
        <v>201</v>
      </c>
      <c r="U93" s="5" t="s">
        <v>200</v>
      </c>
      <c r="V93" s="5" t="s">
        <v>199</v>
      </c>
      <c r="W93" s="5" t="s">
        <v>200</v>
      </c>
      <c r="X93" s="5" t="s">
        <v>201</v>
      </c>
      <c r="Y93" s="5" t="s">
        <v>202</v>
      </c>
      <c r="Z93" s="5" t="s">
        <v>203</v>
      </c>
      <c r="AA93" s="5" t="s">
        <v>200</v>
      </c>
      <c r="AB93" s="5" t="s">
        <v>200</v>
      </c>
      <c r="AC93" s="5" t="s">
        <v>203</v>
      </c>
      <c r="AD93" s="5" t="s">
        <v>200</v>
      </c>
      <c r="AE93" s="5" t="s">
        <v>200</v>
      </c>
      <c r="AF93" s="5" t="s">
        <v>200</v>
      </c>
      <c r="AG93" s="5" t="s">
        <v>200</v>
      </c>
      <c r="AH93" s="5" t="s">
        <v>200</v>
      </c>
      <c r="AI93" s="5" t="s">
        <v>591</v>
      </c>
      <c r="AJ93" s="5" t="s">
        <v>206</v>
      </c>
      <c r="AK93" s="5" t="s">
        <v>202</v>
      </c>
      <c r="AL93" s="5" t="s">
        <v>201</v>
      </c>
      <c r="AM93" s="5" t="s">
        <v>201</v>
      </c>
      <c r="AN93" s="5" t="s">
        <v>200</v>
      </c>
      <c r="AO93" s="5" t="s">
        <v>202</v>
      </c>
      <c r="AP93" s="5" t="s">
        <v>201</v>
      </c>
      <c r="AQ93" s="5" t="s">
        <v>592</v>
      </c>
      <c r="AR93" s="5" t="s">
        <v>206</v>
      </c>
      <c r="AS93" s="5" t="s">
        <v>201</v>
      </c>
      <c r="AT93" s="5" t="s">
        <v>200</v>
      </c>
      <c r="AU93" s="5" t="s">
        <v>201</v>
      </c>
      <c r="AV93" s="5" t="s">
        <v>204</v>
      </c>
      <c r="AW93" s="5" t="s">
        <v>204</v>
      </c>
      <c r="AX93" s="5" t="s">
        <v>204</v>
      </c>
      <c r="AY93" s="5" t="s">
        <v>204</v>
      </c>
      <c r="AZ93" s="5" t="s">
        <v>593</v>
      </c>
    </row>
    <row r="94">
      <c r="A94" s="7">
        <v>45869.15902777778</v>
      </c>
      <c r="B94" s="7">
        <v>45869.165972222225</v>
      </c>
      <c r="C94" s="5" t="s">
        <v>99</v>
      </c>
      <c r="D94" s="5" t="s">
        <v>383</v>
      </c>
      <c r="E94" s="8">
        <v>100.0</v>
      </c>
      <c r="F94" s="8">
        <v>644.0</v>
      </c>
      <c r="G94" s="9" t="b">
        <v>1</v>
      </c>
      <c r="H94" s="7">
        <v>45869.165972222225</v>
      </c>
      <c r="I94" s="5" t="s">
        <v>594</v>
      </c>
      <c r="K94" s="10"/>
      <c r="L94" s="10"/>
      <c r="M94" s="10"/>
      <c r="N94" s="8">
        <v>60.1816</v>
      </c>
      <c r="O94" s="8">
        <v>24.8368</v>
      </c>
      <c r="P94" s="5" t="s">
        <v>194</v>
      </c>
      <c r="Q94" s="5" t="s">
        <v>195</v>
      </c>
      <c r="R94" s="5" t="s">
        <v>595</v>
      </c>
      <c r="S94" s="5" t="s">
        <v>216</v>
      </c>
      <c r="T94" s="5" t="s">
        <v>202</v>
      </c>
      <c r="U94" s="5" t="s">
        <v>200</v>
      </c>
      <c r="V94" s="5" t="s">
        <v>199</v>
      </c>
      <c r="W94" s="5" t="s">
        <v>202</v>
      </c>
      <c r="X94" s="5" t="s">
        <v>203</v>
      </c>
      <c r="Y94" s="5" t="s">
        <v>202</v>
      </c>
      <c r="Z94" s="5" t="s">
        <v>200</v>
      </c>
      <c r="AA94" s="5" t="s">
        <v>200</v>
      </c>
      <c r="AB94" s="5" t="s">
        <v>203</v>
      </c>
      <c r="AC94" s="5" t="s">
        <v>200</v>
      </c>
      <c r="AD94" s="5" t="s">
        <v>200</v>
      </c>
      <c r="AE94" s="5" t="s">
        <v>200</v>
      </c>
      <c r="AF94" s="5" t="s">
        <v>198</v>
      </c>
      <c r="AG94" s="5" t="s">
        <v>200</v>
      </c>
      <c r="AH94" s="5" t="s">
        <v>203</v>
      </c>
      <c r="AI94" s="5" t="s">
        <v>413</v>
      </c>
      <c r="AJ94" s="5" t="s">
        <v>206</v>
      </c>
      <c r="AK94" s="5" t="s">
        <v>200</v>
      </c>
      <c r="AL94" s="5" t="s">
        <v>198</v>
      </c>
      <c r="AM94" s="5" t="s">
        <v>203</v>
      </c>
      <c r="AN94" s="5" t="s">
        <v>198</v>
      </c>
      <c r="AO94" s="5" t="s">
        <v>198</v>
      </c>
      <c r="AP94" s="5" t="s">
        <v>198</v>
      </c>
      <c r="AQ94" s="5" t="s">
        <v>413</v>
      </c>
      <c r="AR94" s="5" t="s">
        <v>206</v>
      </c>
      <c r="AS94" s="5" t="s">
        <v>200</v>
      </c>
      <c r="AT94" s="5" t="s">
        <v>202</v>
      </c>
      <c r="AU94" s="5" t="s">
        <v>200</v>
      </c>
      <c r="AV94" s="5" t="s">
        <v>198</v>
      </c>
      <c r="AW94" s="5" t="s">
        <v>198</v>
      </c>
      <c r="AX94" s="5" t="s">
        <v>198</v>
      </c>
      <c r="AY94" s="5" t="s">
        <v>198</v>
      </c>
      <c r="AZ94" s="5" t="s">
        <v>413</v>
      </c>
    </row>
    <row r="95">
      <c r="A95" s="7">
        <v>45869.16388888889</v>
      </c>
      <c r="B95" s="7">
        <v>45869.17638888889</v>
      </c>
      <c r="C95" s="5" t="s">
        <v>99</v>
      </c>
      <c r="D95" s="5" t="s">
        <v>389</v>
      </c>
      <c r="E95" s="8">
        <v>100.0</v>
      </c>
      <c r="F95" s="8">
        <v>1117.0</v>
      </c>
      <c r="G95" s="9" t="b">
        <v>1</v>
      </c>
      <c r="H95" s="7">
        <v>45869.17638888889</v>
      </c>
      <c r="I95" s="5" t="s">
        <v>596</v>
      </c>
      <c r="K95" s="10"/>
      <c r="L95" s="10"/>
      <c r="M95" s="10"/>
      <c r="N95" s="8">
        <v>60.1816</v>
      </c>
      <c r="O95" s="8">
        <v>24.8368</v>
      </c>
      <c r="P95" s="5" t="s">
        <v>194</v>
      </c>
      <c r="Q95" s="5" t="s">
        <v>195</v>
      </c>
      <c r="R95" s="5" t="s">
        <v>582</v>
      </c>
      <c r="S95" s="5" t="s">
        <v>211</v>
      </c>
      <c r="T95" s="5" t="s">
        <v>202</v>
      </c>
      <c r="U95" s="5" t="s">
        <v>200</v>
      </c>
      <c r="V95" s="5" t="s">
        <v>199</v>
      </c>
      <c r="W95" s="5" t="s">
        <v>201</v>
      </c>
      <c r="X95" s="5" t="s">
        <v>201</v>
      </c>
      <c r="Y95" s="5" t="s">
        <v>200</v>
      </c>
      <c r="Z95" s="5" t="s">
        <v>200</v>
      </c>
      <c r="AA95" s="5" t="s">
        <v>202</v>
      </c>
      <c r="AB95" s="5" t="s">
        <v>202</v>
      </c>
      <c r="AC95" s="5" t="s">
        <v>202</v>
      </c>
      <c r="AD95" s="5" t="s">
        <v>201</v>
      </c>
      <c r="AE95" s="5" t="s">
        <v>200</v>
      </c>
      <c r="AF95" s="5" t="s">
        <v>203</v>
      </c>
      <c r="AG95" s="5" t="s">
        <v>202</v>
      </c>
      <c r="AH95" s="5" t="s">
        <v>203</v>
      </c>
      <c r="AI95" s="5" t="s">
        <v>597</v>
      </c>
      <c r="AJ95" s="5" t="s">
        <v>206</v>
      </c>
      <c r="AK95" s="5" t="s">
        <v>202</v>
      </c>
      <c r="AL95" s="5" t="s">
        <v>201</v>
      </c>
      <c r="AM95" s="5" t="s">
        <v>201</v>
      </c>
      <c r="AN95" s="5" t="s">
        <v>201</v>
      </c>
      <c r="AO95" s="5" t="s">
        <v>201</v>
      </c>
      <c r="AP95" s="5" t="s">
        <v>201</v>
      </c>
      <c r="AQ95" s="5" t="s">
        <v>598</v>
      </c>
      <c r="AR95" s="5" t="s">
        <v>206</v>
      </c>
      <c r="AS95" s="5" t="s">
        <v>202</v>
      </c>
      <c r="AT95" s="5" t="s">
        <v>202</v>
      </c>
      <c r="AU95" s="5" t="s">
        <v>201</v>
      </c>
      <c r="AV95" s="5" t="s">
        <v>204</v>
      </c>
      <c r="AW95" s="5" t="s">
        <v>204</v>
      </c>
      <c r="AX95" s="5" t="s">
        <v>204</v>
      </c>
      <c r="AY95" s="5" t="s">
        <v>204</v>
      </c>
      <c r="AZ95" s="5" t="s">
        <v>599</v>
      </c>
    </row>
    <row r="96">
      <c r="A96" s="7">
        <v>45869.177083333336</v>
      </c>
      <c r="B96" s="7">
        <v>45869.18194444444</v>
      </c>
      <c r="C96" s="5" t="s">
        <v>99</v>
      </c>
      <c r="D96" s="5" t="s">
        <v>347</v>
      </c>
      <c r="E96" s="8">
        <v>100.0</v>
      </c>
      <c r="F96" s="8">
        <v>447.0</v>
      </c>
      <c r="G96" s="9" t="b">
        <v>1</v>
      </c>
      <c r="H96" s="7">
        <v>45869.18194444444</v>
      </c>
      <c r="I96" s="5" t="s">
        <v>600</v>
      </c>
      <c r="K96" s="10"/>
      <c r="L96" s="10"/>
      <c r="M96" s="10"/>
      <c r="N96" s="8">
        <v>60.2141</v>
      </c>
      <c r="O96" s="8">
        <v>24.896</v>
      </c>
      <c r="P96" s="5" t="s">
        <v>194</v>
      </c>
      <c r="Q96" s="5" t="s">
        <v>195</v>
      </c>
      <c r="R96" s="5" t="s">
        <v>595</v>
      </c>
      <c r="S96" s="5" t="s">
        <v>263</v>
      </c>
      <c r="T96" s="5" t="s">
        <v>202</v>
      </c>
      <c r="U96" s="5" t="s">
        <v>200</v>
      </c>
      <c r="V96" s="5" t="s">
        <v>199</v>
      </c>
      <c r="W96" s="5" t="s">
        <v>202</v>
      </c>
      <c r="X96" s="5" t="s">
        <v>200</v>
      </c>
      <c r="Y96" s="5" t="s">
        <v>202</v>
      </c>
      <c r="Z96" s="5" t="s">
        <v>202</v>
      </c>
      <c r="AA96" s="5" t="s">
        <v>202</v>
      </c>
      <c r="AB96" s="5" t="s">
        <v>202</v>
      </c>
      <c r="AC96" s="5" t="s">
        <v>202</v>
      </c>
      <c r="AD96" s="5" t="s">
        <v>202</v>
      </c>
      <c r="AE96" s="5" t="s">
        <v>202</v>
      </c>
      <c r="AF96" s="5" t="s">
        <v>198</v>
      </c>
      <c r="AG96" s="5" t="s">
        <v>202</v>
      </c>
      <c r="AH96" s="5" t="s">
        <v>200</v>
      </c>
      <c r="AI96" s="5" t="s">
        <v>413</v>
      </c>
      <c r="AJ96" s="5" t="s">
        <v>206</v>
      </c>
      <c r="AK96" s="5" t="s">
        <v>202</v>
      </c>
      <c r="AL96" s="5" t="s">
        <v>202</v>
      </c>
      <c r="AM96" s="5" t="s">
        <v>202</v>
      </c>
      <c r="AN96" s="5" t="s">
        <v>202</v>
      </c>
      <c r="AO96" s="5" t="s">
        <v>202</v>
      </c>
      <c r="AP96" s="5" t="s">
        <v>200</v>
      </c>
      <c r="AQ96" s="5" t="s">
        <v>413</v>
      </c>
      <c r="AR96" s="5" t="s">
        <v>206</v>
      </c>
      <c r="AS96" s="5" t="s">
        <v>202</v>
      </c>
      <c r="AT96" s="5" t="s">
        <v>202</v>
      </c>
      <c r="AU96" s="5" t="s">
        <v>200</v>
      </c>
      <c r="AV96" s="5" t="s">
        <v>198</v>
      </c>
      <c r="AW96" s="5" t="s">
        <v>208</v>
      </c>
      <c r="AX96" s="5" t="s">
        <v>198</v>
      </c>
      <c r="AY96" s="5" t="s">
        <v>208</v>
      </c>
      <c r="AZ96" s="5" t="s">
        <v>413</v>
      </c>
    </row>
    <row r="97">
      <c r="A97" s="7">
        <v>45869.17013888889</v>
      </c>
      <c r="B97" s="7">
        <v>45869.18402777778</v>
      </c>
      <c r="C97" s="5" t="s">
        <v>99</v>
      </c>
      <c r="D97" s="5" t="s">
        <v>383</v>
      </c>
      <c r="E97" s="8">
        <v>100.0</v>
      </c>
      <c r="F97" s="8">
        <v>1215.0</v>
      </c>
      <c r="G97" s="9" t="b">
        <v>1</v>
      </c>
      <c r="H97" s="7">
        <v>45869.18402777778</v>
      </c>
      <c r="I97" s="5" t="s">
        <v>601</v>
      </c>
      <c r="K97" s="10"/>
      <c r="L97" s="10"/>
      <c r="M97" s="10"/>
      <c r="N97" s="8">
        <v>60.1816</v>
      </c>
      <c r="O97" s="8">
        <v>24.8368</v>
      </c>
      <c r="P97" s="5" t="s">
        <v>194</v>
      </c>
      <c r="Q97" s="5" t="s">
        <v>195</v>
      </c>
      <c r="R97" s="5" t="s">
        <v>602</v>
      </c>
      <c r="S97" s="5" t="s">
        <v>197</v>
      </c>
      <c r="T97" s="5" t="s">
        <v>202</v>
      </c>
      <c r="U97" s="5" t="s">
        <v>200</v>
      </c>
      <c r="V97" s="5" t="s">
        <v>199</v>
      </c>
      <c r="W97" s="5" t="s">
        <v>202</v>
      </c>
      <c r="X97" s="5" t="s">
        <v>202</v>
      </c>
      <c r="Y97" s="5" t="s">
        <v>201</v>
      </c>
      <c r="Z97" s="5" t="s">
        <v>200</v>
      </c>
      <c r="AA97" s="5" t="s">
        <v>200</v>
      </c>
      <c r="AB97" s="5" t="s">
        <v>202</v>
      </c>
      <c r="AC97" s="5" t="s">
        <v>202</v>
      </c>
      <c r="AD97" s="5" t="s">
        <v>201</v>
      </c>
      <c r="AE97" s="5" t="s">
        <v>200</v>
      </c>
      <c r="AF97" s="5" t="s">
        <v>202</v>
      </c>
      <c r="AG97" s="5" t="s">
        <v>202</v>
      </c>
      <c r="AH97" s="5" t="s">
        <v>200</v>
      </c>
      <c r="AI97" s="5" t="s">
        <v>603</v>
      </c>
      <c r="AJ97" s="5" t="s">
        <v>206</v>
      </c>
      <c r="AK97" s="5" t="s">
        <v>202</v>
      </c>
      <c r="AL97" s="5" t="s">
        <v>202</v>
      </c>
      <c r="AM97" s="5" t="s">
        <v>202</v>
      </c>
      <c r="AN97" s="5" t="s">
        <v>201</v>
      </c>
      <c r="AO97" s="5" t="s">
        <v>202</v>
      </c>
      <c r="AP97" s="5" t="s">
        <v>202</v>
      </c>
      <c r="AQ97" s="5" t="s">
        <v>604</v>
      </c>
      <c r="AR97" s="5" t="s">
        <v>206</v>
      </c>
      <c r="AS97" s="5" t="s">
        <v>202</v>
      </c>
      <c r="AT97" s="5" t="s">
        <v>202</v>
      </c>
      <c r="AU97" s="5" t="s">
        <v>201</v>
      </c>
      <c r="AV97" s="5" t="s">
        <v>204</v>
      </c>
      <c r="AW97" s="5" t="s">
        <v>204</v>
      </c>
      <c r="AX97" s="5" t="s">
        <v>204</v>
      </c>
      <c r="AY97" s="5" t="s">
        <v>204</v>
      </c>
      <c r="AZ97" s="5" t="s">
        <v>605</v>
      </c>
    </row>
    <row r="98">
      <c r="A98" s="7">
        <v>45869.177083333336</v>
      </c>
      <c r="B98" s="7">
        <v>45869.18819444445</v>
      </c>
      <c r="C98" s="5" t="s">
        <v>99</v>
      </c>
      <c r="D98" s="5" t="s">
        <v>529</v>
      </c>
      <c r="E98" s="8">
        <v>100.0</v>
      </c>
      <c r="F98" s="8">
        <v>973.0</v>
      </c>
      <c r="G98" s="9" t="b">
        <v>1</v>
      </c>
      <c r="H98" s="7">
        <v>45869.18819444445</v>
      </c>
      <c r="I98" s="5" t="s">
        <v>606</v>
      </c>
      <c r="K98" s="10"/>
      <c r="L98" s="10"/>
      <c r="M98" s="10"/>
      <c r="N98" s="8">
        <v>60.1816</v>
      </c>
      <c r="O98" s="8">
        <v>24.8368</v>
      </c>
      <c r="P98" s="5" t="s">
        <v>194</v>
      </c>
      <c r="Q98" s="5" t="s">
        <v>195</v>
      </c>
      <c r="R98" s="5" t="s">
        <v>607</v>
      </c>
      <c r="S98" s="5" t="s">
        <v>211</v>
      </c>
      <c r="T98" s="5" t="s">
        <v>208</v>
      </c>
      <c r="U98" s="5" t="s">
        <v>204</v>
      </c>
      <c r="V98" s="5" t="s">
        <v>199</v>
      </c>
      <c r="W98" s="5" t="s">
        <v>204</v>
      </c>
      <c r="X98" s="5" t="s">
        <v>204</v>
      </c>
      <c r="Y98" s="5" t="s">
        <v>204</v>
      </c>
      <c r="Z98" s="5" t="s">
        <v>208</v>
      </c>
      <c r="AA98" s="5" t="s">
        <v>204</v>
      </c>
      <c r="AB98" s="5" t="s">
        <v>200</v>
      </c>
      <c r="AC98" s="5" t="s">
        <v>203</v>
      </c>
      <c r="AD98" s="5" t="s">
        <v>198</v>
      </c>
      <c r="AE98" s="5" t="s">
        <v>204</v>
      </c>
      <c r="AF98" s="5" t="s">
        <v>204</v>
      </c>
      <c r="AG98" s="5" t="s">
        <v>204</v>
      </c>
      <c r="AH98" s="5" t="s">
        <v>201</v>
      </c>
      <c r="AI98" s="5" t="s">
        <v>608</v>
      </c>
      <c r="AJ98" s="5" t="s">
        <v>206</v>
      </c>
      <c r="AK98" s="5" t="s">
        <v>208</v>
      </c>
      <c r="AL98" s="5" t="s">
        <v>203</v>
      </c>
      <c r="AM98" s="5" t="s">
        <v>208</v>
      </c>
      <c r="AN98" s="5" t="s">
        <v>202</v>
      </c>
      <c r="AO98" s="5" t="s">
        <v>202</v>
      </c>
      <c r="AP98" s="5" t="s">
        <v>203</v>
      </c>
      <c r="AQ98" s="5" t="s">
        <v>609</v>
      </c>
      <c r="AR98" s="5" t="s">
        <v>206</v>
      </c>
      <c r="AS98" s="5" t="s">
        <v>204</v>
      </c>
      <c r="AT98" s="5" t="s">
        <v>200</v>
      </c>
      <c r="AU98" s="5" t="s">
        <v>202</v>
      </c>
      <c r="AV98" s="5" t="s">
        <v>204</v>
      </c>
      <c r="AW98" s="5" t="s">
        <v>204</v>
      </c>
      <c r="AX98" s="5" t="s">
        <v>208</v>
      </c>
      <c r="AY98" s="5" t="s">
        <v>204</v>
      </c>
      <c r="AZ98" s="5" t="s">
        <v>610</v>
      </c>
    </row>
    <row r="99">
      <c r="A99" s="7">
        <v>45869.1875</v>
      </c>
      <c r="B99" s="7">
        <v>45869.19097222222</v>
      </c>
      <c r="C99" s="5" t="s">
        <v>99</v>
      </c>
      <c r="D99" s="5" t="s">
        <v>347</v>
      </c>
      <c r="E99" s="8">
        <v>100.0</v>
      </c>
      <c r="F99" s="8">
        <v>300.0</v>
      </c>
      <c r="G99" s="9" t="b">
        <v>1</v>
      </c>
      <c r="H99" s="7">
        <v>45869.19097222222</v>
      </c>
      <c r="I99" s="5" t="s">
        <v>611</v>
      </c>
      <c r="K99" s="10"/>
      <c r="L99" s="10"/>
      <c r="M99" s="10"/>
      <c r="N99" s="8">
        <v>60.2141</v>
      </c>
      <c r="O99" s="8">
        <v>24.896</v>
      </c>
      <c r="P99" s="5" t="s">
        <v>194</v>
      </c>
      <c r="Q99" s="5" t="s">
        <v>195</v>
      </c>
      <c r="R99" s="5" t="s">
        <v>595</v>
      </c>
      <c r="S99" s="5" t="s">
        <v>211</v>
      </c>
      <c r="T99" s="5" t="s">
        <v>200</v>
      </c>
      <c r="U99" s="5" t="s">
        <v>202</v>
      </c>
      <c r="V99" s="5" t="s">
        <v>199</v>
      </c>
      <c r="W99" s="5" t="s">
        <v>202</v>
      </c>
      <c r="X99" s="5" t="s">
        <v>202</v>
      </c>
      <c r="Y99" s="5" t="s">
        <v>202</v>
      </c>
      <c r="Z99" s="5" t="s">
        <v>202</v>
      </c>
      <c r="AA99" s="5" t="s">
        <v>202</v>
      </c>
      <c r="AB99" s="5" t="s">
        <v>202</v>
      </c>
      <c r="AC99" s="5" t="s">
        <v>202</v>
      </c>
      <c r="AD99" s="5" t="s">
        <v>202</v>
      </c>
      <c r="AE99" s="5" t="s">
        <v>202</v>
      </c>
      <c r="AF99" s="5" t="s">
        <v>198</v>
      </c>
      <c r="AG99" s="5" t="s">
        <v>202</v>
      </c>
      <c r="AH99" s="5" t="s">
        <v>200</v>
      </c>
      <c r="AI99" s="5" t="s">
        <v>413</v>
      </c>
      <c r="AJ99" s="5" t="s">
        <v>206</v>
      </c>
      <c r="AK99" s="5" t="s">
        <v>202</v>
      </c>
      <c r="AL99" s="5" t="s">
        <v>202</v>
      </c>
      <c r="AM99" s="5" t="s">
        <v>202</v>
      </c>
      <c r="AN99" s="5" t="s">
        <v>202</v>
      </c>
      <c r="AO99" s="5" t="s">
        <v>202</v>
      </c>
      <c r="AP99" s="5" t="s">
        <v>202</v>
      </c>
      <c r="AQ99" s="5" t="s">
        <v>413</v>
      </c>
      <c r="AR99" s="5" t="s">
        <v>206</v>
      </c>
      <c r="AS99" s="5" t="s">
        <v>202</v>
      </c>
      <c r="AT99" s="5" t="s">
        <v>202</v>
      </c>
      <c r="AU99" s="5" t="s">
        <v>200</v>
      </c>
      <c r="AV99" s="5" t="s">
        <v>208</v>
      </c>
      <c r="AW99" s="5" t="s">
        <v>208</v>
      </c>
      <c r="AX99" s="5" t="s">
        <v>208</v>
      </c>
      <c r="AY99" s="5" t="s">
        <v>208</v>
      </c>
      <c r="AZ99" s="5" t="s">
        <v>413</v>
      </c>
    </row>
    <row r="100">
      <c r="A100" s="7">
        <v>45869.18263888889</v>
      </c>
      <c r="B100" s="7">
        <v>45869.19236111111</v>
      </c>
      <c r="C100" s="5" t="s">
        <v>99</v>
      </c>
      <c r="D100" s="5" t="s">
        <v>192</v>
      </c>
      <c r="E100" s="8">
        <v>100.0</v>
      </c>
      <c r="F100" s="8">
        <v>808.0</v>
      </c>
      <c r="G100" s="9" t="b">
        <v>1</v>
      </c>
      <c r="H100" s="7">
        <v>45869.19236111111</v>
      </c>
      <c r="I100" s="5" t="s">
        <v>612</v>
      </c>
      <c r="K100" s="10"/>
      <c r="L100" s="10"/>
      <c r="M100" s="10"/>
      <c r="N100" s="8">
        <v>60.1816</v>
      </c>
      <c r="O100" s="8">
        <v>24.8368</v>
      </c>
      <c r="P100" s="5" t="s">
        <v>194</v>
      </c>
      <c r="Q100" s="5" t="s">
        <v>195</v>
      </c>
      <c r="R100" s="5" t="s">
        <v>582</v>
      </c>
      <c r="S100" s="5" t="s">
        <v>263</v>
      </c>
      <c r="T100" s="5" t="s">
        <v>201</v>
      </c>
      <c r="U100" s="5" t="s">
        <v>200</v>
      </c>
      <c r="V100" s="5" t="s">
        <v>199</v>
      </c>
      <c r="W100" s="5" t="s">
        <v>201</v>
      </c>
      <c r="X100" s="5" t="s">
        <v>201</v>
      </c>
      <c r="Y100" s="5" t="s">
        <v>200</v>
      </c>
      <c r="Z100" s="5" t="s">
        <v>200</v>
      </c>
      <c r="AA100" s="5" t="s">
        <v>202</v>
      </c>
      <c r="AB100" s="5" t="s">
        <v>202</v>
      </c>
      <c r="AC100" s="5" t="s">
        <v>200</v>
      </c>
      <c r="AD100" s="5" t="s">
        <v>202</v>
      </c>
      <c r="AE100" s="5" t="s">
        <v>200</v>
      </c>
      <c r="AF100" s="5" t="s">
        <v>208</v>
      </c>
      <c r="AG100" s="5" t="s">
        <v>202</v>
      </c>
      <c r="AH100" s="5" t="s">
        <v>200</v>
      </c>
      <c r="AI100" s="5" t="s">
        <v>613</v>
      </c>
      <c r="AJ100" s="5" t="s">
        <v>206</v>
      </c>
      <c r="AK100" s="5" t="s">
        <v>201</v>
      </c>
      <c r="AL100" s="5" t="s">
        <v>201</v>
      </c>
      <c r="AM100" s="5" t="s">
        <v>201</v>
      </c>
      <c r="AN100" s="5" t="s">
        <v>201</v>
      </c>
      <c r="AO100" s="5" t="s">
        <v>201</v>
      </c>
      <c r="AP100" s="5" t="s">
        <v>201</v>
      </c>
      <c r="AQ100" s="5" t="s">
        <v>614</v>
      </c>
      <c r="AR100" s="5" t="s">
        <v>206</v>
      </c>
      <c r="AS100" s="5" t="s">
        <v>201</v>
      </c>
      <c r="AT100" s="5" t="s">
        <v>202</v>
      </c>
      <c r="AU100" s="5" t="s">
        <v>201</v>
      </c>
      <c r="AV100" s="5" t="s">
        <v>204</v>
      </c>
      <c r="AW100" s="5" t="s">
        <v>204</v>
      </c>
      <c r="AX100" s="5" t="s">
        <v>204</v>
      </c>
      <c r="AY100" s="5" t="s">
        <v>204</v>
      </c>
      <c r="AZ100" s="5" t="s">
        <v>615</v>
      </c>
    </row>
    <row r="101">
      <c r="A101" s="7">
        <v>45869.18819444445</v>
      </c>
      <c r="B101" s="7">
        <v>45869.20347222222</v>
      </c>
      <c r="C101" s="5" t="s">
        <v>99</v>
      </c>
      <c r="D101" s="5" t="s">
        <v>389</v>
      </c>
      <c r="E101" s="8">
        <v>100.0</v>
      </c>
      <c r="F101" s="8">
        <v>1307.0</v>
      </c>
      <c r="G101" s="9" t="b">
        <v>1</v>
      </c>
      <c r="H101" s="7">
        <v>45869.20347222222</v>
      </c>
      <c r="I101" s="5" t="s">
        <v>616</v>
      </c>
      <c r="K101" s="10"/>
      <c r="L101" s="10"/>
      <c r="M101" s="10"/>
      <c r="N101" s="8">
        <v>60.1816</v>
      </c>
      <c r="O101" s="8">
        <v>24.8368</v>
      </c>
      <c r="P101" s="5" t="s">
        <v>194</v>
      </c>
      <c r="Q101" s="5" t="s">
        <v>195</v>
      </c>
      <c r="R101" s="5" t="s">
        <v>602</v>
      </c>
      <c r="S101" s="5" t="s">
        <v>211</v>
      </c>
      <c r="T101" s="5" t="s">
        <v>198</v>
      </c>
      <c r="U101" s="5" t="s">
        <v>198</v>
      </c>
      <c r="V101" s="5" t="s">
        <v>199</v>
      </c>
      <c r="W101" s="5" t="s">
        <v>202</v>
      </c>
      <c r="X101" s="5" t="s">
        <v>200</v>
      </c>
      <c r="Y101" s="5" t="s">
        <v>198</v>
      </c>
      <c r="Z101" s="5" t="s">
        <v>198</v>
      </c>
      <c r="AA101" s="5" t="s">
        <v>198</v>
      </c>
      <c r="AB101" s="5" t="s">
        <v>200</v>
      </c>
      <c r="AC101" s="5" t="s">
        <v>200</v>
      </c>
      <c r="AD101" s="5" t="s">
        <v>202</v>
      </c>
      <c r="AE101" s="5" t="s">
        <v>198</v>
      </c>
      <c r="AF101" s="5" t="s">
        <v>198</v>
      </c>
      <c r="AG101" s="5" t="s">
        <v>200</v>
      </c>
      <c r="AH101" s="5" t="s">
        <v>202</v>
      </c>
      <c r="AI101" s="5" t="s">
        <v>617</v>
      </c>
      <c r="AJ101" s="5" t="s">
        <v>206</v>
      </c>
      <c r="AK101" s="5" t="s">
        <v>202</v>
      </c>
      <c r="AL101" s="5" t="s">
        <v>200</v>
      </c>
      <c r="AM101" s="5" t="s">
        <v>198</v>
      </c>
      <c r="AN101" s="5" t="s">
        <v>198</v>
      </c>
      <c r="AO101" s="5" t="s">
        <v>198</v>
      </c>
      <c r="AP101" s="5" t="s">
        <v>198</v>
      </c>
      <c r="AQ101" s="5" t="s">
        <v>618</v>
      </c>
      <c r="AR101" s="5" t="s">
        <v>206</v>
      </c>
      <c r="AS101" s="5" t="s">
        <v>200</v>
      </c>
      <c r="AT101" s="5" t="s">
        <v>202</v>
      </c>
      <c r="AU101" s="5" t="s">
        <v>200</v>
      </c>
      <c r="AV101" s="5" t="s">
        <v>204</v>
      </c>
      <c r="AW101" s="5" t="s">
        <v>204</v>
      </c>
      <c r="AX101" s="5" t="s">
        <v>204</v>
      </c>
      <c r="AY101" s="5" t="s">
        <v>204</v>
      </c>
      <c r="AZ101" s="5" t="s">
        <v>619</v>
      </c>
    </row>
    <row r="102">
      <c r="A102" s="7">
        <v>45869.19652777778</v>
      </c>
      <c r="B102" s="7">
        <v>45869.20416666667</v>
      </c>
      <c r="C102" s="5" t="s">
        <v>99</v>
      </c>
      <c r="D102" s="5" t="s">
        <v>490</v>
      </c>
      <c r="E102" s="8">
        <v>100.0</v>
      </c>
      <c r="F102" s="8">
        <v>677.0</v>
      </c>
      <c r="G102" s="9" t="b">
        <v>1</v>
      </c>
      <c r="H102" s="7">
        <v>45869.20416666667</v>
      </c>
      <c r="I102" s="5" t="s">
        <v>620</v>
      </c>
      <c r="K102" s="10"/>
      <c r="L102" s="10"/>
      <c r="M102" s="10"/>
      <c r="N102" s="8">
        <v>60.1816</v>
      </c>
      <c r="O102" s="8">
        <v>24.8368</v>
      </c>
      <c r="P102" s="5" t="s">
        <v>194</v>
      </c>
      <c r="Q102" s="5" t="s">
        <v>195</v>
      </c>
      <c r="R102" s="5" t="s">
        <v>582</v>
      </c>
      <c r="S102" s="5" t="s">
        <v>216</v>
      </c>
      <c r="T102" s="5" t="s">
        <v>201</v>
      </c>
      <c r="U102" s="5" t="s">
        <v>203</v>
      </c>
      <c r="V102" s="5" t="s">
        <v>199</v>
      </c>
      <c r="W102" s="5" t="s">
        <v>201</v>
      </c>
      <c r="X102" s="5" t="s">
        <v>201</v>
      </c>
      <c r="Y102" s="5" t="s">
        <v>198</v>
      </c>
      <c r="Z102" s="5" t="s">
        <v>202</v>
      </c>
      <c r="AA102" s="5" t="s">
        <v>202</v>
      </c>
      <c r="AB102" s="5" t="s">
        <v>202</v>
      </c>
      <c r="AC102" s="5" t="s">
        <v>202</v>
      </c>
      <c r="AD102" s="5" t="s">
        <v>202</v>
      </c>
      <c r="AE102" s="5" t="s">
        <v>198</v>
      </c>
      <c r="AF102" s="5" t="s">
        <v>204</v>
      </c>
      <c r="AG102" s="5" t="s">
        <v>202</v>
      </c>
      <c r="AH102" s="5" t="s">
        <v>203</v>
      </c>
      <c r="AI102" s="5" t="s">
        <v>621</v>
      </c>
      <c r="AJ102" s="5" t="s">
        <v>206</v>
      </c>
      <c r="AK102" s="5" t="s">
        <v>202</v>
      </c>
      <c r="AL102" s="5" t="s">
        <v>202</v>
      </c>
      <c r="AM102" s="5" t="s">
        <v>201</v>
      </c>
      <c r="AN102" s="5" t="s">
        <v>202</v>
      </c>
      <c r="AO102" s="5" t="s">
        <v>201</v>
      </c>
      <c r="AP102" s="5" t="s">
        <v>201</v>
      </c>
      <c r="AQ102" s="5" t="s">
        <v>622</v>
      </c>
      <c r="AR102" s="5" t="s">
        <v>206</v>
      </c>
      <c r="AS102" s="5" t="s">
        <v>201</v>
      </c>
      <c r="AT102" s="5" t="s">
        <v>201</v>
      </c>
      <c r="AU102" s="5" t="s">
        <v>201</v>
      </c>
      <c r="AV102" s="5" t="s">
        <v>204</v>
      </c>
      <c r="AW102" s="5" t="s">
        <v>204</v>
      </c>
      <c r="AX102" s="5" t="s">
        <v>204</v>
      </c>
      <c r="AY102" s="5" t="s">
        <v>204</v>
      </c>
      <c r="AZ102" s="5" t="s">
        <v>623</v>
      </c>
    </row>
    <row r="103">
      <c r="A103" s="7">
        <v>45869.19930555556</v>
      </c>
      <c r="B103" s="7">
        <v>45869.20763888889</v>
      </c>
      <c r="C103" s="5" t="s">
        <v>99</v>
      </c>
      <c r="D103" s="5" t="s">
        <v>529</v>
      </c>
      <c r="E103" s="8">
        <v>100.0</v>
      </c>
      <c r="F103" s="8">
        <v>726.0</v>
      </c>
      <c r="G103" s="9" t="b">
        <v>1</v>
      </c>
      <c r="H103" s="7">
        <v>45869.20763888889</v>
      </c>
      <c r="I103" s="5" t="s">
        <v>624</v>
      </c>
      <c r="L103" s="10"/>
      <c r="M103" s="10"/>
      <c r="N103" s="8">
        <v>60.1816</v>
      </c>
      <c r="O103" s="8">
        <v>24.8368</v>
      </c>
      <c r="P103" s="5" t="s">
        <v>194</v>
      </c>
      <c r="Q103" s="5" t="s">
        <v>195</v>
      </c>
      <c r="R103" s="5" t="s">
        <v>607</v>
      </c>
      <c r="S103" s="5" t="s">
        <v>263</v>
      </c>
      <c r="T103" s="5" t="s">
        <v>200</v>
      </c>
      <c r="U103" s="5" t="s">
        <v>200</v>
      </c>
      <c r="V103" s="5" t="s">
        <v>199</v>
      </c>
      <c r="W103" s="5" t="s">
        <v>208</v>
      </c>
      <c r="X103" s="5" t="s">
        <v>200</v>
      </c>
      <c r="Y103" s="5" t="s">
        <v>203</v>
      </c>
      <c r="Z103" s="5" t="s">
        <v>200</v>
      </c>
      <c r="AA103" s="5" t="s">
        <v>200</v>
      </c>
      <c r="AB103" s="5" t="s">
        <v>200</v>
      </c>
      <c r="AC103" s="5" t="s">
        <v>200</v>
      </c>
      <c r="AD103" s="5" t="s">
        <v>208</v>
      </c>
      <c r="AE103" s="5" t="s">
        <v>200</v>
      </c>
      <c r="AF103" s="5" t="s">
        <v>200</v>
      </c>
      <c r="AG103" s="5" t="s">
        <v>200</v>
      </c>
      <c r="AH103" s="5" t="s">
        <v>201</v>
      </c>
      <c r="AI103" s="5" t="s">
        <v>625</v>
      </c>
      <c r="AJ103" s="5" t="s">
        <v>206</v>
      </c>
      <c r="AK103" s="5" t="s">
        <v>198</v>
      </c>
      <c r="AL103" s="5" t="s">
        <v>200</v>
      </c>
      <c r="AM103" s="5" t="s">
        <v>198</v>
      </c>
      <c r="AN103" s="5" t="s">
        <v>201</v>
      </c>
      <c r="AO103" s="5" t="s">
        <v>202</v>
      </c>
      <c r="AP103" s="5" t="s">
        <v>202</v>
      </c>
      <c r="AQ103" s="5" t="s">
        <v>626</v>
      </c>
      <c r="AR103" s="5" t="s">
        <v>206</v>
      </c>
      <c r="AS103" s="5" t="s">
        <v>200</v>
      </c>
      <c r="AT103" s="5" t="s">
        <v>200</v>
      </c>
      <c r="AU103" s="5" t="s">
        <v>208</v>
      </c>
      <c r="AV103" s="5" t="s">
        <v>202</v>
      </c>
      <c r="AW103" s="5" t="s">
        <v>208</v>
      </c>
      <c r="AX103" s="5" t="s">
        <v>201</v>
      </c>
      <c r="AY103" s="5" t="s">
        <v>198</v>
      </c>
      <c r="AZ103" s="5" t="s">
        <v>627</v>
      </c>
    </row>
    <row r="104">
      <c r="A104" s="7">
        <v>45869.209027777775</v>
      </c>
      <c r="B104" s="7">
        <v>45869.21388888889</v>
      </c>
      <c r="C104" s="5" t="s">
        <v>99</v>
      </c>
      <c r="D104" s="5" t="s">
        <v>383</v>
      </c>
      <c r="E104" s="8">
        <v>100.0</v>
      </c>
      <c r="F104" s="8">
        <v>417.0</v>
      </c>
      <c r="G104" s="9" t="b">
        <v>1</v>
      </c>
      <c r="H104" s="7">
        <v>45869.21388888889</v>
      </c>
      <c r="I104" s="5" t="s">
        <v>628</v>
      </c>
      <c r="K104" s="10"/>
      <c r="L104" s="10"/>
      <c r="M104" s="10"/>
      <c r="N104" s="8">
        <v>60.1816</v>
      </c>
      <c r="O104" s="8">
        <v>24.8368</v>
      </c>
      <c r="P104" s="5" t="s">
        <v>194</v>
      </c>
      <c r="Q104" s="5" t="s">
        <v>195</v>
      </c>
      <c r="R104" s="5" t="s">
        <v>595</v>
      </c>
      <c r="S104" s="5" t="s">
        <v>197</v>
      </c>
      <c r="T104" s="5" t="s">
        <v>202</v>
      </c>
      <c r="U104" s="5" t="s">
        <v>202</v>
      </c>
      <c r="V104" s="5" t="s">
        <v>199</v>
      </c>
      <c r="W104" s="5" t="s">
        <v>200</v>
      </c>
      <c r="X104" s="5" t="s">
        <v>200</v>
      </c>
      <c r="Y104" s="5" t="s">
        <v>198</v>
      </c>
      <c r="Z104" s="5" t="s">
        <v>202</v>
      </c>
      <c r="AA104" s="5" t="s">
        <v>202</v>
      </c>
      <c r="AB104" s="5" t="s">
        <v>202</v>
      </c>
      <c r="AC104" s="5" t="s">
        <v>198</v>
      </c>
      <c r="AD104" s="5" t="s">
        <v>202</v>
      </c>
      <c r="AE104" s="5" t="s">
        <v>202</v>
      </c>
      <c r="AF104" s="5" t="s">
        <v>198</v>
      </c>
      <c r="AG104" s="5" t="s">
        <v>200</v>
      </c>
      <c r="AH104" s="5" t="s">
        <v>198</v>
      </c>
      <c r="AI104" s="5" t="s">
        <v>413</v>
      </c>
      <c r="AJ104" s="5" t="s">
        <v>206</v>
      </c>
      <c r="AK104" s="5" t="s">
        <v>202</v>
      </c>
      <c r="AL104" s="5" t="s">
        <v>202</v>
      </c>
      <c r="AM104" s="5" t="s">
        <v>202</v>
      </c>
      <c r="AN104" s="5" t="s">
        <v>202</v>
      </c>
      <c r="AO104" s="5" t="s">
        <v>202</v>
      </c>
      <c r="AP104" s="5" t="s">
        <v>202</v>
      </c>
      <c r="AQ104" s="5" t="s">
        <v>413</v>
      </c>
      <c r="AR104" s="5" t="s">
        <v>206</v>
      </c>
      <c r="AS104" s="5" t="s">
        <v>202</v>
      </c>
      <c r="AT104" s="5" t="s">
        <v>200</v>
      </c>
      <c r="AU104" s="5" t="s">
        <v>200</v>
      </c>
      <c r="AV104" s="5" t="s">
        <v>198</v>
      </c>
      <c r="AW104" s="5" t="s">
        <v>198</v>
      </c>
      <c r="AX104" s="5" t="s">
        <v>200</v>
      </c>
      <c r="AY104" s="5" t="s">
        <v>203</v>
      </c>
      <c r="AZ104" s="5" t="s">
        <v>413</v>
      </c>
    </row>
    <row r="105">
      <c r="A105" s="7">
        <v>45869.205555555556</v>
      </c>
      <c r="B105" s="7">
        <v>45869.217361111114</v>
      </c>
      <c r="C105" s="5" t="s">
        <v>99</v>
      </c>
      <c r="D105" s="5" t="s">
        <v>389</v>
      </c>
      <c r="E105" s="8">
        <v>100.0</v>
      </c>
      <c r="F105" s="8">
        <v>1053.0</v>
      </c>
      <c r="G105" s="9" t="b">
        <v>1</v>
      </c>
      <c r="H105" s="7">
        <v>45869.217361111114</v>
      </c>
      <c r="I105" s="5" t="s">
        <v>629</v>
      </c>
      <c r="K105" s="10"/>
      <c r="L105" s="10"/>
      <c r="M105" s="10"/>
      <c r="N105" s="8">
        <v>60.1816</v>
      </c>
      <c r="O105" s="8">
        <v>24.8368</v>
      </c>
      <c r="P105" s="5" t="s">
        <v>194</v>
      </c>
      <c r="Q105" s="5" t="s">
        <v>195</v>
      </c>
      <c r="R105" s="5" t="s">
        <v>602</v>
      </c>
      <c r="S105" s="5" t="s">
        <v>216</v>
      </c>
      <c r="T105" s="5" t="s">
        <v>198</v>
      </c>
      <c r="U105" s="5" t="s">
        <v>208</v>
      </c>
      <c r="V105" s="5" t="s">
        <v>199</v>
      </c>
      <c r="W105" s="5" t="s">
        <v>202</v>
      </c>
      <c r="X105" s="5" t="s">
        <v>200</v>
      </c>
      <c r="Y105" s="5" t="s">
        <v>208</v>
      </c>
      <c r="Z105" s="5" t="s">
        <v>208</v>
      </c>
      <c r="AA105" s="5" t="s">
        <v>200</v>
      </c>
      <c r="AB105" s="5" t="s">
        <v>200</v>
      </c>
      <c r="AC105" s="5" t="s">
        <v>200</v>
      </c>
      <c r="AD105" s="5" t="s">
        <v>202</v>
      </c>
      <c r="AE105" s="5" t="s">
        <v>208</v>
      </c>
      <c r="AF105" s="5" t="s">
        <v>208</v>
      </c>
      <c r="AG105" s="5" t="s">
        <v>198</v>
      </c>
      <c r="AH105" s="5" t="s">
        <v>202</v>
      </c>
      <c r="AI105" s="5" t="s">
        <v>630</v>
      </c>
      <c r="AJ105" s="5" t="s">
        <v>206</v>
      </c>
      <c r="AK105" s="5" t="s">
        <v>200</v>
      </c>
      <c r="AL105" s="5" t="s">
        <v>198</v>
      </c>
      <c r="AM105" s="5" t="s">
        <v>198</v>
      </c>
      <c r="AN105" s="5" t="s">
        <v>208</v>
      </c>
      <c r="AO105" s="5" t="s">
        <v>208</v>
      </c>
      <c r="AP105" s="5" t="s">
        <v>208</v>
      </c>
      <c r="AQ105" s="5" t="s">
        <v>631</v>
      </c>
      <c r="AR105" s="5" t="s">
        <v>206</v>
      </c>
      <c r="AS105" s="5" t="s">
        <v>200</v>
      </c>
      <c r="AT105" s="5" t="s">
        <v>202</v>
      </c>
      <c r="AU105" s="5" t="s">
        <v>198</v>
      </c>
      <c r="AV105" s="5" t="s">
        <v>204</v>
      </c>
      <c r="AW105" s="5" t="s">
        <v>204</v>
      </c>
      <c r="AX105" s="5" t="s">
        <v>204</v>
      </c>
      <c r="AY105" s="5" t="s">
        <v>204</v>
      </c>
      <c r="AZ105" s="5" t="s">
        <v>632</v>
      </c>
    </row>
    <row r="106">
      <c r="A106" s="7">
        <v>45869.21388888889</v>
      </c>
      <c r="B106" s="7">
        <v>45869.21805555555</v>
      </c>
      <c r="C106" s="5" t="s">
        <v>99</v>
      </c>
      <c r="D106" s="5" t="s">
        <v>490</v>
      </c>
      <c r="E106" s="8">
        <v>100.0</v>
      </c>
      <c r="F106" s="8">
        <v>315.0</v>
      </c>
      <c r="G106" s="9" t="b">
        <v>1</v>
      </c>
      <c r="H106" s="7">
        <v>45869.21805555555</v>
      </c>
      <c r="I106" s="5" t="s">
        <v>633</v>
      </c>
      <c r="K106" s="10"/>
      <c r="L106" s="10"/>
      <c r="M106" s="10"/>
      <c r="N106" s="8">
        <v>60.1816</v>
      </c>
      <c r="O106" s="8">
        <v>24.8368</v>
      </c>
      <c r="P106" s="5" t="s">
        <v>194</v>
      </c>
      <c r="Q106" s="5" t="s">
        <v>195</v>
      </c>
      <c r="R106" s="5" t="s">
        <v>634</v>
      </c>
      <c r="S106" s="5" t="s">
        <v>216</v>
      </c>
      <c r="T106" s="5" t="s">
        <v>208</v>
      </c>
      <c r="U106" s="5" t="s">
        <v>204</v>
      </c>
      <c r="V106" s="5" t="s">
        <v>199</v>
      </c>
      <c r="W106" s="5" t="s">
        <v>203</v>
      </c>
      <c r="X106" s="5" t="s">
        <v>203</v>
      </c>
      <c r="Y106" s="5" t="s">
        <v>204</v>
      </c>
      <c r="Z106" s="5" t="s">
        <v>204</v>
      </c>
      <c r="AA106" s="5" t="s">
        <v>204</v>
      </c>
      <c r="AB106" s="5" t="s">
        <v>200</v>
      </c>
      <c r="AC106" s="5" t="s">
        <v>202</v>
      </c>
      <c r="AD106" s="5" t="s">
        <v>202</v>
      </c>
      <c r="AE106" s="5" t="s">
        <v>208</v>
      </c>
      <c r="AF106" s="5" t="s">
        <v>208</v>
      </c>
      <c r="AG106" s="5" t="s">
        <v>203</v>
      </c>
      <c r="AH106" s="5" t="s">
        <v>201</v>
      </c>
      <c r="AI106" s="5" t="s">
        <v>635</v>
      </c>
      <c r="AJ106" s="5" t="s">
        <v>206</v>
      </c>
      <c r="AK106" s="5" t="s">
        <v>203</v>
      </c>
      <c r="AL106" s="5" t="s">
        <v>200</v>
      </c>
      <c r="AM106" s="5" t="s">
        <v>200</v>
      </c>
      <c r="AN106" s="5" t="s">
        <v>200</v>
      </c>
      <c r="AO106" s="5" t="s">
        <v>203</v>
      </c>
      <c r="AP106" s="5" t="s">
        <v>200</v>
      </c>
      <c r="AQ106" s="5" t="s">
        <v>636</v>
      </c>
      <c r="AR106" s="5" t="s">
        <v>206</v>
      </c>
      <c r="AS106" s="5" t="s">
        <v>202</v>
      </c>
      <c r="AT106" s="5" t="s">
        <v>202</v>
      </c>
      <c r="AU106" s="5" t="s">
        <v>202</v>
      </c>
      <c r="AV106" s="5" t="s">
        <v>200</v>
      </c>
      <c r="AW106" s="5" t="s">
        <v>208</v>
      </c>
      <c r="AX106" s="5" t="s">
        <v>198</v>
      </c>
      <c r="AY106" s="5" t="s">
        <v>208</v>
      </c>
      <c r="AZ106" s="5" t="s">
        <v>637</v>
      </c>
    </row>
    <row r="107">
      <c r="A107" s="7">
        <v>45869.21527777778</v>
      </c>
      <c r="B107" s="7">
        <v>45869.22083333333</v>
      </c>
      <c r="C107" s="5" t="s">
        <v>99</v>
      </c>
      <c r="D107" s="5" t="s">
        <v>529</v>
      </c>
      <c r="E107" s="8">
        <v>100.0</v>
      </c>
      <c r="F107" s="8">
        <v>494.0</v>
      </c>
      <c r="G107" s="9" t="b">
        <v>1</v>
      </c>
      <c r="H107" s="7">
        <v>45869.22083333333</v>
      </c>
      <c r="I107" s="5" t="s">
        <v>638</v>
      </c>
      <c r="K107" s="10"/>
      <c r="L107" s="10"/>
      <c r="M107" s="10"/>
      <c r="N107" s="8">
        <v>60.1816</v>
      </c>
      <c r="O107" s="8">
        <v>24.8368</v>
      </c>
      <c r="P107" s="5" t="s">
        <v>194</v>
      </c>
      <c r="Q107" s="5" t="s">
        <v>195</v>
      </c>
      <c r="R107" s="5" t="s">
        <v>607</v>
      </c>
      <c r="S107" s="5" t="s">
        <v>197</v>
      </c>
      <c r="T107" s="5" t="s">
        <v>203</v>
      </c>
      <c r="U107" s="5" t="s">
        <v>204</v>
      </c>
      <c r="V107" s="5" t="s">
        <v>199</v>
      </c>
      <c r="W107" s="5" t="s">
        <v>204</v>
      </c>
      <c r="X107" s="5" t="s">
        <v>204</v>
      </c>
      <c r="Y107" s="5" t="s">
        <v>204</v>
      </c>
      <c r="Z107" s="5" t="s">
        <v>203</v>
      </c>
      <c r="AA107" s="5" t="s">
        <v>204</v>
      </c>
      <c r="AB107" s="5" t="s">
        <v>203</v>
      </c>
      <c r="AC107" s="5" t="s">
        <v>204</v>
      </c>
      <c r="AD107" s="5" t="s">
        <v>204</v>
      </c>
      <c r="AE107" s="5" t="s">
        <v>203</v>
      </c>
      <c r="AF107" s="5" t="s">
        <v>204</v>
      </c>
      <c r="AG107" s="5" t="s">
        <v>204</v>
      </c>
      <c r="AH107" s="5" t="s">
        <v>204</v>
      </c>
      <c r="AI107" s="5" t="s">
        <v>639</v>
      </c>
      <c r="AJ107" s="5" t="s">
        <v>206</v>
      </c>
      <c r="AK107" s="5" t="s">
        <v>204</v>
      </c>
      <c r="AL107" s="5" t="s">
        <v>204</v>
      </c>
      <c r="AM107" s="5" t="s">
        <v>204</v>
      </c>
      <c r="AN107" s="5" t="s">
        <v>203</v>
      </c>
      <c r="AO107" s="5" t="s">
        <v>200</v>
      </c>
      <c r="AP107" s="5" t="s">
        <v>204</v>
      </c>
      <c r="AQ107" s="5" t="s">
        <v>640</v>
      </c>
      <c r="AR107" s="5" t="s">
        <v>206</v>
      </c>
      <c r="AS107" s="5" t="s">
        <v>204</v>
      </c>
      <c r="AT107" s="5" t="s">
        <v>204</v>
      </c>
      <c r="AU107" s="5" t="s">
        <v>204</v>
      </c>
      <c r="AV107" s="5" t="s">
        <v>200</v>
      </c>
      <c r="AW107" s="5" t="s">
        <v>203</v>
      </c>
      <c r="AX107" s="5" t="s">
        <v>201</v>
      </c>
      <c r="AY107" s="5" t="s">
        <v>200</v>
      </c>
      <c r="AZ107" s="11" t="s">
        <v>641</v>
      </c>
    </row>
    <row r="108">
      <c r="A108" s="7">
        <v>45869.22361111111</v>
      </c>
      <c r="B108" s="7">
        <v>45869.22777777778</v>
      </c>
      <c r="C108" s="5" t="s">
        <v>99</v>
      </c>
      <c r="D108" s="5" t="s">
        <v>490</v>
      </c>
      <c r="E108" s="8">
        <v>100.0</v>
      </c>
      <c r="F108" s="8">
        <v>359.0</v>
      </c>
      <c r="G108" s="9" t="b">
        <v>1</v>
      </c>
      <c r="H108" s="7">
        <v>45869.22777777778</v>
      </c>
      <c r="I108" s="5" t="s">
        <v>642</v>
      </c>
      <c r="L108" s="10"/>
      <c r="M108" s="10"/>
      <c r="N108" s="8">
        <v>60.1816</v>
      </c>
      <c r="O108" s="8">
        <v>24.8368</v>
      </c>
      <c r="P108" s="5" t="s">
        <v>194</v>
      </c>
      <c r="Q108" s="5" t="s">
        <v>195</v>
      </c>
      <c r="R108" s="5" t="s">
        <v>634</v>
      </c>
      <c r="S108" s="5" t="s">
        <v>211</v>
      </c>
      <c r="T108" s="5" t="s">
        <v>208</v>
      </c>
      <c r="U108" s="5" t="s">
        <v>208</v>
      </c>
      <c r="V108" s="5" t="s">
        <v>199</v>
      </c>
      <c r="W108" s="5" t="s">
        <v>202</v>
      </c>
      <c r="X108" s="5" t="s">
        <v>202</v>
      </c>
      <c r="Y108" s="5" t="s">
        <v>208</v>
      </c>
      <c r="Z108" s="5" t="s">
        <v>208</v>
      </c>
      <c r="AA108" s="5" t="s">
        <v>198</v>
      </c>
      <c r="AB108" s="5" t="s">
        <v>202</v>
      </c>
      <c r="AC108" s="5" t="s">
        <v>202</v>
      </c>
      <c r="AD108" s="5" t="s">
        <v>202</v>
      </c>
      <c r="AE108" s="5" t="s">
        <v>208</v>
      </c>
      <c r="AF108" s="5" t="s">
        <v>200</v>
      </c>
      <c r="AG108" s="5" t="s">
        <v>202</v>
      </c>
      <c r="AH108" s="5" t="s">
        <v>202</v>
      </c>
      <c r="AI108" s="5" t="s">
        <v>643</v>
      </c>
      <c r="AJ108" s="5" t="s">
        <v>206</v>
      </c>
      <c r="AK108" s="5" t="s">
        <v>202</v>
      </c>
      <c r="AL108" s="5" t="s">
        <v>201</v>
      </c>
      <c r="AM108" s="5" t="s">
        <v>201</v>
      </c>
      <c r="AN108" s="5" t="s">
        <v>202</v>
      </c>
      <c r="AO108" s="5" t="s">
        <v>203</v>
      </c>
      <c r="AP108" s="5" t="s">
        <v>202</v>
      </c>
      <c r="AQ108" s="5" t="s">
        <v>644</v>
      </c>
      <c r="AR108" s="5" t="s">
        <v>206</v>
      </c>
      <c r="AS108" s="5" t="s">
        <v>202</v>
      </c>
      <c r="AT108" s="5" t="s">
        <v>202</v>
      </c>
      <c r="AU108" s="5" t="s">
        <v>202</v>
      </c>
      <c r="AV108" s="5" t="s">
        <v>208</v>
      </c>
      <c r="AW108" s="5" t="s">
        <v>208</v>
      </c>
      <c r="AX108" s="5" t="s">
        <v>208</v>
      </c>
      <c r="AY108" s="5" t="s">
        <v>208</v>
      </c>
      <c r="AZ108" s="5" t="s">
        <v>645</v>
      </c>
    </row>
    <row r="109">
      <c r="A109" s="7">
        <v>45869.222916666666</v>
      </c>
      <c r="B109" s="7">
        <v>45869.23263888889</v>
      </c>
      <c r="C109" s="5" t="s">
        <v>99</v>
      </c>
      <c r="D109" s="5" t="s">
        <v>389</v>
      </c>
      <c r="E109" s="8">
        <v>100.0</v>
      </c>
      <c r="F109" s="8">
        <v>824.0</v>
      </c>
      <c r="G109" s="9" t="b">
        <v>1</v>
      </c>
      <c r="H109" s="7">
        <v>45869.23263888889</v>
      </c>
      <c r="I109" s="5" t="s">
        <v>646</v>
      </c>
      <c r="K109" s="10"/>
      <c r="L109" s="10"/>
      <c r="M109" s="10"/>
      <c r="N109" s="8">
        <v>60.1816</v>
      </c>
      <c r="O109" s="8">
        <v>24.8368</v>
      </c>
      <c r="P109" s="5" t="s">
        <v>194</v>
      </c>
      <c r="Q109" s="5" t="s">
        <v>195</v>
      </c>
      <c r="R109" s="5" t="s">
        <v>602</v>
      </c>
      <c r="S109" s="5" t="s">
        <v>263</v>
      </c>
      <c r="T109" s="5" t="s">
        <v>202</v>
      </c>
      <c r="U109" s="5" t="s">
        <v>200</v>
      </c>
      <c r="V109" s="5" t="s">
        <v>199</v>
      </c>
      <c r="W109" s="5" t="s">
        <v>202</v>
      </c>
      <c r="X109" s="5" t="s">
        <v>200</v>
      </c>
      <c r="Y109" s="5" t="s">
        <v>202</v>
      </c>
      <c r="Z109" s="5" t="s">
        <v>208</v>
      </c>
      <c r="AA109" s="5" t="s">
        <v>198</v>
      </c>
      <c r="AB109" s="5" t="s">
        <v>200</v>
      </c>
      <c r="AC109" s="5" t="s">
        <v>200</v>
      </c>
      <c r="AD109" s="5" t="s">
        <v>202</v>
      </c>
      <c r="AE109" s="5" t="s">
        <v>208</v>
      </c>
      <c r="AF109" s="5" t="s">
        <v>200</v>
      </c>
      <c r="AG109" s="5" t="s">
        <v>200</v>
      </c>
      <c r="AH109" s="5" t="s">
        <v>202</v>
      </c>
      <c r="AI109" s="5" t="s">
        <v>647</v>
      </c>
      <c r="AJ109" s="5" t="s">
        <v>206</v>
      </c>
      <c r="AK109" s="5" t="s">
        <v>202</v>
      </c>
      <c r="AL109" s="5" t="s">
        <v>202</v>
      </c>
      <c r="AM109" s="5" t="s">
        <v>202</v>
      </c>
      <c r="AN109" s="5" t="s">
        <v>200</v>
      </c>
      <c r="AO109" s="5" t="s">
        <v>202</v>
      </c>
      <c r="AP109" s="5" t="s">
        <v>202</v>
      </c>
      <c r="AQ109" s="5" t="s">
        <v>648</v>
      </c>
      <c r="AR109" s="5" t="s">
        <v>206</v>
      </c>
      <c r="AS109" s="5" t="s">
        <v>202</v>
      </c>
      <c r="AT109" s="5" t="s">
        <v>202</v>
      </c>
      <c r="AU109" s="5" t="s">
        <v>202</v>
      </c>
      <c r="AV109" s="5" t="s">
        <v>204</v>
      </c>
      <c r="AW109" s="5" t="s">
        <v>204</v>
      </c>
      <c r="AX109" s="5" t="s">
        <v>204</v>
      </c>
      <c r="AY109" s="5" t="s">
        <v>204</v>
      </c>
      <c r="AZ109" s="5" t="s">
        <v>649</v>
      </c>
    </row>
    <row r="110">
      <c r="A110" s="7">
        <v>45869.22708333333</v>
      </c>
      <c r="B110" s="7">
        <v>45869.23402777778</v>
      </c>
      <c r="C110" s="5" t="s">
        <v>99</v>
      </c>
      <c r="D110" s="5" t="s">
        <v>529</v>
      </c>
      <c r="E110" s="8">
        <v>100.0</v>
      </c>
      <c r="F110" s="8">
        <v>567.0</v>
      </c>
      <c r="G110" s="9" t="b">
        <v>1</v>
      </c>
      <c r="H110" s="7">
        <v>45869.23402777778</v>
      </c>
      <c r="I110" s="5" t="s">
        <v>650</v>
      </c>
      <c r="K110" s="10"/>
      <c r="L110" s="10"/>
      <c r="M110" s="10"/>
      <c r="N110" s="8">
        <v>60.1816</v>
      </c>
      <c r="O110" s="8">
        <v>24.8368</v>
      </c>
      <c r="P110" s="5" t="s">
        <v>194</v>
      </c>
      <c r="Q110" s="5" t="s">
        <v>195</v>
      </c>
      <c r="R110" s="5" t="s">
        <v>607</v>
      </c>
      <c r="S110" s="5" t="s">
        <v>216</v>
      </c>
      <c r="T110" s="5" t="s">
        <v>198</v>
      </c>
      <c r="U110" s="5" t="s">
        <v>208</v>
      </c>
      <c r="V110" s="5" t="s">
        <v>199</v>
      </c>
      <c r="W110" s="5" t="s">
        <v>203</v>
      </c>
      <c r="X110" s="5" t="s">
        <v>204</v>
      </c>
      <c r="Y110" s="5" t="s">
        <v>204</v>
      </c>
      <c r="Z110" s="5" t="s">
        <v>208</v>
      </c>
      <c r="AA110" s="5" t="s">
        <v>208</v>
      </c>
      <c r="AB110" s="5" t="s">
        <v>200</v>
      </c>
      <c r="AC110" s="5" t="s">
        <v>202</v>
      </c>
      <c r="AD110" s="5" t="s">
        <v>204</v>
      </c>
      <c r="AE110" s="5" t="s">
        <v>200</v>
      </c>
      <c r="AF110" s="5" t="s">
        <v>208</v>
      </c>
      <c r="AG110" s="5" t="s">
        <v>208</v>
      </c>
      <c r="AH110" s="5" t="s">
        <v>204</v>
      </c>
      <c r="AI110" s="5" t="s">
        <v>651</v>
      </c>
      <c r="AJ110" s="5" t="s">
        <v>206</v>
      </c>
      <c r="AK110" s="5" t="s">
        <v>200</v>
      </c>
      <c r="AL110" s="5" t="s">
        <v>200</v>
      </c>
      <c r="AM110" s="5" t="s">
        <v>208</v>
      </c>
      <c r="AN110" s="5" t="s">
        <v>200</v>
      </c>
      <c r="AO110" s="5" t="s">
        <v>208</v>
      </c>
      <c r="AP110" s="5" t="s">
        <v>202</v>
      </c>
      <c r="AQ110" s="5" t="s">
        <v>652</v>
      </c>
      <c r="AR110" s="5" t="s">
        <v>206</v>
      </c>
      <c r="AS110" s="5" t="s">
        <v>208</v>
      </c>
      <c r="AT110" s="5" t="s">
        <v>198</v>
      </c>
      <c r="AU110" s="5" t="s">
        <v>204</v>
      </c>
      <c r="AV110" s="5" t="s">
        <v>204</v>
      </c>
      <c r="AW110" s="5" t="s">
        <v>204</v>
      </c>
      <c r="AX110" s="5" t="s">
        <v>208</v>
      </c>
      <c r="AY110" s="5" t="s">
        <v>204</v>
      </c>
      <c r="AZ110" s="5" t="s">
        <v>653</v>
      </c>
    </row>
    <row r="111">
      <c r="A111" s="7">
        <v>45869.23125</v>
      </c>
      <c r="B111" s="7">
        <v>45869.236805555556</v>
      </c>
      <c r="C111" s="5" t="s">
        <v>99</v>
      </c>
      <c r="D111" s="5" t="s">
        <v>490</v>
      </c>
      <c r="E111" s="8">
        <v>100.0</v>
      </c>
      <c r="F111" s="8">
        <v>480.0</v>
      </c>
      <c r="G111" s="9" t="b">
        <v>1</v>
      </c>
      <c r="H111" s="7">
        <v>45869.236805555556</v>
      </c>
      <c r="I111" s="5" t="s">
        <v>654</v>
      </c>
      <c r="K111" s="10"/>
      <c r="L111" s="10"/>
      <c r="M111" s="10"/>
      <c r="N111" s="8">
        <v>60.1816</v>
      </c>
      <c r="O111" s="8">
        <v>24.8368</v>
      </c>
      <c r="P111" s="5" t="s">
        <v>194</v>
      </c>
      <c r="Q111" s="5" t="s">
        <v>195</v>
      </c>
      <c r="R111" s="5" t="s">
        <v>655</v>
      </c>
      <c r="S111" s="5" t="s">
        <v>197</v>
      </c>
      <c r="T111" s="5" t="s">
        <v>200</v>
      </c>
      <c r="U111" s="5" t="s">
        <v>208</v>
      </c>
      <c r="V111" s="5" t="s">
        <v>199</v>
      </c>
      <c r="W111" s="5" t="s">
        <v>203</v>
      </c>
      <c r="X111" s="5" t="s">
        <v>202</v>
      </c>
      <c r="Y111" s="5" t="s">
        <v>200</v>
      </c>
      <c r="Z111" s="5" t="s">
        <v>208</v>
      </c>
      <c r="AA111" s="5" t="s">
        <v>203</v>
      </c>
      <c r="AB111" s="5" t="s">
        <v>202</v>
      </c>
      <c r="AC111" s="5" t="s">
        <v>202</v>
      </c>
      <c r="AD111" s="5" t="s">
        <v>202</v>
      </c>
      <c r="AE111" s="5" t="s">
        <v>208</v>
      </c>
      <c r="AF111" s="5" t="s">
        <v>208</v>
      </c>
      <c r="AG111" s="5" t="s">
        <v>202</v>
      </c>
      <c r="AH111" s="5" t="s">
        <v>202</v>
      </c>
      <c r="AI111" s="5" t="s">
        <v>656</v>
      </c>
      <c r="AJ111" s="5" t="s">
        <v>206</v>
      </c>
      <c r="AK111" s="5" t="s">
        <v>202</v>
      </c>
      <c r="AL111" s="5" t="s">
        <v>202</v>
      </c>
      <c r="AM111" s="5" t="s">
        <v>202</v>
      </c>
      <c r="AN111" s="5" t="s">
        <v>202</v>
      </c>
      <c r="AO111" s="5" t="s">
        <v>203</v>
      </c>
      <c r="AP111" s="5" t="s">
        <v>202</v>
      </c>
      <c r="AQ111" s="5" t="s">
        <v>657</v>
      </c>
      <c r="AR111" s="5" t="s">
        <v>206</v>
      </c>
      <c r="AS111" s="5" t="s">
        <v>202</v>
      </c>
      <c r="AT111" s="5" t="s">
        <v>201</v>
      </c>
      <c r="AU111" s="5" t="s">
        <v>202</v>
      </c>
      <c r="AV111" s="5" t="s">
        <v>200</v>
      </c>
      <c r="AW111" s="5" t="s">
        <v>200</v>
      </c>
      <c r="AX111" s="5" t="s">
        <v>200</v>
      </c>
      <c r="AY111" s="5" t="s">
        <v>208</v>
      </c>
      <c r="AZ111" s="5" t="s">
        <v>658</v>
      </c>
    </row>
    <row r="112">
      <c r="A112" s="7">
        <v>45869.24444444444</v>
      </c>
      <c r="B112" s="7">
        <v>45869.25069444445</v>
      </c>
      <c r="C112" s="5" t="s">
        <v>99</v>
      </c>
      <c r="D112" s="5" t="s">
        <v>490</v>
      </c>
      <c r="E112" s="8">
        <v>100.0</v>
      </c>
      <c r="F112" s="8">
        <v>539.0</v>
      </c>
      <c r="G112" s="9" t="b">
        <v>1</v>
      </c>
      <c r="H112" s="7">
        <v>45869.25069444445</v>
      </c>
      <c r="I112" s="5" t="s">
        <v>659</v>
      </c>
      <c r="K112" s="10"/>
      <c r="L112" s="10"/>
      <c r="M112" s="10"/>
      <c r="N112" s="8">
        <v>60.1816</v>
      </c>
      <c r="O112" s="8">
        <v>24.8368</v>
      </c>
      <c r="P112" s="5" t="s">
        <v>194</v>
      </c>
      <c r="Q112" s="5" t="s">
        <v>195</v>
      </c>
      <c r="R112" s="5" t="s">
        <v>655</v>
      </c>
      <c r="S112" s="5" t="s">
        <v>263</v>
      </c>
      <c r="T112" s="5" t="s">
        <v>200</v>
      </c>
      <c r="U112" s="5" t="s">
        <v>208</v>
      </c>
      <c r="V112" s="5" t="s">
        <v>199</v>
      </c>
      <c r="W112" s="5" t="s">
        <v>198</v>
      </c>
      <c r="X112" s="5" t="s">
        <v>198</v>
      </c>
      <c r="Y112" s="5" t="s">
        <v>203</v>
      </c>
      <c r="Z112" s="5" t="s">
        <v>204</v>
      </c>
      <c r="AA112" s="5" t="s">
        <v>208</v>
      </c>
      <c r="AB112" s="5" t="s">
        <v>203</v>
      </c>
      <c r="AC112" s="5" t="s">
        <v>198</v>
      </c>
      <c r="AD112" s="5" t="s">
        <v>203</v>
      </c>
      <c r="AE112" s="5" t="s">
        <v>204</v>
      </c>
      <c r="AF112" s="5" t="s">
        <v>208</v>
      </c>
      <c r="AG112" s="5" t="s">
        <v>198</v>
      </c>
      <c r="AH112" s="5" t="s">
        <v>202</v>
      </c>
      <c r="AI112" s="5" t="s">
        <v>660</v>
      </c>
      <c r="AJ112" s="5" t="s">
        <v>206</v>
      </c>
      <c r="AK112" s="5" t="s">
        <v>203</v>
      </c>
      <c r="AL112" s="5" t="s">
        <v>200</v>
      </c>
      <c r="AM112" s="5" t="s">
        <v>200</v>
      </c>
      <c r="AN112" s="5" t="s">
        <v>198</v>
      </c>
      <c r="AO112" s="5" t="s">
        <v>203</v>
      </c>
      <c r="AP112" s="5" t="s">
        <v>200</v>
      </c>
      <c r="AQ112" s="5" t="s">
        <v>661</v>
      </c>
      <c r="AR112" s="5" t="s">
        <v>206</v>
      </c>
      <c r="AS112" s="5" t="s">
        <v>202</v>
      </c>
      <c r="AT112" s="5" t="s">
        <v>202</v>
      </c>
      <c r="AU112" s="5" t="s">
        <v>202</v>
      </c>
      <c r="AV112" s="5" t="s">
        <v>200</v>
      </c>
      <c r="AW112" s="5" t="s">
        <v>200</v>
      </c>
      <c r="AX112" s="5" t="s">
        <v>200</v>
      </c>
      <c r="AY112" s="5" t="s">
        <v>208</v>
      </c>
      <c r="AZ112" s="5" t="s">
        <v>662</v>
      </c>
    </row>
    <row r="113">
      <c r="A113" s="7">
        <v>45869.240277777775</v>
      </c>
      <c r="B113" s="7">
        <v>45869.25347222222</v>
      </c>
      <c r="C113" s="5" t="s">
        <v>99</v>
      </c>
      <c r="D113" s="5" t="s">
        <v>389</v>
      </c>
      <c r="E113" s="8">
        <v>100.0</v>
      </c>
      <c r="F113" s="8">
        <v>1112.0</v>
      </c>
      <c r="G113" s="9" t="b">
        <v>1</v>
      </c>
      <c r="H113" s="7">
        <v>45869.25347222222</v>
      </c>
      <c r="I113" s="5" t="s">
        <v>663</v>
      </c>
      <c r="K113" s="10"/>
      <c r="L113" s="10"/>
      <c r="M113" s="10"/>
      <c r="N113" s="8">
        <v>60.1816</v>
      </c>
      <c r="O113" s="8">
        <v>24.8368</v>
      </c>
      <c r="P113" s="5" t="s">
        <v>194</v>
      </c>
      <c r="Q113" s="5" t="s">
        <v>195</v>
      </c>
      <c r="R113" s="5" t="s">
        <v>664</v>
      </c>
      <c r="S113" s="5" t="s">
        <v>197</v>
      </c>
      <c r="T113" s="5" t="s">
        <v>202</v>
      </c>
      <c r="U113" s="5" t="s">
        <v>202</v>
      </c>
      <c r="V113" s="5" t="s">
        <v>199</v>
      </c>
      <c r="W113" s="5" t="s">
        <v>200</v>
      </c>
      <c r="X113" s="5" t="s">
        <v>200</v>
      </c>
      <c r="Y113" s="5" t="s">
        <v>203</v>
      </c>
      <c r="Z113" s="5" t="s">
        <v>200</v>
      </c>
      <c r="AA113" s="5" t="s">
        <v>198</v>
      </c>
      <c r="AB113" s="5" t="s">
        <v>202</v>
      </c>
      <c r="AC113" s="5" t="s">
        <v>202</v>
      </c>
      <c r="AD113" s="5" t="s">
        <v>200</v>
      </c>
      <c r="AE113" s="5" t="s">
        <v>200</v>
      </c>
      <c r="AF113" s="5" t="s">
        <v>203</v>
      </c>
      <c r="AG113" s="5" t="s">
        <v>202</v>
      </c>
      <c r="AH113" s="5" t="s">
        <v>203</v>
      </c>
      <c r="AI113" s="5" t="s">
        <v>665</v>
      </c>
      <c r="AJ113" s="5" t="s">
        <v>206</v>
      </c>
      <c r="AK113" s="5" t="s">
        <v>203</v>
      </c>
      <c r="AL113" s="5" t="s">
        <v>203</v>
      </c>
      <c r="AM113" s="5" t="s">
        <v>200</v>
      </c>
      <c r="AN113" s="5" t="s">
        <v>198</v>
      </c>
      <c r="AO113" s="5" t="s">
        <v>202</v>
      </c>
      <c r="AP113" s="5" t="s">
        <v>200</v>
      </c>
      <c r="AQ113" s="5" t="s">
        <v>666</v>
      </c>
      <c r="AR113" s="5" t="s">
        <v>206</v>
      </c>
      <c r="AS113" s="5" t="s">
        <v>203</v>
      </c>
      <c r="AT113" s="5" t="s">
        <v>200</v>
      </c>
      <c r="AU113" s="5" t="s">
        <v>201</v>
      </c>
      <c r="AV113" s="5" t="s">
        <v>204</v>
      </c>
      <c r="AW113" s="5" t="s">
        <v>204</v>
      </c>
      <c r="AX113" s="5" t="s">
        <v>208</v>
      </c>
      <c r="AY113" s="5" t="s">
        <v>204</v>
      </c>
      <c r="AZ113" s="5" t="s">
        <v>667</v>
      </c>
    </row>
    <row r="114">
      <c r="A114" s="7">
        <v>45869.245833333334</v>
      </c>
      <c r="B114" s="7">
        <v>45869.263194444444</v>
      </c>
      <c r="C114" s="5" t="s">
        <v>99</v>
      </c>
      <c r="D114" s="5" t="s">
        <v>529</v>
      </c>
      <c r="E114" s="8">
        <v>100.0</v>
      </c>
      <c r="F114" s="8">
        <v>1458.0</v>
      </c>
      <c r="G114" s="9" t="b">
        <v>1</v>
      </c>
      <c r="H114" s="7">
        <v>45869.263194444444</v>
      </c>
      <c r="I114" s="5" t="s">
        <v>668</v>
      </c>
      <c r="K114" s="10"/>
      <c r="L114" s="10"/>
      <c r="M114" s="10"/>
      <c r="N114" s="8">
        <v>60.1816</v>
      </c>
      <c r="O114" s="8">
        <v>24.8368</v>
      </c>
      <c r="P114" s="5" t="s">
        <v>194</v>
      </c>
      <c r="Q114" s="5" t="s">
        <v>195</v>
      </c>
      <c r="R114" s="5" t="s">
        <v>669</v>
      </c>
      <c r="S114" s="5" t="s">
        <v>211</v>
      </c>
      <c r="T114" s="5" t="s">
        <v>200</v>
      </c>
      <c r="U114" s="5" t="s">
        <v>201</v>
      </c>
      <c r="V114" s="5" t="s">
        <v>199</v>
      </c>
      <c r="W114" s="5" t="s">
        <v>202</v>
      </c>
      <c r="X114" s="5" t="s">
        <v>202</v>
      </c>
      <c r="Y114" s="5" t="s">
        <v>208</v>
      </c>
      <c r="Z114" s="5" t="s">
        <v>201</v>
      </c>
      <c r="AA114" s="5" t="s">
        <v>201</v>
      </c>
      <c r="AB114" s="5" t="s">
        <v>202</v>
      </c>
      <c r="AC114" s="5" t="s">
        <v>202</v>
      </c>
      <c r="AD114" s="5" t="s">
        <v>203</v>
      </c>
      <c r="AE114" s="5" t="s">
        <v>198</v>
      </c>
      <c r="AF114" s="5" t="s">
        <v>203</v>
      </c>
      <c r="AG114" s="5" t="s">
        <v>201</v>
      </c>
      <c r="AH114" s="5" t="s">
        <v>200</v>
      </c>
      <c r="AI114" s="5" t="s">
        <v>670</v>
      </c>
      <c r="AJ114" s="5" t="s">
        <v>206</v>
      </c>
      <c r="AK114" s="5" t="s">
        <v>203</v>
      </c>
      <c r="AL114" s="5" t="s">
        <v>201</v>
      </c>
      <c r="AM114" s="5" t="s">
        <v>202</v>
      </c>
      <c r="AN114" s="5" t="s">
        <v>201</v>
      </c>
      <c r="AO114" s="5" t="s">
        <v>202</v>
      </c>
      <c r="AP114" s="5" t="s">
        <v>201</v>
      </c>
      <c r="AQ114" s="5" t="s">
        <v>671</v>
      </c>
      <c r="AR114" s="5" t="s">
        <v>206</v>
      </c>
      <c r="AS114" s="5" t="s">
        <v>201</v>
      </c>
      <c r="AT114" s="5" t="s">
        <v>198</v>
      </c>
      <c r="AU114" s="5" t="s">
        <v>202</v>
      </c>
      <c r="AV114" s="5" t="s">
        <v>204</v>
      </c>
      <c r="AW114" s="5" t="s">
        <v>204</v>
      </c>
      <c r="AX114" s="5" t="s">
        <v>204</v>
      </c>
      <c r="AY114" s="5" t="s">
        <v>204</v>
      </c>
      <c r="AZ114" s="5" t="s">
        <v>672</v>
      </c>
    </row>
    <row r="115">
      <c r="A115" s="7">
        <v>45869.25833333333</v>
      </c>
      <c r="B115" s="7">
        <v>45869.268055555556</v>
      </c>
      <c r="C115" s="5" t="s">
        <v>99</v>
      </c>
      <c r="D115" s="5" t="s">
        <v>389</v>
      </c>
      <c r="E115" s="8">
        <v>100.0</v>
      </c>
      <c r="F115" s="8">
        <v>841.0</v>
      </c>
      <c r="G115" s="9" t="b">
        <v>1</v>
      </c>
      <c r="H115" s="7">
        <v>45869.268055555556</v>
      </c>
      <c r="I115" s="5" t="s">
        <v>673</v>
      </c>
      <c r="K115" s="10"/>
      <c r="L115" s="10"/>
      <c r="M115" s="10"/>
      <c r="N115" s="8">
        <v>60.1816</v>
      </c>
      <c r="O115" s="8">
        <v>24.8368</v>
      </c>
      <c r="P115" s="5" t="s">
        <v>194</v>
      </c>
      <c r="Q115" s="5" t="s">
        <v>195</v>
      </c>
      <c r="R115" s="5" t="s">
        <v>674</v>
      </c>
      <c r="S115" s="5" t="s">
        <v>211</v>
      </c>
      <c r="T115" s="5" t="s">
        <v>198</v>
      </c>
      <c r="U115" s="5" t="s">
        <v>200</v>
      </c>
      <c r="V115" s="5" t="s">
        <v>199</v>
      </c>
      <c r="W115" s="5" t="s">
        <v>202</v>
      </c>
      <c r="X115" s="5" t="s">
        <v>202</v>
      </c>
      <c r="Y115" s="5" t="s">
        <v>203</v>
      </c>
      <c r="Z115" s="5" t="s">
        <v>200</v>
      </c>
      <c r="AA115" s="5" t="s">
        <v>200</v>
      </c>
      <c r="AB115" s="5" t="s">
        <v>202</v>
      </c>
      <c r="AC115" s="5" t="s">
        <v>202</v>
      </c>
      <c r="AD115" s="5" t="s">
        <v>203</v>
      </c>
      <c r="AE115" s="5" t="s">
        <v>203</v>
      </c>
      <c r="AF115" s="5" t="s">
        <v>200</v>
      </c>
      <c r="AG115" s="5" t="s">
        <v>202</v>
      </c>
      <c r="AH115" s="5" t="s">
        <v>200</v>
      </c>
      <c r="AI115" s="5" t="s">
        <v>675</v>
      </c>
      <c r="AJ115" s="5" t="s">
        <v>206</v>
      </c>
      <c r="AK115" s="5" t="s">
        <v>200</v>
      </c>
      <c r="AL115" s="5" t="s">
        <v>202</v>
      </c>
      <c r="AM115" s="5" t="s">
        <v>200</v>
      </c>
      <c r="AN115" s="5" t="s">
        <v>203</v>
      </c>
      <c r="AO115" s="5" t="s">
        <v>200</v>
      </c>
      <c r="AP115" s="5" t="s">
        <v>200</v>
      </c>
      <c r="AQ115" s="5" t="s">
        <v>676</v>
      </c>
      <c r="AR115" s="5" t="s">
        <v>206</v>
      </c>
      <c r="AS115" s="5" t="s">
        <v>202</v>
      </c>
      <c r="AT115" s="5" t="s">
        <v>201</v>
      </c>
      <c r="AU115" s="5" t="s">
        <v>200</v>
      </c>
      <c r="AV115" s="5" t="s">
        <v>204</v>
      </c>
      <c r="AW115" s="5" t="s">
        <v>198</v>
      </c>
      <c r="AX115" s="5" t="s">
        <v>204</v>
      </c>
      <c r="AY115" s="5" t="s">
        <v>204</v>
      </c>
      <c r="AZ115" s="5" t="s">
        <v>677</v>
      </c>
    </row>
    <row r="116">
      <c r="A116" s="7">
        <v>45869.26666666667</v>
      </c>
      <c r="B116" s="7">
        <v>45869.277083333334</v>
      </c>
      <c r="C116" s="5" t="s">
        <v>99</v>
      </c>
      <c r="D116" s="5" t="s">
        <v>383</v>
      </c>
      <c r="E116" s="8">
        <v>100.0</v>
      </c>
      <c r="F116" s="8">
        <v>934.0</v>
      </c>
      <c r="G116" s="9" t="b">
        <v>1</v>
      </c>
      <c r="H116" s="7">
        <v>45869.277083333334</v>
      </c>
      <c r="I116" s="5" t="s">
        <v>678</v>
      </c>
      <c r="K116" s="10"/>
      <c r="L116" s="10"/>
      <c r="M116" s="10"/>
      <c r="N116" s="8">
        <v>60.1816</v>
      </c>
      <c r="O116" s="8">
        <v>24.8368</v>
      </c>
      <c r="P116" s="5" t="s">
        <v>194</v>
      </c>
      <c r="Q116" s="5" t="s">
        <v>195</v>
      </c>
      <c r="R116" s="5" t="s">
        <v>679</v>
      </c>
      <c r="S116" s="5" t="s">
        <v>216</v>
      </c>
      <c r="T116" s="5" t="s">
        <v>208</v>
      </c>
      <c r="U116" s="5" t="s">
        <v>208</v>
      </c>
      <c r="V116" s="5" t="s">
        <v>199</v>
      </c>
      <c r="W116" s="5" t="s">
        <v>203</v>
      </c>
      <c r="X116" s="5" t="s">
        <v>198</v>
      </c>
      <c r="Y116" s="5" t="s">
        <v>198</v>
      </c>
      <c r="Z116" s="5" t="s">
        <v>204</v>
      </c>
      <c r="AA116" s="5" t="s">
        <v>200</v>
      </c>
      <c r="AB116" s="5" t="s">
        <v>202</v>
      </c>
      <c r="AC116" s="5" t="s">
        <v>202</v>
      </c>
      <c r="AD116" s="5" t="s">
        <v>198</v>
      </c>
      <c r="AE116" s="5" t="s">
        <v>204</v>
      </c>
      <c r="AF116" s="5" t="s">
        <v>202</v>
      </c>
      <c r="AG116" s="5" t="s">
        <v>200</v>
      </c>
      <c r="AH116" s="5" t="s">
        <v>208</v>
      </c>
      <c r="AI116" s="5" t="s">
        <v>680</v>
      </c>
      <c r="AJ116" s="5" t="s">
        <v>206</v>
      </c>
      <c r="AK116" s="5" t="s">
        <v>208</v>
      </c>
      <c r="AL116" s="5" t="s">
        <v>208</v>
      </c>
      <c r="AM116" s="5" t="s">
        <v>198</v>
      </c>
      <c r="AN116" s="5" t="s">
        <v>208</v>
      </c>
      <c r="AO116" s="5" t="s">
        <v>204</v>
      </c>
      <c r="AP116" s="5" t="s">
        <v>200</v>
      </c>
      <c r="AQ116" s="5" t="s">
        <v>681</v>
      </c>
      <c r="AR116" s="5" t="s">
        <v>206</v>
      </c>
      <c r="AS116" s="5" t="s">
        <v>198</v>
      </c>
      <c r="AT116" s="5" t="s">
        <v>200</v>
      </c>
      <c r="AU116" s="5" t="s">
        <v>208</v>
      </c>
      <c r="AV116" s="5" t="s">
        <v>204</v>
      </c>
      <c r="AW116" s="5" t="s">
        <v>208</v>
      </c>
      <c r="AX116" s="5" t="s">
        <v>204</v>
      </c>
      <c r="AY116" s="5" t="s">
        <v>204</v>
      </c>
      <c r="AZ116" s="5" t="s">
        <v>682</v>
      </c>
    </row>
    <row r="117">
      <c r="A117" s="7">
        <v>45869.26875</v>
      </c>
      <c r="B117" s="7">
        <v>45869.27847222222</v>
      </c>
      <c r="C117" s="5" t="s">
        <v>99</v>
      </c>
      <c r="D117" s="5" t="s">
        <v>389</v>
      </c>
      <c r="E117" s="8">
        <v>100.0</v>
      </c>
      <c r="F117" s="8">
        <v>834.0</v>
      </c>
      <c r="G117" s="9" t="b">
        <v>1</v>
      </c>
      <c r="H117" s="7">
        <v>45869.27847222222</v>
      </c>
      <c r="I117" s="5" t="s">
        <v>683</v>
      </c>
      <c r="K117" s="10"/>
      <c r="L117" s="10"/>
      <c r="M117" s="10"/>
      <c r="N117" s="8">
        <v>60.1816</v>
      </c>
      <c r="O117" s="8">
        <v>24.8368</v>
      </c>
      <c r="P117" s="5" t="s">
        <v>194</v>
      </c>
      <c r="Q117" s="5" t="s">
        <v>195</v>
      </c>
      <c r="R117" s="5" t="s">
        <v>664</v>
      </c>
      <c r="S117" s="5" t="s">
        <v>216</v>
      </c>
      <c r="T117" s="5" t="s">
        <v>203</v>
      </c>
      <c r="U117" s="5" t="s">
        <v>208</v>
      </c>
      <c r="V117" s="5" t="s">
        <v>199</v>
      </c>
      <c r="W117" s="5" t="s">
        <v>203</v>
      </c>
      <c r="X117" s="5" t="s">
        <v>200</v>
      </c>
      <c r="Y117" s="5" t="s">
        <v>208</v>
      </c>
      <c r="Z117" s="5" t="s">
        <v>200</v>
      </c>
      <c r="AA117" s="5" t="s">
        <v>203</v>
      </c>
      <c r="AB117" s="5" t="s">
        <v>198</v>
      </c>
      <c r="AC117" s="5" t="s">
        <v>203</v>
      </c>
      <c r="AD117" s="5" t="s">
        <v>203</v>
      </c>
      <c r="AE117" s="5" t="s">
        <v>208</v>
      </c>
      <c r="AF117" s="5" t="s">
        <v>200</v>
      </c>
      <c r="AG117" s="5" t="s">
        <v>198</v>
      </c>
      <c r="AH117" s="5" t="s">
        <v>201</v>
      </c>
      <c r="AI117" s="5" t="s">
        <v>413</v>
      </c>
      <c r="AJ117" s="5" t="s">
        <v>206</v>
      </c>
      <c r="AK117" s="5" t="s">
        <v>200</v>
      </c>
      <c r="AL117" s="5" t="s">
        <v>202</v>
      </c>
      <c r="AM117" s="5" t="s">
        <v>200</v>
      </c>
      <c r="AN117" s="5" t="s">
        <v>202</v>
      </c>
      <c r="AO117" s="5" t="s">
        <v>200</v>
      </c>
      <c r="AP117" s="5" t="s">
        <v>202</v>
      </c>
      <c r="AQ117" s="5" t="s">
        <v>413</v>
      </c>
      <c r="AR117" s="5" t="s">
        <v>206</v>
      </c>
      <c r="AS117" s="5" t="s">
        <v>202</v>
      </c>
      <c r="AT117" s="5" t="s">
        <v>202</v>
      </c>
      <c r="AU117" s="5" t="s">
        <v>201</v>
      </c>
      <c r="AV117" s="5" t="s">
        <v>198</v>
      </c>
      <c r="AW117" s="5" t="s">
        <v>204</v>
      </c>
      <c r="AX117" s="5" t="s">
        <v>204</v>
      </c>
      <c r="AY117" s="5" t="s">
        <v>204</v>
      </c>
      <c r="AZ117" s="5" t="s">
        <v>413</v>
      </c>
    </row>
    <row r="118">
      <c r="A118" s="7">
        <v>45869.27291666667</v>
      </c>
      <c r="B118" s="7">
        <v>45869.28333333333</v>
      </c>
      <c r="C118" s="5" t="s">
        <v>99</v>
      </c>
      <c r="D118" s="5" t="s">
        <v>529</v>
      </c>
      <c r="E118" s="8">
        <v>100.0</v>
      </c>
      <c r="F118" s="8">
        <v>945.0</v>
      </c>
      <c r="G118" s="9" t="b">
        <v>1</v>
      </c>
      <c r="H118" s="7">
        <v>45869.28333333333</v>
      </c>
      <c r="I118" s="5" t="s">
        <v>684</v>
      </c>
      <c r="L118" s="10"/>
      <c r="M118" s="10"/>
      <c r="N118" s="8">
        <v>60.1816</v>
      </c>
      <c r="O118" s="8">
        <v>24.8368</v>
      </c>
      <c r="P118" s="5" t="s">
        <v>194</v>
      </c>
      <c r="Q118" s="5" t="s">
        <v>195</v>
      </c>
      <c r="R118" s="5" t="s">
        <v>669</v>
      </c>
      <c r="S118" s="5" t="s">
        <v>263</v>
      </c>
      <c r="T118" s="5" t="s">
        <v>201</v>
      </c>
      <c r="U118" s="5" t="s">
        <v>202</v>
      </c>
      <c r="V118" s="5" t="s">
        <v>199</v>
      </c>
      <c r="W118" s="5" t="s">
        <v>201</v>
      </c>
      <c r="X118" s="5" t="s">
        <v>202</v>
      </c>
      <c r="Y118" s="5" t="s">
        <v>201</v>
      </c>
      <c r="Z118" s="5" t="s">
        <v>202</v>
      </c>
      <c r="AA118" s="5" t="s">
        <v>201</v>
      </c>
      <c r="AB118" s="5" t="s">
        <v>201</v>
      </c>
      <c r="AC118" s="5" t="s">
        <v>202</v>
      </c>
      <c r="AD118" s="5" t="s">
        <v>201</v>
      </c>
      <c r="AE118" s="5" t="s">
        <v>202</v>
      </c>
      <c r="AF118" s="5" t="s">
        <v>204</v>
      </c>
      <c r="AG118" s="5" t="s">
        <v>201</v>
      </c>
      <c r="AH118" s="5" t="s">
        <v>202</v>
      </c>
      <c r="AI118" s="5" t="s">
        <v>685</v>
      </c>
      <c r="AJ118" s="5" t="s">
        <v>206</v>
      </c>
      <c r="AK118" s="5" t="s">
        <v>202</v>
      </c>
      <c r="AL118" s="5" t="s">
        <v>202</v>
      </c>
      <c r="AM118" s="5" t="s">
        <v>202</v>
      </c>
      <c r="AN118" s="5" t="s">
        <v>201</v>
      </c>
      <c r="AO118" s="5" t="s">
        <v>201</v>
      </c>
      <c r="AP118" s="5" t="s">
        <v>202</v>
      </c>
      <c r="AQ118" s="5" t="s">
        <v>686</v>
      </c>
      <c r="AR118" s="5" t="s">
        <v>206</v>
      </c>
      <c r="AS118" s="5" t="s">
        <v>201</v>
      </c>
      <c r="AT118" s="5" t="s">
        <v>202</v>
      </c>
      <c r="AU118" s="5" t="s">
        <v>201</v>
      </c>
      <c r="AV118" s="5" t="s">
        <v>204</v>
      </c>
      <c r="AW118" s="5" t="s">
        <v>204</v>
      </c>
      <c r="AX118" s="5" t="s">
        <v>204</v>
      </c>
      <c r="AY118" s="5" t="s">
        <v>204</v>
      </c>
      <c r="AZ118" s="5" t="s">
        <v>687</v>
      </c>
    </row>
    <row r="119">
      <c r="A119" s="7">
        <v>45869.27638888889</v>
      </c>
      <c r="B119" s="7">
        <v>45869.29513888889</v>
      </c>
      <c r="C119" s="5" t="s">
        <v>99</v>
      </c>
      <c r="D119" s="5" t="s">
        <v>490</v>
      </c>
      <c r="E119" s="8">
        <v>100.0</v>
      </c>
      <c r="F119" s="8">
        <v>1578.0</v>
      </c>
      <c r="G119" s="9" t="b">
        <v>1</v>
      </c>
      <c r="H119" s="7">
        <v>45869.29513888889</v>
      </c>
      <c r="I119" s="5" t="s">
        <v>688</v>
      </c>
      <c r="K119" s="10"/>
      <c r="L119" s="10"/>
      <c r="M119" s="10"/>
      <c r="N119" s="8">
        <v>60.1816</v>
      </c>
      <c r="O119" s="8">
        <v>24.8368</v>
      </c>
      <c r="P119" s="5" t="s">
        <v>194</v>
      </c>
      <c r="Q119" s="5" t="s">
        <v>195</v>
      </c>
      <c r="R119" s="5" t="s">
        <v>362</v>
      </c>
      <c r="S119" s="5" t="s">
        <v>211</v>
      </c>
      <c r="T119" s="5" t="s">
        <v>202</v>
      </c>
      <c r="U119" s="5" t="s">
        <v>201</v>
      </c>
      <c r="V119" s="5" t="s">
        <v>199</v>
      </c>
      <c r="W119" s="5" t="s">
        <v>202</v>
      </c>
      <c r="X119" s="5" t="s">
        <v>202</v>
      </c>
      <c r="Y119" s="5" t="s">
        <v>203</v>
      </c>
      <c r="Z119" s="5" t="s">
        <v>202</v>
      </c>
      <c r="AA119" s="5" t="s">
        <v>200</v>
      </c>
      <c r="AB119" s="5" t="s">
        <v>202</v>
      </c>
      <c r="AC119" s="5" t="s">
        <v>201</v>
      </c>
      <c r="AD119" s="5" t="s">
        <v>198</v>
      </c>
      <c r="AE119" s="5" t="s">
        <v>203</v>
      </c>
      <c r="AF119" s="5" t="s">
        <v>203</v>
      </c>
      <c r="AG119" s="5" t="s">
        <v>201</v>
      </c>
      <c r="AH119" s="5" t="s">
        <v>200</v>
      </c>
      <c r="AI119" s="5" t="s">
        <v>689</v>
      </c>
      <c r="AJ119" s="5" t="s">
        <v>206</v>
      </c>
      <c r="AK119" s="5" t="s">
        <v>203</v>
      </c>
      <c r="AL119" s="5" t="s">
        <v>202</v>
      </c>
      <c r="AM119" s="5" t="s">
        <v>201</v>
      </c>
      <c r="AN119" s="5" t="s">
        <v>201</v>
      </c>
      <c r="AO119" s="5" t="s">
        <v>201</v>
      </c>
      <c r="AP119" s="5" t="s">
        <v>200</v>
      </c>
      <c r="AQ119" s="5" t="s">
        <v>690</v>
      </c>
      <c r="AR119" s="5" t="s">
        <v>206</v>
      </c>
      <c r="AS119" s="5" t="s">
        <v>201</v>
      </c>
      <c r="AT119" s="5" t="s">
        <v>201</v>
      </c>
      <c r="AU119" s="5" t="s">
        <v>201</v>
      </c>
      <c r="AV119" s="5" t="s">
        <v>204</v>
      </c>
      <c r="AW119" s="5" t="s">
        <v>204</v>
      </c>
      <c r="AX119" s="5" t="s">
        <v>204</v>
      </c>
      <c r="AY119" s="5" t="s">
        <v>204</v>
      </c>
      <c r="AZ119" s="5" t="s">
        <v>691</v>
      </c>
    </row>
    <row r="120">
      <c r="A120" s="7">
        <v>45869.288194444445</v>
      </c>
      <c r="B120" s="7">
        <v>45869.29722222222</v>
      </c>
      <c r="C120" s="5" t="s">
        <v>99</v>
      </c>
      <c r="D120" s="5" t="s">
        <v>529</v>
      </c>
      <c r="E120" s="8">
        <v>100.0</v>
      </c>
      <c r="F120" s="8">
        <v>784.0</v>
      </c>
      <c r="G120" s="9" t="b">
        <v>1</v>
      </c>
      <c r="H120" s="7">
        <v>45869.29722222222</v>
      </c>
      <c r="I120" s="5" t="s">
        <v>692</v>
      </c>
      <c r="K120" s="10"/>
      <c r="L120" s="10"/>
      <c r="M120" s="10"/>
      <c r="N120" s="8">
        <v>60.1816</v>
      </c>
      <c r="O120" s="8">
        <v>24.8368</v>
      </c>
      <c r="P120" s="5" t="s">
        <v>194</v>
      </c>
      <c r="Q120" s="5" t="s">
        <v>195</v>
      </c>
      <c r="R120" s="5" t="s">
        <v>669</v>
      </c>
      <c r="S120" s="5" t="s">
        <v>216</v>
      </c>
      <c r="T120" s="5" t="s">
        <v>208</v>
      </c>
      <c r="U120" s="5" t="s">
        <v>202</v>
      </c>
      <c r="V120" s="5" t="s">
        <v>199</v>
      </c>
      <c r="W120" s="5" t="s">
        <v>201</v>
      </c>
      <c r="X120" s="5" t="s">
        <v>202</v>
      </c>
      <c r="Y120" s="5" t="s">
        <v>204</v>
      </c>
      <c r="Z120" s="5" t="s">
        <v>201</v>
      </c>
      <c r="AA120" s="5" t="s">
        <v>202</v>
      </c>
      <c r="AB120" s="5" t="s">
        <v>202</v>
      </c>
      <c r="AC120" s="5" t="s">
        <v>202</v>
      </c>
      <c r="AD120" s="5" t="s">
        <v>201</v>
      </c>
      <c r="AE120" s="5" t="s">
        <v>200</v>
      </c>
      <c r="AF120" s="5" t="s">
        <v>204</v>
      </c>
      <c r="AG120" s="5" t="s">
        <v>202</v>
      </c>
      <c r="AH120" s="5" t="s">
        <v>202</v>
      </c>
      <c r="AI120" s="5" t="s">
        <v>693</v>
      </c>
      <c r="AJ120" s="5" t="s">
        <v>206</v>
      </c>
      <c r="AK120" s="5" t="s">
        <v>201</v>
      </c>
      <c r="AL120" s="5" t="s">
        <v>202</v>
      </c>
      <c r="AM120" s="5" t="s">
        <v>201</v>
      </c>
      <c r="AN120" s="5" t="s">
        <v>201</v>
      </c>
      <c r="AO120" s="5" t="s">
        <v>201</v>
      </c>
      <c r="AP120" s="5" t="s">
        <v>202</v>
      </c>
      <c r="AQ120" s="5" t="s">
        <v>694</v>
      </c>
      <c r="AR120" s="5" t="s">
        <v>206</v>
      </c>
      <c r="AS120" s="5" t="s">
        <v>201</v>
      </c>
      <c r="AT120" s="5" t="s">
        <v>201</v>
      </c>
      <c r="AU120" s="5" t="s">
        <v>202</v>
      </c>
      <c r="AV120" s="5" t="s">
        <v>204</v>
      </c>
      <c r="AW120" s="5" t="s">
        <v>204</v>
      </c>
      <c r="AX120" s="5" t="s">
        <v>204</v>
      </c>
      <c r="AY120" s="5" t="s">
        <v>204</v>
      </c>
      <c r="AZ120" s="5" t="s">
        <v>695</v>
      </c>
    </row>
    <row r="121">
      <c r="A121" s="7">
        <v>45869.288194444445</v>
      </c>
      <c r="B121" s="7">
        <v>45869.30069444444</v>
      </c>
      <c r="C121" s="5" t="s">
        <v>99</v>
      </c>
      <c r="D121" s="5" t="s">
        <v>192</v>
      </c>
      <c r="E121" s="8">
        <v>100.0</v>
      </c>
      <c r="F121" s="8">
        <v>1071.0</v>
      </c>
      <c r="G121" s="9" t="b">
        <v>1</v>
      </c>
      <c r="H121" s="7">
        <v>45869.30069444444</v>
      </c>
      <c r="I121" s="5" t="s">
        <v>696</v>
      </c>
      <c r="K121" s="10"/>
      <c r="L121" s="10"/>
      <c r="M121" s="10"/>
      <c r="N121" s="8">
        <v>60.1816</v>
      </c>
      <c r="O121" s="8">
        <v>24.8368</v>
      </c>
      <c r="P121" s="5" t="s">
        <v>194</v>
      </c>
      <c r="Q121" s="5" t="s">
        <v>195</v>
      </c>
      <c r="R121" s="5" t="s">
        <v>679</v>
      </c>
      <c r="S121" s="5" t="s">
        <v>197</v>
      </c>
      <c r="T121" s="5" t="s">
        <v>202</v>
      </c>
      <c r="U121" s="5" t="s">
        <v>208</v>
      </c>
      <c r="V121" s="5" t="s">
        <v>199</v>
      </c>
      <c r="W121" s="5" t="s">
        <v>202</v>
      </c>
      <c r="X121" s="5" t="s">
        <v>202</v>
      </c>
      <c r="Y121" s="5" t="s">
        <v>203</v>
      </c>
      <c r="Z121" s="5" t="s">
        <v>208</v>
      </c>
      <c r="AA121" s="5" t="s">
        <v>200</v>
      </c>
      <c r="AB121" s="5" t="s">
        <v>202</v>
      </c>
      <c r="AC121" s="5" t="s">
        <v>202</v>
      </c>
      <c r="AD121" s="5" t="s">
        <v>198</v>
      </c>
      <c r="AE121" s="5" t="s">
        <v>208</v>
      </c>
      <c r="AF121" s="5" t="s">
        <v>203</v>
      </c>
      <c r="AG121" s="5" t="s">
        <v>200</v>
      </c>
      <c r="AH121" s="5" t="s">
        <v>200</v>
      </c>
      <c r="AI121" s="5" t="s">
        <v>697</v>
      </c>
      <c r="AJ121" s="5" t="s">
        <v>206</v>
      </c>
      <c r="AK121" s="5" t="s">
        <v>202</v>
      </c>
      <c r="AL121" s="5" t="s">
        <v>202</v>
      </c>
      <c r="AM121" s="5" t="s">
        <v>202</v>
      </c>
      <c r="AN121" s="5" t="s">
        <v>198</v>
      </c>
      <c r="AO121" s="5" t="s">
        <v>198</v>
      </c>
      <c r="AP121" s="5" t="s">
        <v>202</v>
      </c>
      <c r="AQ121" s="5" t="s">
        <v>698</v>
      </c>
      <c r="AR121" s="5" t="s">
        <v>206</v>
      </c>
      <c r="AS121" s="5" t="s">
        <v>202</v>
      </c>
      <c r="AT121" s="5" t="s">
        <v>202</v>
      </c>
      <c r="AU121" s="5" t="s">
        <v>202</v>
      </c>
      <c r="AV121" s="5" t="s">
        <v>200</v>
      </c>
      <c r="AW121" s="5" t="s">
        <v>203</v>
      </c>
      <c r="AX121" s="5" t="s">
        <v>200</v>
      </c>
      <c r="AY121" s="5" t="s">
        <v>198</v>
      </c>
      <c r="AZ121" s="5" t="s">
        <v>699</v>
      </c>
    </row>
    <row r="122">
      <c r="A122" s="7">
        <v>45869.30347222222</v>
      </c>
      <c r="B122" s="7">
        <v>45869.30902777778</v>
      </c>
      <c r="C122" s="5" t="s">
        <v>99</v>
      </c>
      <c r="D122" s="5" t="s">
        <v>389</v>
      </c>
      <c r="E122" s="8">
        <v>100.0</v>
      </c>
      <c r="F122" s="8">
        <v>500.0</v>
      </c>
      <c r="G122" s="9" t="b">
        <v>1</v>
      </c>
      <c r="H122" s="7">
        <v>45869.30902777778</v>
      </c>
      <c r="I122" s="5" t="s">
        <v>700</v>
      </c>
      <c r="K122" s="10"/>
      <c r="L122" s="10"/>
      <c r="M122" s="10"/>
      <c r="N122" s="8">
        <v>60.1816</v>
      </c>
      <c r="O122" s="8">
        <v>24.8368</v>
      </c>
      <c r="P122" s="5" t="s">
        <v>194</v>
      </c>
      <c r="Q122" s="5" t="s">
        <v>195</v>
      </c>
      <c r="R122" s="5" t="s">
        <v>679</v>
      </c>
      <c r="S122" s="5" t="s">
        <v>263</v>
      </c>
      <c r="T122" s="5" t="s">
        <v>202</v>
      </c>
      <c r="U122" s="5" t="s">
        <v>198</v>
      </c>
      <c r="V122" s="5" t="s">
        <v>199</v>
      </c>
      <c r="W122" s="5" t="s">
        <v>202</v>
      </c>
      <c r="X122" s="5" t="s">
        <v>202</v>
      </c>
      <c r="Y122" s="5" t="s">
        <v>203</v>
      </c>
      <c r="Z122" s="5" t="s">
        <v>208</v>
      </c>
      <c r="AA122" s="5" t="s">
        <v>202</v>
      </c>
      <c r="AB122" s="5" t="s">
        <v>202</v>
      </c>
      <c r="AC122" s="5" t="s">
        <v>202</v>
      </c>
      <c r="AD122" s="5" t="s">
        <v>202</v>
      </c>
      <c r="AE122" s="5" t="s">
        <v>198</v>
      </c>
      <c r="AF122" s="5" t="s">
        <v>202</v>
      </c>
      <c r="AG122" s="5" t="s">
        <v>202</v>
      </c>
      <c r="AH122" s="5" t="s">
        <v>202</v>
      </c>
      <c r="AI122" s="5" t="s">
        <v>701</v>
      </c>
      <c r="AJ122" s="5" t="s">
        <v>206</v>
      </c>
      <c r="AK122" s="5" t="s">
        <v>202</v>
      </c>
      <c r="AL122" s="5" t="s">
        <v>202</v>
      </c>
      <c r="AM122" s="5" t="s">
        <v>202</v>
      </c>
      <c r="AN122" s="5" t="s">
        <v>198</v>
      </c>
      <c r="AO122" s="5" t="s">
        <v>198</v>
      </c>
      <c r="AP122" s="5" t="s">
        <v>202</v>
      </c>
      <c r="AQ122" s="5" t="s">
        <v>702</v>
      </c>
      <c r="AR122" s="5" t="s">
        <v>206</v>
      </c>
      <c r="AS122" s="5" t="s">
        <v>202</v>
      </c>
      <c r="AT122" s="5" t="s">
        <v>202</v>
      </c>
      <c r="AU122" s="5" t="s">
        <v>202</v>
      </c>
      <c r="AV122" s="5" t="s">
        <v>200</v>
      </c>
      <c r="AW122" s="5" t="s">
        <v>203</v>
      </c>
      <c r="AX122" s="5" t="s">
        <v>200</v>
      </c>
      <c r="AY122" s="5" t="s">
        <v>198</v>
      </c>
      <c r="AZ122" s="5" t="s">
        <v>703</v>
      </c>
    </row>
    <row r="123">
      <c r="A123" s="7">
        <v>45869.30069444444</v>
      </c>
      <c r="B123" s="7">
        <v>45869.31805555556</v>
      </c>
      <c r="C123" s="5" t="s">
        <v>99</v>
      </c>
      <c r="D123" s="5" t="s">
        <v>490</v>
      </c>
      <c r="E123" s="8">
        <v>100.0</v>
      </c>
      <c r="F123" s="8">
        <v>1459.0</v>
      </c>
      <c r="G123" s="9" t="b">
        <v>1</v>
      </c>
      <c r="H123" s="7">
        <v>45869.31805555556</v>
      </c>
      <c r="I123" s="5" t="s">
        <v>704</v>
      </c>
      <c r="K123" s="10"/>
      <c r="L123" s="10"/>
      <c r="M123" s="10"/>
      <c r="N123" s="8">
        <v>60.1816</v>
      </c>
      <c r="O123" s="8">
        <v>24.8368</v>
      </c>
      <c r="P123" s="5" t="s">
        <v>194</v>
      </c>
      <c r="Q123" s="5" t="s">
        <v>195</v>
      </c>
      <c r="R123" s="5" t="s">
        <v>362</v>
      </c>
      <c r="S123" s="5" t="s">
        <v>197</v>
      </c>
      <c r="T123" s="5" t="s">
        <v>202</v>
      </c>
      <c r="U123" s="5" t="s">
        <v>202</v>
      </c>
      <c r="V123" s="5" t="s">
        <v>199</v>
      </c>
      <c r="W123" s="5" t="s">
        <v>202</v>
      </c>
      <c r="X123" s="5" t="s">
        <v>200</v>
      </c>
      <c r="Y123" s="5" t="s">
        <v>202</v>
      </c>
      <c r="Z123" s="5" t="s">
        <v>202</v>
      </c>
      <c r="AA123" s="5" t="s">
        <v>202</v>
      </c>
      <c r="AB123" s="5" t="s">
        <v>201</v>
      </c>
      <c r="AC123" s="5" t="s">
        <v>201</v>
      </c>
      <c r="AD123" s="5" t="s">
        <v>201</v>
      </c>
      <c r="AE123" s="5" t="s">
        <v>203</v>
      </c>
      <c r="AF123" s="5" t="s">
        <v>198</v>
      </c>
      <c r="AG123" s="5" t="s">
        <v>201</v>
      </c>
      <c r="AH123" s="5" t="s">
        <v>200</v>
      </c>
      <c r="AI123" s="5" t="s">
        <v>705</v>
      </c>
      <c r="AJ123" s="5" t="s">
        <v>206</v>
      </c>
      <c r="AK123" s="5" t="s">
        <v>202</v>
      </c>
      <c r="AL123" s="5" t="s">
        <v>202</v>
      </c>
      <c r="AM123" s="5" t="s">
        <v>201</v>
      </c>
      <c r="AN123" s="5" t="s">
        <v>202</v>
      </c>
      <c r="AO123" s="5" t="s">
        <v>202</v>
      </c>
      <c r="AP123" s="5" t="s">
        <v>203</v>
      </c>
      <c r="AQ123" s="5" t="s">
        <v>706</v>
      </c>
      <c r="AR123" s="5" t="s">
        <v>206</v>
      </c>
      <c r="AS123" s="5" t="s">
        <v>201</v>
      </c>
      <c r="AT123" s="5" t="s">
        <v>200</v>
      </c>
      <c r="AU123" s="5" t="s">
        <v>200</v>
      </c>
      <c r="AV123" s="5" t="s">
        <v>208</v>
      </c>
      <c r="AW123" s="5" t="s">
        <v>204</v>
      </c>
      <c r="AX123" s="5" t="s">
        <v>204</v>
      </c>
      <c r="AY123" s="5" t="s">
        <v>198</v>
      </c>
      <c r="AZ123" s="5" t="s">
        <v>707</v>
      </c>
    </row>
    <row r="124">
      <c r="A124" s="7">
        <v>45869.30694444444</v>
      </c>
      <c r="B124" s="7">
        <v>45869.31805555556</v>
      </c>
      <c r="C124" s="5" t="s">
        <v>99</v>
      </c>
      <c r="D124" s="5" t="s">
        <v>529</v>
      </c>
      <c r="E124" s="8">
        <v>100.0</v>
      </c>
      <c r="F124" s="8">
        <v>967.0</v>
      </c>
      <c r="G124" s="9" t="b">
        <v>1</v>
      </c>
      <c r="H124" s="7">
        <v>45869.31805555556</v>
      </c>
      <c r="I124" s="5" t="s">
        <v>708</v>
      </c>
      <c r="K124" s="10"/>
      <c r="L124" s="10"/>
      <c r="M124" s="10"/>
      <c r="N124" s="8">
        <v>60.1816</v>
      </c>
      <c r="O124" s="8">
        <v>24.8368</v>
      </c>
      <c r="P124" s="5" t="s">
        <v>194</v>
      </c>
      <c r="Q124" s="5" t="s">
        <v>195</v>
      </c>
      <c r="R124" s="5" t="s">
        <v>669</v>
      </c>
      <c r="S124" s="5" t="s">
        <v>197</v>
      </c>
      <c r="T124" s="5" t="s">
        <v>201</v>
      </c>
      <c r="U124" s="5" t="s">
        <v>201</v>
      </c>
      <c r="V124" s="5" t="s">
        <v>199</v>
      </c>
      <c r="W124" s="5" t="s">
        <v>198</v>
      </c>
      <c r="X124" s="5" t="s">
        <v>202</v>
      </c>
      <c r="Y124" s="5" t="s">
        <v>201</v>
      </c>
      <c r="Z124" s="5" t="s">
        <v>201</v>
      </c>
      <c r="AA124" s="5" t="s">
        <v>202</v>
      </c>
      <c r="AB124" s="5" t="s">
        <v>202</v>
      </c>
      <c r="AC124" s="5" t="s">
        <v>202</v>
      </c>
      <c r="AD124" s="5" t="s">
        <v>198</v>
      </c>
      <c r="AE124" s="5" t="s">
        <v>202</v>
      </c>
      <c r="AF124" s="5" t="s">
        <v>204</v>
      </c>
      <c r="AG124" s="5" t="s">
        <v>202</v>
      </c>
      <c r="AH124" s="5" t="s">
        <v>200</v>
      </c>
      <c r="AI124" s="5" t="s">
        <v>709</v>
      </c>
      <c r="AJ124" s="5" t="s">
        <v>206</v>
      </c>
      <c r="AK124" s="5" t="s">
        <v>202</v>
      </c>
      <c r="AL124" s="5" t="s">
        <v>202</v>
      </c>
      <c r="AM124" s="5" t="s">
        <v>198</v>
      </c>
      <c r="AN124" s="5" t="s">
        <v>201</v>
      </c>
      <c r="AO124" s="5" t="s">
        <v>201</v>
      </c>
      <c r="AP124" s="5" t="s">
        <v>201</v>
      </c>
      <c r="AQ124" s="5" t="s">
        <v>710</v>
      </c>
      <c r="AR124" s="5" t="s">
        <v>206</v>
      </c>
      <c r="AS124" s="5" t="s">
        <v>201</v>
      </c>
      <c r="AT124" s="5" t="s">
        <v>201</v>
      </c>
      <c r="AU124" s="5" t="s">
        <v>201</v>
      </c>
      <c r="AV124" s="5" t="s">
        <v>204</v>
      </c>
      <c r="AW124" s="5" t="s">
        <v>204</v>
      </c>
      <c r="AX124" s="5" t="s">
        <v>204</v>
      </c>
      <c r="AY124" s="5" t="s">
        <v>204</v>
      </c>
      <c r="AZ124" s="5" t="s">
        <v>711</v>
      </c>
    </row>
    <row r="125">
      <c r="A125" s="7">
        <v>45869.30972222222</v>
      </c>
      <c r="B125" s="7">
        <v>45869.31875</v>
      </c>
      <c r="C125" s="5" t="s">
        <v>99</v>
      </c>
      <c r="D125" s="5" t="s">
        <v>389</v>
      </c>
      <c r="E125" s="8">
        <v>100.0</v>
      </c>
      <c r="F125" s="8">
        <v>813.0</v>
      </c>
      <c r="G125" s="9" t="b">
        <v>1</v>
      </c>
      <c r="H125" s="7">
        <v>45869.31875</v>
      </c>
      <c r="I125" s="5" t="s">
        <v>712</v>
      </c>
      <c r="K125" s="10"/>
      <c r="L125" s="10"/>
      <c r="M125" s="10"/>
      <c r="N125" s="8">
        <v>60.1816</v>
      </c>
      <c r="O125" s="8">
        <v>24.8368</v>
      </c>
      <c r="P125" s="5" t="s">
        <v>194</v>
      </c>
      <c r="Q125" s="5" t="s">
        <v>195</v>
      </c>
      <c r="R125" s="5" t="s">
        <v>679</v>
      </c>
      <c r="S125" s="5" t="s">
        <v>211</v>
      </c>
      <c r="T125" s="5" t="s">
        <v>203</v>
      </c>
      <c r="U125" s="5" t="s">
        <v>208</v>
      </c>
      <c r="V125" s="5" t="s">
        <v>199</v>
      </c>
      <c r="W125" s="5" t="s">
        <v>200</v>
      </c>
      <c r="X125" s="5" t="s">
        <v>202</v>
      </c>
      <c r="Y125" s="5" t="s">
        <v>203</v>
      </c>
      <c r="Z125" s="5" t="s">
        <v>208</v>
      </c>
      <c r="AA125" s="5" t="s">
        <v>200</v>
      </c>
      <c r="AB125" s="5" t="s">
        <v>202</v>
      </c>
      <c r="AC125" s="5" t="s">
        <v>202</v>
      </c>
      <c r="AD125" s="5" t="s">
        <v>200</v>
      </c>
      <c r="AE125" s="5" t="s">
        <v>208</v>
      </c>
      <c r="AF125" s="5" t="s">
        <v>198</v>
      </c>
      <c r="AG125" s="5" t="s">
        <v>202</v>
      </c>
      <c r="AH125" s="5" t="s">
        <v>202</v>
      </c>
      <c r="AI125" s="5" t="s">
        <v>713</v>
      </c>
      <c r="AJ125" s="5" t="s">
        <v>206</v>
      </c>
      <c r="AK125" s="5" t="s">
        <v>202</v>
      </c>
      <c r="AL125" s="5" t="s">
        <v>202</v>
      </c>
      <c r="AM125" s="5" t="s">
        <v>202</v>
      </c>
      <c r="AN125" s="5" t="s">
        <v>200</v>
      </c>
      <c r="AO125" s="5" t="s">
        <v>200</v>
      </c>
      <c r="AP125" s="5" t="s">
        <v>202</v>
      </c>
      <c r="AQ125" s="5" t="s">
        <v>714</v>
      </c>
      <c r="AR125" s="5" t="s">
        <v>206</v>
      </c>
      <c r="AS125" s="5" t="s">
        <v>202</v>
      </c>
      <c r="AT125" s="5" t="s">
        <v>202</v>
      </c>
      <c r="AU125" s="5" t="s">
        <v>200</v>
      </c>
      <c r="AV125" s="5" t="s">
        <v>204</v>
      </c>
      <c r="AW125" s="5" t="s">
        <v>204</v>
      </c>
      <c r="AX125" s="5" t="s">
        <v>204</v>
      </c>
      <c r="AY125" s="5" t="s">
        <v>204</v>
      </c>
      <c r="AZ125" s="5" t="s">
        <v>715</v>
      </c>
    </row>
    <row r="126">
      <c r="A126" s="7">
        <v>45869.40277777778</v>
      </c>
      <c r="B126" s="7">
        <v>45869.41527777778</v>
      </c>
      <c r="C126" s="5" t="s">
        <v>99</v>
      </c>
      <c r="D126" s="5" t="s">
        <v>716</v>
      </c>
      <c r="E126" s="8">
        <v>100.0</v>
      </c>
      <c r="F126" s="8">
        <v>1099.0</v>
      </c>
      <c r="G126" s="9" t="b">
        <v>1</v>
      </c>
      <c r="H126" s="7">
        <v>45869.41527777778</v>
      </c>
      <c r="I126" s="5" t="s">
        <v>717</v>
      </c>
      <c r="K126" s="10"/>
      <c r="L126" s="10"/>
      <c r="M126" s="10"/>
      <c r="N126" s="8">
        <v>60.1872</v>
      </c>
      <c r="O126" s="8">
        <v>24.9585</v>
      </c>
      <c r="P126" s="5" t="s">
        <v>194</v>
      </c>
      <c r="Q126" s="5" t="s">
        <v>195</v>
      </c>
      <c r="R126" s="5" t="s">
        <v>674</v>
      </c>
      <c r="S126" s="5" t="s">
        <v>263</v>
      </c>
      <c r="T126" s="5" t="s">
        <v>202</v>
      </c>
      <c r="U126" s="5" t="s">
        <v>200</v>
      </c>
      <c r="V126" s="5" t="s">
        <v>199</v>
      </c>
      <c r="W126" s="5" t="s">
        <v>203</v>
      </c>
      <c r="X126" s="5" t="s">
        <v>200</v>
      </c>
      <c r="Y126" s="5" t="s">
        <v>200</v>
      </c>
      <c r="Z126" s="5" t="s">
        <v>200</v>
      </c>
      <c r="AA126" s="5" t="s">
        <v>200</v>
      </c>
      <c r="AB126" s="5" t="s">
        <v>203</v>
      </c>
      <c r="AC126" s="5" t="s">
        <v>203</v>
      </c>
      <c r="AD126" s="5" t="s">
        <v>200</v>
      </c>
      <c r="AE126" s="5" t="s">
        <v>208</v>
      </c>
      <c r="AF126" s="5" t="s">
        <v>200</v>
      </c>
      <c r="AG126" s="5" t="s">
        <v>203</v>
      </c>
      <c r="AH126" s="5" t="s">
        <v>202</v>
      </c>
      <c r="AI126" s="5" t="s">
        <v>413</v>
      </c>
      <c r="AJ126" s="5" t="s">
        <v>206</v>
      </c>
      <c r="AK126" s="5" t="s">
        <v>203</v>
      </c>
      <c r="AL126" s="5" t="s">
        <v>200</v>
      </c>
      <c r="AM126" s="5" t="s">
        <v>200</v>
      </c>
      <c r="AN126" s="5" t="s">
        <v>200</v>
      </c>
      <c r="AO126" s="5" t="s">
        <v>200</v>
      </c>
      <c r="AP126" s="5" t="s">
        <v>202</v>
      </c>
      <c r="AQ126" s="5" t="s">
        <v>413</v>
      </c>
      <c r="AR126" s="5" t="s">
        <v>206</v>
      </c>
      <c r="AS126" s="5" t="s">
        <v>200</v>
      </c>
      <c r="AT126" s="5" t="s">
        <v>200</v>
      </c>
      <c r="AU126" s="5" t="s">
        <v>202</v>
      </c>
      <c r="AV126" s="5" t="s">
        <v>204</v>
      </c>
      <c r="AW126" s="5" t="s">
        <v>204</v>
      </c>
      <c r="AX126" s="5" t="s">
        <v>204</v>
      </c>
      <c r="AY126" s="5" t="s">
        <v>204</v>
      </c>
      <c r="AZ126" s="5" t="s">
        <v>413</v>
      </c>
    </row>
  </sheetData>
  <mergeCells count="126">
    <mergeCell ref="I4:J4"/>
    <mergeCell ref="I5:J5"/>
    <mergeCell ref="I6:K6"/>
    <mergeCell ref="I7:K7"/>
    <mergeCell ref="I8:J8"/>
    <mergeCell ref="I9:J9"/>
    <mergeCell ref="I10:J10"/>
    <mergeCell ref="I11:J11"/>
    <mergeCell ref="I12:J12"/>
    <mergeCell ref="I13:J13"/>
    <mergeCell ref="I14:J14"/>
    <mergeCell ref="I15:J15"/>
    <mergeCell ref="I16:J16"/>
    <mergeCell ref="I17:K17"/>
    <mergeCell ref="I18:J18"/>
    <mergeCell ref="I19:J19"/>
    <mergeCell ref="I20:J20"/>
    <mergeCell ref="I21:J21"/>
    <mergeCell ref="I22:K22"/>
    <mergeCell ref="I23:J23"/>
    <mergeCell ref="I24:J24"/>
    <mergeCell ref="I25:J25"/>
    <mergeCell ref="I26:J26"/>
    <mergeCell ref="I27:J27"/>
    <mergeCell ref="I28:J28"/>
    <mergeCell ref="I29:J29"/>
    <mergeCell ref="I30:J30"/>
    <mergeCell ref="I31:J31"/>
    <mergeCell ref="I32:J32"/>
    <mergeCell ref="I33:K33"/>
    <mergeCell ref="I34:J34"/>
    <mergeCell ref="I35:J35"/>
    <mergeCell ref="I36:J36"/>
    <mergeCell ref="I37:J37"/>
    <mergeCell ref="I38:K38"/>
    <mergeCell ref="I39:J39"/>
    <mergeCell ref="I40:J40"/>
    <mergeCell ref="I41:J41"/>
    <mergeCell ref="I42:J42"/>
    <mergeCell ref="I43:J43"/>
    <mergeCell ref="I44:J44"/>
    <mergeCell ref="I45:J45"/>
    <mergeCell ref="I46:J46"/>
    <mergeCell ref="I47:K47"/>
    <mergeCell ref="I48:J48"/>
    <mergeCell ref="I49:J49"/>
    <mergeCell ref="I50:K50"/>
    <mergeCell ref="I51:J51"/>
    <mergeCell ref="I52:J52"/>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4:J104"/>
    <mergeCell ref="I105:J105"/>
    <mergeCell ref="I106:J106"/>
    <mergeCell ref="I107:J107"/>
    <mergeCell ref="I108:K108"/>
    <mergeCell ref="I109:J109"/>
    <mergeCell ref="I110:J110"/>
    <mergeCell ref="I111:J111"/>
    <mergeCell ref="I112:J112"/>
    <mergeCell ref="I113:J113"/>
    <mergeCell ref="I114:J114"/>
    <mergeCell ref="I115:J115"/>
    <mergeCell ref="I116:J116"/>
    <mergeCell ref="I117:J117"/>
    <mergeCell ref="I125:J125"/>
    <mergeCell ref="I126:J126"/>
    <mergeCell ref="I118:K118"/>
    <mergeCell ref="I119:J119"/>
    <mergeCell ref="I120:J120"/>
    <mergeCell ref="I121:J121"/>
    <mergeCell ref="I122:J122"/>
    <mergeCell ref="I123:J123"/>
    <mergeCell ref="I124:J124"/>
    <mergeCell ref="I53:J53"/>
    <mergeCell ref="I54:J54"/>
    <mergeCell ref="I55:J55"/>
    <mergeCell ref="I56:J56"/>
    <mergeCell ref="I57:J57"/>
    <mergeCell ref="I58:J58"/>
    <mergeCell ref="I59:J59"/>
    <mergeCell ref="I60:J60"/>
    <mergeCell ref="I61:J61"/>
    <mergeCell ref="I62:J62"/>
    <mergeCell ref="I63:J63"/>
    <mergeCell ref="I64:J64"/>
    <mergeCell ref="I65:J65"/>
    <mergeCell ref="I66:K66"/>
    <mergeCell ref="AQ80:AR80"/>
    <mergeCell ref="AQ81:AR81"/>
    <mergeCell ref="AQ83:AR83"/>
    <mergeCell ref="I74:J74"/>
    <mergeCell ref="I75:J75"/>
    <mergeCell ref="I76:J76"/>
    <mergeCell ref="I77:J77"/>
    <mergeCell ref="I78:J78"/>
    <mergeCell ref="I79:J79"/>
    <mergeCell ref="I80:J80"/>
    <mergeCell ref="I67:J67"/>
    <mergeCell ref="I68:J68"/>
    <mergeCell ref="I69:J69"/>
    <mergeCell ref="I70:J70"/>
    <mergeCell ref="I71:J71"/>
    <mergeCell ref="I72:J72"/>
    <mergeCell ref="I73:J73"/>
    <mergeCell ref="I81:J81"/>
    <mergeCell ref="I82:J82"/>
    <mergeCell ref="I83:J83"/>
    <mergeCell ref="I84:J84"/>
    <mergeCell ref="I85:J85"/>
    <mergeCell ref="I86:J86"/>
    <mergeCell ref="I87:J87"/>
    <mergeCell ref="I102:J102"/>
    <mergeCell ref="I103:K10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96</v>
      </c>
      <c r="B1" s="5" t="s">
        <v>45</v>
      </c>
      <c r="C1" s="5" t="s">
        <v>46</v>
      </c>
      <c r="D1" s="5" t="s">
        <v>47</v>
      </c>
      <c r="E1" s="5" t="s">
        <v>48</v>
      </c>
      <c r="F1" s="5" t="s">
        <v>49</v>
      </c>
      <c r="G1" s="5" t="s">
        <v>50</v>
      </c>
      <c r="H1" s="5" t="s">
        <v>51</v>
      </c>
      <c r="I1" s="5" t="s">
        <v>52</v>
      </c>
      <c r="J1" s="5" t="s">
        <v>53</v>
      </c>
      <c r="K1" s="5" t="s">
        <v>54</v>
      </c>
      <c r="L1" s="5" t="s">
        <v>55</v>
      </c>
      <c r="M1" s="5" t="s">
        <v>56</v>
      </c>
      <c r="N1" s="5" t="s">
        <v>57</v>
      </c>
      <c r="O1" s="5" t="s">
        <v>58</v>
      </c>
      <c r="P1" s="5" t="s">
        <v>59</v>
      </c>
      <c r="Q1" s="5" t="s">
        <v>60</v>
      </c>
      <c r="R1" s="5" t="s">
        <v>61</v>
      </c>
      <c r="S1" s="5" t="s">
        <v>62</v>
      </c>
      <c r="T1" s="5" t="s">
        <v>63</v>
      </c>
      <c r="U1" s="5" t="s">
        <v>64</v>
      </c>
      <c r="V1" s="5" t="s">
        <v>65</v>
      </c>
      <c r="W1" s="5" t="s">
        <v>66</v>
      </c>
      <c r="X1" s="5"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83</v>
      </c>
      <c r="AO1" s="5" t="s">
        <v>84</v>
      </c>
      <c r="AP1" s="5" t="s">
        <v>85</v>
      </c>
      <c r="AQ1" s="5" t="s">
        <v>86</v>
      </c>
      <c r="AR1" s="5" t="s">
        <v>87</v>
      </c>
      <c r="AS1" s="5" t="s">
        <v>88</v>
      </c>
      <c r="AT1" s="5" t="s">
        <v>89</v>
      </c>
      <c r="AU1" s="5" t="s">
        <v>90</v>
      </c>
      <c r="AV1" s="5" t="s">
        <v>91</v>
      </c>
      <c r="AW1" s="5" t="s">
        <v>92</v>
      </c>
      <c r="AX1" s="5" t="s">
        <v>93</v>
      </c>
      <c r="AY1" s="5" t="s">
        <v>94</v>
      </c>
      <c r="AZ1" s="5" t="s">
        <v>95</v>
      </c>
    </row>
    <row r="2">
      <c r="A2" s="7">
        <v>45866.16388888889</v>
      </c>
      <c r="B2" s="7">
        <v>45866.16875</v>
      </c>
      <c r="C2" s="5" t="s">
        <v>99</v>
      </c>
      <c r="D2" s="5" t="s">
        <v>192</v>
      </c>
      <c r="E2" s="8">
        <v>100.0</v>
      </c>
      <c r="F2" s="8">
        <v>459.0</v>
      </c>
      <c r="G2" s="9" t="b">
        <v>1</v>
      </c>
      <c r="H2" s="7">
        <v>45866.16875</v>
      </c>
      <c r="I2" s="5" t="s">
        <v>193</v>
      </c>
      <c r="K2" s="10"/>
      <c r="L2" s="10"/>
      <c r="M2" s="10"/>
      <c r="N2" s="8">
        <v>60.1816</v>
      </c>
      <c r="O2" s="8">
        <v>24.8368</v>
      </c>
      <c r="P2" s="5" t="s">
        <v>194</v>
      </c>
      <c r="Q2" s="5" t="s">
        <v>195</v>
      </c>
      <c r="R2" s="5" t="s">
        <v>196</v>
      </c>
      <c r="S2" s="5" t="s">
        <v>197</v>
      </c>
      <c r="T2" s="5" t="s">
        <v>198</v>
      </c>
      <c r="U2" s="5" t="s">
        <v>198</v>
      </c>
      <c r="V2" s="5" t="s">
        <v>199</v>
      </c>
      <c r="W2" s="5" t="s">
        <v>200</v>
      </c>
      <c r="X2" s="5" t="s">
        <v>201</v>
      </c>
      <c r="Y2" s="5" t="s">
        <v>202</v>
      </c>
      <c r="Z2" s="5" t="s">
        <v>203</v>
      </c>
      <c r="AA2" s="5" t="s">
        <v>198</v>
      </c>
      <c r="AB2" s="5" t="s">
        <v>198</v>
      </c>
      <c r="AC2" s="5" t="s">
        <v>200</v>
      </c>
      <c r="AD2" s="5" t="s">
        <v>201</v>
      </c>
      <c r="AE2" s="5" t="s">
        <v>204</v>
      </c>
      <c r="AF2" s="5" t="s">
        <v>198</v>
      </c>
      <c r="AG2" s="5" t="s">
        <v>200</v>
      </c>
      <c r="AH2" s="5" t="s">
        <v>202</v>
      </c>
      <c r="AI2" s="6" t="s">
        <v>205</v>
      </c>
      <c r="AJ2" s="5" t="s">
        <v>206</v>
      </c>
      <c r="AK2" s="5" t="s">
        <v>200</v>
      </c>
      <c r="AL2" s="5" t="s">
        <v>202</v>
      </c>
      <c r="AM2" s="5" t="s">
        <v>200</v>
      </c>
      <c r="AN2" s="5" t="s">
        <v>201</v>
      </c>
      <c r="AO2" s="5" t="s">
        <v>200</v>
      </c>
      <c r="AP2" s="5" t="s">
        <v>201</v>
      </c>
      <c r="AQ2" s="5" t="s">
        <v>207</v>
      </c>
      <c r="AR2" s="5" t="s">
        <v>206</v>
      </c>
      <c r="AS2" s="5" t="s">
        <v>200</v>
      </c>
      <c r="AT2" s="5" t="s">
        <v>208</v>
      </c>
      <c r="AU2" s="5" t="s">
        <v>200</v>
      </c>
      <c r="AV2" s="5" t="s">
        <v>200</v>
      </c>
      <c r="AW2" s="5" t="s">
        <v>200</v>
      </c>
      <c r="AX2" s="5" t="s">
        <v>200</v>
      </c>
      <c r="AY2" s="5" t="s">
        <v>208</v>
      </c>
      <c r="AZ2" s="5" t="s">
        <v>209</v>
      </c>
    </row>
    <row r="3">
      <c r="A3" s="7">
        <v>45866.17361111111</v>
      </c>
      <c r="B3" s="7">
        <v>45866.17847222222</v>
      </c>
      <c r="C3" s="5" t="s">
        <v>99</v>
      </c>
      <c r="D3" s="5" t="s">
        <v>192</v>
      </c>
      <c r="E3" s="8">
        <v>100.0</v>
      </c>
      <c r="F3" s="8">
        <v>411.0</v>
      </c>
      <c r="G3" s="9" t="b">
        <v>1</v>
      </c>
      <c r="H3" s="7">
        <v>45866.17847222222</v>
      </c>
      <c r="I3" s="5" t="s">
        <v>210</v>
      </c>
      <c r="K3" s="10"/>
      <c r="L3" s="10"/>
      <c r="M3" s="10"/>
      <c r="N3" s="8">
        <v>60.1816</v>
      </c>
      <c r="O3" s="8">
        <v>24.8368</v>
      </c>
      <c r="P3" s="5" t="s">
        <v>194</v>
      </c>
      <c r="Q3" s="5" t="s">
        <v>195</v>
      </c>
      <c r="R3" s="5" t="s">
        <v>196</v>
      </c>
      <c r="S3" s="5" t="s">
        <v>211</v>
      </c>
      <c r="T3" s="5" t="s">
        <v>198</v>
      </c>
      <c r="U3" s="5" t="s">
        <v>204</v>
      </c>
      <c r="V3" s="5" t="s">
        <v>199</v>
      </c>
      <c r="W3" s="5" t="s">
        <v>198</v>
      </c>
      <c r="X3" s="5" t="s">
        <v>200</v>
      </c>
      <c r="Y3" s="5" t="s">
        <v>200</v>
      </c>
      <c r="Z3" s="5" t="s">
        <v>208</v>
      </c>
      <c r="AA3" s="5" t="s">
        <v>198</v>
      </c>
      <c r="AB3" s="5" t="s">
        <v>198</v>
      </c>
      <c r="AC3" s="5" t="s">
        <v>198</v>
      </c>
      <c r="AD3" s="5" t="s">
        <v>204</v>
      </c>
      <c r="AE3" s="5" t="s">
        <v>200</v>
      </c>
      <c r="AF3" s="5" t="s">
        <v>204</v>
      </c>
      <c r="AG3" s="5" t="s">
        <v>198</v>
      </c>
      <c r="AH3" s="5" t="s">
        <v>202</v>
      </c>
      <c r="AI3" s="5" t="s">
        <v>212</v>
      </c>
      <c r="AJ3" s="5" t="s">
        <v>206</v>
      </c>
      <c r="AK3" s="5" t="s">
        <v>208</v>
      </c>
      <c r="AL3" s="5" t="s">
        <v>208</v>
      </c>
      <c r="AM3" s="5" t="s">
        <v>208</v>
      </c>
      <c r="AN3" s="5" t="s">
        <v>200</v>
      </c>
      <c r="AO3" s="5" t="s">
        <v>198</v>
      </c>
      <c r="AP3" s="5" t="s">
        <v>201</v>
      </c>
      <c r="AQ3" s="5" t="s">
        <v>213</v>
      </c>
      <c r="AR3" s="5" t="s">
        <v>206</v>
      </c>
      <c r="AS3" s="5" t="s">
        <v>200</v>
      </c>
      <c r="AT3" s="5" t="s">
        <v>201</v>
      </c>
      <c r="AU3" s="5" t="s">
        <v>200</v>
      </c>
      <c r="AV3" s="5" t="s">
        <v>208</v>
      </c>
      <c r="AW3" s="5" t="s">
        <v>208</v>
      </c>
      <c r="AX3" s="5" t="s">
        <v>204</v>
      </c>
      <c r="AY3" s="5" t="s">
        <v>208</v>
      </c>
      <c r="AZ3" s="5" t="s">
        <v>214</v>
      </c>
    </row>
    <row r="4">
      <c r="A4" s="7">
        <v>45866.183333333334</v>
      </c>
      <c r="B4" s="7">
        <v>45866.1875</v>
      </c>
      <c r="C4" s="5" t="s">
        <v>99</v>
      </c>
      <c r="D4" s="5" t="s">
        <v>192</v>
      </c>
      <c r="E4" s="8">
        <v>100.0</v>
      </c>
      <c r="F4" s="8">
        <v>357.0</v>
      </c>
      <c r="G4" s="9" t="b">
        <v>1</v>
      </c>
      <c r="H4" s="7">
        <v>45866.1875</v>
      </c>
      <c r="I4" s="5" t="s">
        <v>215</v>
      </c>
      <c r="L4" s="10"/>
      <c r="M4" s="10"/>
      <c r="N4" s="8">
        <v>60.1816</v>
      </c>
      <c r="O4" s="8">
        <v>24.8368</v>
      </c>
      <c r="P4" s="5" t="s">
        <v>194</v>
      </c>
      <c r="Q4" s="5" t="s">
        <v>195</v>
      </c>
      <c r="R4" s="5" t="s">
        <v>196</v>
      </c>
      <c r="S4" s="5" t="s">
        <v>216</v>
      </c>
      <c r="T4" s="5" t="s">
        <v>201</v>
      </c>
      <c r="U4" s="5" t="s">
        <v>202</v>
      </c>
      <c r="V4" s="5" t="s">
        <v>199</v>
      </c>
      <c r="W4" s="5" t="s">
        <v>202</v>
      </c>
      <c r="X4" s="5" t="s">
        <v>202</v>
      </c>
      <c r="Y4" s="5" t="s">
        <v>203</v>
      </c>
      <c r="Z4" s="5" t="s">
        <v>198</v>
      </c>
      <c r="AA4" s="5" t="s">
        <v>200</v>
      </c>
      <c r="AB4" s="5" t="s">
        <v>200</v>
      </c>
      <c r="AC4" s="5" t="s">
        <v>200</v>
      </c>
      <c r="AD4" s="5" t="s">
        <v>200</v>
      </c>
      <c r="AE4" s="5" t="s">
        <v>198</v>
      </c>
      <c r="AF4" s="5" t="s">
        <v>200</v>
      </c>
      <c r="AG4" s="5" t="s">
        <v>200</v>
      </c>
      <c r="AH4" s="5" t="s">
        <v>202</v>
      </c>
      <c r="AI4" s="6" t="s">
        <v>217</v>
      </c>
      <c r="AJ4" s="5" t="s">
        <v>206</v>
      </c>
      <c r="AK4" s="5" t="s">
        <v>202</v>
      </c>
      <c r="AL4" s="5" t="s">
        <v>200</v>
      </c>
      <c r="AM4" s="5" t="s">
        <v>202</v>
      </c>
      <c r="AN4" s="5" t="s">
        <v>201</v>
      </c>
      <c r="AO4" s="5" t="s">
        <v>202</v>
      </c>
      <c r="AP4" s="5" t="s">
        <v>201</v>
      </c>
      <c r="AQ4" s="5" t="s">
        <v>218</v>
      </c>
      <c r="AR4" s="5" t="s">
        <v>206</v>
      </c>
      <c r="AS4" s="5" t="s">
        <v>202</v>
      </c>
      <c r="AT4" s="5" t="s">
        <v>202</v>
      </c>
      <c r="AU4" s="5" t="s">
        <v>201</v>
      </c>
      <c r="AV4" s="5" t="s">
        <v>208</v>
      </c>
      <c r="AW4" s="5" t="s">
        <v>198</v>
      </c>
      <c r="AX4" s="5" t="s">
        <v>208</v>
      </c>
      <c r="AY4" s="5" t="s">
        <v>198</v>
      </c>
      <c r="AZ4" s="5" t="s">
        <v>219</v>
      </c>
    </row>
    <row r="5">
      <c r="A5" s="7">
        <v>45866.25</v>
      </c>
      <c r="B5" s="7">
        <v>45866.260416666664</v>
      </c>
      <c r="C5" s="5" t="s">
        <v>99</v>
      </c>
      <c r="D5" s="5" t="s">
        <v>192</v>
      </c>
      <c r="E5" s="8">
        <v>100.0</v>
      </c>
      <c r="F5" s="8">
        <v>913.0</v>
      </c>
      <c r="G5" s="9" t="b">
        <v>1</v>
      </c>
      <c r="H5" s="7">
        <v>45866.260416666664</v>
      </c>
      <c r="I5" s="5" t="s">
        <v>220</v>
      </c>
      <c r="L5" s="10"/>
      <c r="M5" s="10"/>
      <c r="N5" s="8">
        <v>60.1816</v>
      </c>
      <c r="O5" s="8">
        <v>24.8368</v>
      </c>
      <c r="P5" s="5" t="s">
        <v>194</v>
      </c>
      <c r="Q5" s="5" t="s">
        <v>195</v>
      </c>
      <c r="R5" s="5" t="s">
        <v>221</v>
      </c>
      <c r="S5" s="5" t="s">
        <v>211</v>
      </c>
      <c r="T5" s="5" t="s">
        <v>204</v>
      </c>
      <c r="U5" s="5" t="s">
        <v>204</v>
      </c>
      <c r="V5" s="5" t="s">
        <v>199</v>
      </c>
      <c r="W5" s="5" t="s">
        <v>201</v>
      </c>
      <c r="X5" s="5" t="s">
        <v>203</v>
      </c>
      <c r="Y5" s="5" t="s">
        <v>204</v>
      </c>
      <c r="Z5" s="5" t="s">
        <v>204</v>
      </c>
      <c r="AA5" s="5" t="s">
        <v>204</v>
      </c>
      <c r="AB5" s="5" t="s">
        <v>208</v>
      </c>
      <c r="AC5" s="5" t="s">
        <v>201</v>
      </c>
      <c r="AD5" s="5" t="s">
        <v>202</v>
      </c>
      <c r="AE5" s="5" t="s">
        <v>204</v>
      </c>
      <c r="AF5" s="5" t="s">
        <v>204</v>
      </c>
      <c r="AG5" s="5" t="s">
        <v>203</v>
      </c>
      <c r="AH5" s="5" t="s">
        <v>201</v>
      </c>
      <c r="AI5" s="5" t="s">
        <v>222</v>
      </c>
      <c r="AJ5" s="5" t="s">
        <v>206</v>
      </c>
      <c r="AK5" s="5" t="s">
        <v>204</v>
      </c>
      <c r="AL5" s="5" t="s">
        <v>200</v>
      </c>
      <c r="AM5" s="5" t="s">
        <v>203</v>
      </c>
      <c r="AN5" s="5" t="s">
        <v>200</v>
      </c>
      <c r="AO5" s="5" t="s">
        <v>200</v>
      </c>
      <c r="AP5" s="5" t="s">
        <v>201</v>
      </c>
      <c r="AQ5" s="5" t="s">
        <v>223</v>
      </c>
      <c r="AR5" s="5" t="s">
        <v>206</v>
      </c>
      <c r="AS5" s="5" t="s">
        <v>204</v>
      </c>
      <c r="AT5" s="5" t="s">
        <v>201</v>
      </c>
      <c r="AU5" s="5" t="s">
        <v>203</v>
      </c>
      <c r="AV5" s="5" t="s">
        <v>204</v>
      </c>
      <c r="AW5" s="5" t="s">
        <v>204</v>
      </c>
      <c r="AX5" s="5" t="s">
        <v>204</v>
      </c>
      <c r="AY5" s="5" t="s">
        <v>204</v>
      </c>
      <c r="AZ5" s="5" t="s">
        <v>224</v>
      </c>
    </row>
    <row r="6">
      <c r="A6" s="7">
        <v>45866.26666666667</v>
      </c>
      <c r="B6" s="7">
        <v>45866.27291666667</v>
      </c>
      <c r="C6" s="5" t="s">
        <v>99</v>
      </c>
      <c r="D6" s="5" t="s">
        <v>192</v>
      </c>
      <c r="E6" s="8">
        <v>100.0</v>
      </c>
      <c r="F6" s="8">
        <v>512.0</v>
      </c>
      <c r="G6" s="9" t="b">
        <v>1</v>
      </c>
      <c r="H6" s="7">
        <v>45866.27291666667</v>
      </c>
      <c r="I6" s="5" t="s">
        <v>225</v>
      </c>
      <c r="K6" s="10"/>
      <c r="L6" s="10"/>
      <c r="M6" s="10"/>
      <c r="N6" s="8">
        <v>60.1816</v>
      </c>
      <c r="O6" s="8">
        <v>24.8368</v>
      </c>
      <c r="P6" s="5" t="s">
        <v>194</v>
      </c>
      <c r="Q6" s="5" t="s">
        <v>195</v>
      </c>
      <c r="R6" s="5" t="s">
        <v>221</v>
      </c>
      <c r="S6" s="5" t="s">
        <v>216</v>
      </c>
      <c r="T6" s="5" t="s">
        <v>200</v>
      </c>
      <c r="U6" s="5" t="s">
        <v>204</v>
      </c>
      <c r="V6" s="5" t="s">
        <v>199</v>
      </c>
      <c r="W6" s="5" t="s">
        <v>201</v>
      </c>
      <c r="X6" s="5" t="s">
        <v>203</v>
      </c>
      <c r="Y6" s="5" t="s">
        <v>201</v>
      </c>
      <c r="Z6" s="5" t="s">
        <v>204</v>
      </c>
      <c r="AA6" s="5" t="s">
        <v>204</v>
      </c>
      <c r="AB6" s="5" t="s">
        <v>200</v>
      </c>
      <c r="AC6" s="5" t="s">
        <v>201</v>
      </c>
      <c r="AD6" s="5" t="s">
        <v>204</v>
      </c>
      <c r="AE6" s="5" t="s">
        <v>204</v>
      </c>
      <c r="AF6" s="5" t="s">
        <v>204</v>
      </c>
      <c r="AG6" s="5" t="s">
        <v>203</v>
      </c>
      <c r="AH6" s="5" t="s">
        <v>201</v>
      </c>
      <c r="AI6" s="5" t="s">
        <v>226</v>
      </c>
      <c r="AJ6" s="5" t="s">
        <v>206</v>
      </c>
      <c r="AK6" s="5" t="s">
        <v>204</v>
      </c>
      <c r="AL6" s="5" t="s">
        <v>201</v>
      </c>
      <c r="AM6" s="5" t="s">
        <v>200</v>
      </c>
      <c r="AN6" s="5" t="s">
        <v>201</v>
      </c>
      <c r="AO6" s="5" t="s">
        <v>201</v>
      </c>
      <c r="AP6" s="5" t="s">
        <v>201</v>
      </c>
      <c r="AQ6" s="5" t="s">
        <v>227</v>
      </c>
      <c r="AR6" s="5" t="s">
        <v>206</v>
      </c>
      <c r="AS6" s="5" t="s">
        <v>200</v>
      </c>
      <c r="AT6" s="5" t="s">
        <v>204</v>
      </c>
      <c r="AU6" s="5" t="s">
        <v>200</v>
      </c>
      <c r="AV6" s="5" t="s">
        <v>201</v>
      </c>
      <c r="AW6" s="5" t="s">
        <v>203</v>
      </c>
      <c r="AX6" s="5" t="s">
        <v>200</v>
      </c>
      <c r="AY6" s="5" t="s">
        <v>200</v>
      </c>
      <c r="AZ6" s="5" t="s">
        <v>228</v>
      </c>
    </row>
    <row r="7">
      <c r="A7" s="7">
        <v>45866.28055555555</v>
      </c>
      <c r="B7" s="7">
        <v>45866.28472222222</v>
      </c>
      <c r="C7" s="5" t="s">
        <v>99</v>
      </c>
      <c r="D7" s="5" t="s">
        <v>192</v>
      </c>
      <c r="E7" s="8">
        <v>100.0</v>
      </c>
      <c r="F7" s="8">
        <v>378.0</v>
      </c>
      <c r="G7" s="9" t="b">
        <v>1</v>
      </c>
      <c r="H7" s="7">
        <v>45866.28472222222</v>
      </c>
      <c r="I7" s="5" t="s">
        <v>229</v>
      </c>
      <c r="K7" s="10"/>
      <c r="L7" s="10"/>
      <c r="M7" s="10"/>
      <c r="N7" s="8">
        <v>60.1816</v>
      </c>
      <c r="O7" s="8">
        <v>24.8368</v>
      </c>
      <c r="P7" s="5" t="s">
        <v>194</v>
      </c>
      <c r="Q7" s="5" t="s">
        <v>195</v>
      </c>
      <c r="R7" s="5" t="s">
        <v>221</v>
      </c>
      <c r="S7" s="5" t="s">
        <v>197</v>
      </c>
      <c r="T7" s="5" t="s">
        <v>204</v>
      </c>
      <c r="U7" s="5" t="s">
        <v>204</v>
      </c>
      <c r="V7" s="5" t="s">
        <v>199</v>
      </c>
      <c r="W7" s="5" t="s">
        <v>198</v>
      </c>
      <c r="X7" s="5" t="s">
        <v>203</v>
      </c>
      <c r="Y7" s="5" t="s">
        <v>201</v>
      </c>
      <c r="Z7" s="5" t="s">
        <v>204</v>
      </c>
      <c r="AA7" s="5" t="s">
        <v>204</v>
      </c>
      <c r="AB7" s="5" t="s">
        <v>201</v>
      </c>
      <c r="AC7" s="5" t="s">
        <v>203</v>
      </c>
      <c r="AD7" s="5" t="s">
        <v>198</v>
      </c>
      <c r="AE7" s="5" t="s">
        <v>204</v>
      </c>
      <c r="AF7" s="5" t="s">
        <v>204</v>
      </c>
      <c r="AG7" s="5" t="s">
        <v>201</v>
      </c>
      <c r="AH7" s="5" t="s">
        <v>201</v>
      </c>
      <c r="AI7" s="11" t="s">
        <v>230</v>
      </c>
      <c r="AJ7" s="5" t="s">
        <v>206</v>
      </c>
      <c r="AK7" s="5" t="s">
        <v>204</v>
      </c>
      <c r="AL7" s="5" t="s">
        <v>203</v>
      </c>
      <c r="AM7" s="5" t="s">
        <v>204</v>
      </c>
      <c r="AN7" s="5" t="s">
        <v>200</v>
      </c>
      <c r="AO7" s="5" t="s">
        <v>204</v>
      </c>
      <c r="AP7" s="5" t="s">
        <v>208</v>
      </c>
      <c r="AQ7" s="5" t="s">
        <v>231</v>
      </c>
      <c r="AR7" s="5" t="s">
        <v>206</v>
      </c>
      <c r="AS7" s="5" t="s">
        <v>204</v>
      </c>
      <c r="AT7" s="5" t="s">
        <v>203</v>
      </c>
      <c r="AU7" s="5" t="s">
        <v>200</v>
      </c>
      <c r="AV7" s="5" t="s">
        <v>204</v>
      </c>
      <c r="AW7" s="5" t="s">
        <v>204</v>
      </c>
      <c r="AX7" s="5" t="s">
        <v>203</v>
      </c>
      <c r="AY7" s="5" t="s">
        <v>204</v>
      </c>
      <c r="AZ7" s="11" t="s">
        <v>232</v>
      </c>
    </row>
    <row r="8">
      <c r="A8" s="7">
        <v>45866.288194444445</v>
      </c>
      <c r="B8" s="7">
        <v>45866.290972222225</v>
      </c>
      <c r="C8" s="5" t="s">
        <v>99</v>
      </c>
      <c r="D8" s="5" t="s">
        <v>192</v>
      </c>
      <c r="E8" s="8">
        <v>100.0</v>
      </c>
      <c r="F8" s="8">
        <v>237.0</v>
      </c>
      <c r="G8" s="9" t="b">
        <v>1</v>
      </c>
      <c r="H8" s="7">
        <v>45866.290972222225</v>
      </c>
      <c r="I8" s="5" t="s">
        <v>233</v>
      </c>
      <c r="K8" s="10"/>
      <c r="L8" s="10"/>
      <c r="M8" s="10"/>
      <c r="N8" s="8">
        <v>60.1816</v>
      </c>
      <c r="O8" s="8">
        <v>24.8368</v>
      </c>
      <c r="P8" s="5" t="s">
        <v>194</v>
      </c>
      <c r="Q8" s="5" t="s">
        <v>195</v>
      </c>
      <c r="R8" s="5" t="s">
        <v>221</v>
      </c>
      <c r="S8" s="5" t="s">
        <v>216</v>
      </c>
      <c r="T8" s="5" t="s">
        <v>204</v>
      </c>
      <c r="U8" s="5" t="s">
        <v>204</v>
      </c>
      <c r="V8" s="5" t="s">
        <v>199</v>
      </c>
      <c r="W8" s="5" t="s">
        <v>201</v>
      </c>
      <c r="X8" s="5" t="s">
        <v>204</v>
      </c>
      <c r="Y8" s="5" t="s">
        <v>204</v>
      </c>
      <c r="Z8" s="5" t="s">
        <v>204</v>
      </c>
      <c r="AA8" s="5" t="s">
        <v>204</v>
      </c>
      <c r="AB8" s="5" t="s">
        <v>201</v>
      </c>
      <c r="AC8" s="5" t="s">
        <v>201</v>
      </c>
      <c r="AD8" s="5" t="s">
        <v>204</v>
      </c>
      <c r="AE8" s="5" t="s">
        <v>204</v>
      </c>
      <c r="AF8" s="5" t="s">
        <v>204</v>
      </c>
      <c r="AG8" s="5" t="s">
        <v>201</v>
      </c>
      <c r="AH8" s="5" t="s">
        <v>201</v>
      </c>
      <c r="AI8" s="5" t="s">
        <v>234</v>
      </c>
      <c r="AJ8" s="5" t="s">
        <v>206</v>
      </c>
      <c r="AK8" s="5" t="s">
        <v>204</v>
      </c>
      <c r="AL8" s="5" t="s">
        <v>201</v>
      </c>
      <c r="AM8" s="5" t="s">
        <v>204</v>
      </c>
      <c r="AN8" s="5" t="s">
        <v>204</v>
      </c>
      <c r="AO8" s="5" t="s">
        <v>204</v>
      </c>
      <c r="AP8" s="5" t="s">
        <v>208</v>
      </c>
      <c r="AQ8" s="5" t="s">
        <v>235</v>
      </c>
      <c r="AR8" s="5" t="s">
        <v>206</v>
      </c>
      <c r="AS8" s="5" t="s">
        <v>204</v>
      </c>
      <c r="AT8" s="5" t="s">
        <v>204</v>
      </c>
      <c r="AU8" s="5" t="s">
        <v>204</v>
      </c>
      <c r="AV8" s="5" t="s">
        <v>203</v>
      </c>
      <c r="AW8" s="5" t="s">
        <v>203</v>
      </c>
      <c r="AX8" s="5" t="s">
        <v>203</v>
      </c>
      <c r="AY8" s="5" t="s">
        <v>203</v>
      </c>
      <c r="AZ8" s="5" t="s">
        <v>236</v>
      </c>
    </row>
    <row r="9">
      <c r="A9" s="7">
        <v>45866.28958333333</v>
      </c>
      <c r="B9" s="7">
        <v>45866.3125</v>
      </c>
      <c r="C9" s="5" t="s">
        <v>99</v>
      </c>
      <c r="D9" s="5" t="s">
        <v>237</v>
      </c>
      <c r="E9" s="8">
        <v>100.0</v>
      </c>
      <c r="F9" s="8">
        <v>1957.0</v>
      </c>
      <c r="G9" s="9" t="b">
        <v>1</v>
      </c>
      <c r="H9" s="7">
        <v>45866.3125</v>
      </c>
      <c r="I9" s="5" t="s">
        <v>238</v>
      </c>
      <c r="K9" s="10"/>
      <c r="L9" s="10"/>
      <c r="M9" s="10"/>
      <c r="N9" s="8">
        <v>60.2498</v>
      </c>
      <c r="O9" s="8">
        <v>24.9939</v>
      </c>
      <c r="P9" s="5" t="s">
        <v>194</v>
      </c>
      <c r="Q9" s="5" t="s">
        <v>195</v>
      </c>
      <c r="R9" s="5" t="s">
        <v>239</v>
      </c>
      <c r="S9" s="5" t="s">
        <v>216</v>
      </c>
      <c r="T9" s="5" t="s">
        <v>202</v>
      </c>
      <c r="U9" s="5" t="s">
        <v>200</v>
      </c>
      <c r="V9" s="5" t="s">
        <v>199</v>
      </c>
      <c r="W9" s="5" t="s">
        <v>201</v>
      </c>
      <c r="X9" s="5" t="s">
        <v>200</v>
      </c>
      <c r="Y9" s="5" t="s">
        <v>201</v>
      </c>
      <c r="Z9" s="5" t="s">
        <v>198</v>
      </c>
      <c r="AA9" s="5" t="s">
        <v>198</v>
      </c>
      <c r="AB9" s="5" t="s">
        <v>200</v>
      </c>
      <c r="AC9" s="5" t="s">
        <v>200</v>
      </c>
      <c r="AD9" s="5" t="s">
        <v>201</v>
      </c>
      <c r="AE9" s="5" t="s">
        <v>198</v>
      </c>
      <c r="AF9" s="5" t="s">
        <v>201</v>
      </c>
      <c r="AG9" s="5" t="s">
        <v>202</v>
      </c>
      <c r="AH9" s="5" t="s">
        <v>198</v>
      </c>
      <c r="AI9" s="5" t="s">
        <v>240</v>
      </c>
      <c r="AJ9" s="5" t="s">
        <v>206</v>
      </c>
      <c r="AK9" s="5" t="s">
        <v>200</v>
      </c>
      <c r="AL9" s="5" t="s">
        <v>201</v>
      </c>
      <c r="AM9" s="5" t="s">
        <v>201</v>
      </c>
      <c r="AN9" s="5" t="s">
        <v>200</v>
      </c>
      <c r="AO9" s="5" t="s">
        <v>201</v>
      </c>
      <c r="AP9" s="5" t="s">
        <v>201</v>
      </c>
      <c r="AQ9" s="5" t="s">
        <v>241</v>
      </c>
      <c r="AR9" s="5" t="s">
        <v>206</v>
      </c>
      <c r="AS9" s="5" t="s">
        <v>202</v>
      </c>
      <c r="AT9" s="5" t="s">
        <v>201</v>
      </c>
      <c r="AU9" s="5" t="s">
        <v>201</v>
      </c>
      <c r="AV9" s="5" t="s">
        <v>204</v>
      </c>
      <c r="AW9" s="5" t="s">
        <v>204</v>
      </c>
      <c r="AX9" s="5" t="s">
        <v>204</v>
      </c>
      <c r="AY9" s="5" t="s">
        <v>204</v>
      </c>
      <c r="AZ9" s="5" t="s">
        <v>242</v>
      </c>
    </row>
    <row r="10">
      <c r="A10" s="7">
        <v>45866.302777777775</v>
      </c>
      <c r="B10" s="7">
        <v>45866.3125</v>
      </c>
      <c r="C10" s="5" t="s">
        <v>99</v>
      </c>
      <c r="D10" s="5" t="s">
        <v>192</v>
      </c>
      <c r="E10" s="8">
        <v>100.0</v>
      </c>
      <c r="F10" s="8">
        <v>822.0</v>
      </c>
      <c r="G10" s="9" t="b">
        <v>1</v>
      </c>
      <c r="H10" s="7">
        <v>45866.3125</v>
      </c>
      <c r="I10" s="5" t="s">
        <v>243</v>
      </c>
      <c r="K10" s="10"/>
      <c r="L10" s="10"/>
      <c r="M10" s="10"/>
      <c r="N10" s="8">
        <v>60.1816</v>
      </c>
      <c r="O10" s="8">
        <v>24.8368</v>
      </c>
      <c r="P10" s="5" t="s">
        <v>194</v>
      </c>
      <c r="Q10" s="5" t="s">
        <v>195</v>
      </c>
      <c r="R10" s="5" t="s">
        <v>244</v>
      </c>
      <c r="S10" s="5" t="s">
        <v>197</v>
      </c>
      <c r="T10" s="5" t="s">
        <v>208</v>
      </c>
      <c r="U10" s="5" t="s">
        <v>208</v>
      </c>
      <c r="V10" s="5" t="s">
        <v>199</v>
      </c>
      <c r="W10" s="5" t="s">
        <v>201</v>
      </c>
      <c r="X10" s="5" t="s">
        <v>198</v>
      </c>
      <c r="Y10" s="5" t="s">
        <v>200</v>
      </c>
      <c r="Z10" s="5" t="s">
        <v>198</v>
      </c>
      <c r="AA10" s="5" t="s">
        <v>204</v>
      </c>
      <c r="AB10" s="5" t="s">
        <v>200</v>
      </c>
      <c r="AC10" s="5" t="s">
        <v>202</v>
      </c>
      <c r="AD10" s="5" t="s">
        <v>202</v>
      </c>
      <c r="AE10" s="5" t="s">
        <v>204</v>
      </c>
      <c r="AF10" s="5" t="s">
        <v>203</v>
      </c>
      <c r="AG10" s="5" t="s">
        <v>201</v>
      </c>
      <c r="AH10" s="5" t="s">
        <v>201</v>
      </c>
      <c r="AI10" s="5" t="s">
        <v>245</v>
      </c>
      <c r="AJ10" s="5" t="s">
        <v>206</v>
      </c>
      <c r="AK10" s="5" t="s">
        <v>200</v>
      </c>
      <c r="AL10" s="5" t="s">
        <v>202</v>
      </c>
      <c r="AM10" s="5" t="s">
        <v>202</v>
      </c>
      <c r="AN10" s="5" t="s">
        <v>200</v>
      </c>
      <c r="AO10" s="5" t="s">
        <v>200</v>
      </c>
      <c r="AP10" s="5" t="s">
        <v>203</v>
      </c>
      <c r="AQ10" s="5" t="s">
        <v>246</v>
      </c>
      <c r="AR10" s="5" t="s">
        <v>206</v>
      </c>
      <c r="AS10" s="5" t="s">
        <v>200</v>
      </c>
      <c r="AT10" s="5" t="s">
        <v>198</v>
      </c>
      <c r="AU10" s="5" t="s">
        <v>202</v>
      </c>
      <c r="AV10" s="5" t="s">
        <v>208</v>
      </c>
      <c r="AW10" s="5" t="s">
        <v>204</v>
      </c>
      <c r="AX10" s="5" t="s">
        <v>200</v>
      </c>
      <c r="AY10" s="5" t="s">
        <v>200</v>
      </c>
      <c r="AZ10" s="5" t="s">
        <v>247</v>
      </c>
    </row>
    <row r="11">
      <c r="A11" s="7">
        <v>45866.31458333333</v>
      </c>
      <c r="B11" s="7">
        <v>45866.32777777778</v>
      </c>
      <c r="C11" s="5" t="s">
        <v>99</v>
      </c>
      <c r="D11" s="5" t="s">
        <v>237</v>
      </c>
      <c r="E11" s="8">
        <v>100.0</v>
      </c>
      <c r="F11" s="8">
        <v>1106.0</v>
      </c>
      <c r="G11" s="9" t="b">
        <v>1</v>
      </c>
      <c r="H11" s="7">
        <v>45866.32777777778</v>
      </c>
      <c r="I11" s="5" t="s">
        <v>248</v>
      </c>
      <c r="K11" s="10"/>
      <c r="L11" s="10"/>
      <c r="M11" s="10"/>
      <c r="N11" s="8">
        <v>60.2498</v>
      </c>
      <c r="O11" s="8">
        <v>24.9939</v>
      </c>
      <c r="P11" s="5" t="s">
        <v>194</v>
      </c>
      <c r="Q11" s="5" t="s">
        <v>195</v>
      </c>
      <c r="R11" s="5" t="s">
        <v>244</v>
      </c>
      <c r="S11" s="5" t="s">
        <v>211</v>
      </c>
      <c r="T11" s="5" t="s">
        <v>198</v>
      </c>
      <c r="U11" s="5" t="s">
        <v>204</v>
      </c>
      <c r="V11" s="5" t="s">
        <v>199</v>
      </c>
      <c r="W11" s="5" t="s">
        <v>200</v>
      </c>
      <c r="X11" s="5" t="s">
        <v>208</v>
      </c>
      <c r="Y11" s="5" t="s">
        <v>204</v>
      </c>
      <c r="Z11" s="5" t="s">
        <v>198</v>
      </c>
      <c r="AA11" s="5" t="s">
        <v>204</v>
      </c>
      <c r="AB11" s="5" t="s">
        <v>200</v>
      </c>
      <c r="AC11" s="5" t="s">
        <v>202</v>
      </c>
      <c r="AD11" s="5" t="s">
        <v>208</v>
      </c>
      <c r="AE11" s="5" t="s">
        <v>204</v>
      </c>
      <c r="AF11" s="5" t="s">
        <v>208</v>
      </c>
      <c r="AG11" s="5" t="s">
        <v>200</v>
      </c>
      <c r="AH11" s="5" t="s">
        <v>201</v>
      </c>
      <c r="AI11" s="5" t="s">
        <v>249</v>
      </c>
      <c r="AJ11" s="5" t="s">
        <v>206</v>
      </c>
      <c r="AK11" s="5" t="s">
        <v>202</v>
      </c>
      <c r="AL11" s="5" t="s">
        <v>202</v>
      </c>
      <c r="AM11" s="5" t="s">
        <v>202</v>
      </c>
      <c r="AN11" s="5" t="s">
        <v>200</v>
      </c>
      <c r="AO11" s="5" t="s">
        <v>198</v>
      </c>
      <c r="AP11" s="5" t="s">
        <v>203</v>
      </c>
      <c r="AQ11" s="5" t="s">
        <v>250</v>
      </c>
      <c r="AR11" s="5" t="s">
        <v>206</v>
      </c>
      <c r="AS11" s="5" t="s">
        <v>202</v>
      </c>
      <c r="AT11" s="5" t="s">
        <v>202</v>
      </c>
      <c r="AU11" s="5" t="s">
        <v>208</v>
      </c>
      <c r="AV11" s="5" t="s">
        <v>204</v>
      </c>
      <c r="AW11" s="5" t="s">
        <v>204</v>
      </c>
      <c r="AX11" s="5" t="s">
        <v>204</v>
      </c>
      <c r="AY11" s="5" t="s">
        <v>204</v>
      </c>
      <c r="AZ11" s="5" t="s">
        <v>251</v>
      </c>
    </row>
    <row r="12">
      <c r="A12" s="7">
        <v>45866.3125</v>
      </c>
      <c r="B12" s="7">
        <v>45866.32847222222</v>
      </c>
      <c r="C12" s="5" t="s">
        <v>99</v>
      </c>
      <c r="D12" s="5" t="s">
        <v>192</v>
      </c>
      <c r="E12" s="8">
        <v>100.0</v>
      </c>
      <c r="F12" s="8">
        <v>1376.0</v>
      </c>
      <c r="G12" s="9" t="b">
        <v>1</v>
      </c>
      <c r="H12" s="7">
        <v>45866.32847222222</v>
      </c>
      <c r="I12" s="5" t="s">
        <v>252</v>
      </c>
      <c r="K12" s="10"/>
      <c r="L12" s="10"/>
      <c r="M12" s="10"/>
      <c r="N12" s="8">
        <v>60.1816</v>
      </c>
      <c r="O12" s="8">
        <v>24.8368</v>
      </c>
      <c r="P12" s="5" t="s">
        <v>194</v>
      </c>
      <c r="Q12" s="5" t="s">
        <v>195</v>
      </c>
      <c r="R12" s="5" t="s">
        <v>239</v>
      </c>
      <c r="S12" s="5" t="s">
        <v>211</v>
      </c>
      <c r="T12" s="5" t="s">
        <v>201</v>
      </c>
      <c r="U12" s="5" t="s">
        <v>201</v>
      </c>
      <c r="V12" s="5" t="s">
        <v>199</v>
      </c>
      <c r="W12" s="5" t="s">
        <v>200</v>
      </c>
      <c r="X12" s="5" t="s">
        <v>200</v>
      </c>
      <c r="Y12" s="5" t="s">
        <v>201</v>
      </c>
      <c r="Z12" s="5" t="s">
        <v>203</v>
      </c>
      <c r="AA12" s="5" t="s">
        <v>203</v>
      </c>
      <c r="AB12" s="5" t="s">
        <v>201</v>
      </c>
      <c r="AC12" s="5" t="s">
        <v>201</v>
      </c>
      <c r="AD12" s="5" t="s">
        <v>201</v>
      </c>
      <c r="AE12" s="5" t="s">
        <v>203</v>
      </c>
      <c r="AF12" s="5" t="s">
        <v>202</v>
      </c>
      <c r="AG12" s="5" t="s">
        <v>201</v>
      </c>
      <c r="AH12" s="5" t="s">
        <v>203</v>
      </c>
      <c r="AI12" s="5" t="s">
        <v>253</v>
      </c>
      <c r="AJ12" s="5" t="s">
        <v>206</v>
      </c>
      <c r="AK12" s="5" t="s">
        <v>200</v>
      </c>
      <c r="AL12" s="5" t="s">
        <v>201</v>
      </c>
      <c r="AM12" s="5" t="s">
        <v>202</v>
      </c>
      <c r="AN12" s="5" t="s">
        <v>202</v>
      </c>
      <c r="AO12" s="5" t="s">
        <v>202</v>
      </c>
      <c r="AP12" s="5" t="s">
        <v>202</v>
      </c>
      <c r="AQ12" s="5" t="s">
        <v>254</v>
      </c>
      <c r="AR12" s="5" t="s">
        <v>206</v>
      </c>
      <c r="AS12" s="5" t="s">
        <v>200</v>
      </c>
      <c r="AT12" s="5" t="s">
        <v>200</v>
      </c>
      <c r="AU12" s="5" t="s">
        <v>201</v>
      </c>
      <c r="AV12" s="5" t="s">
        <v>200</v>
      </c>
      <c r="AW12" s="5" t="s">
        <v>204</v>
      </c>
      <c r="AX12" s="5" t="s">
        <v>200</v>
      </c>
      <c r="AY12" s="5" t="s">
        <v>200</v>
      </c>
      <c r="AZ12" s="5" t="s">
        <v>255</v>
      </c>
    </row>
    <row r="13">
      <c r="A13" s="7">
        <v>45867.01180555556</v>
      </c>
      <c r="B13" s="7">
        <v>45867.02638888889</v>
      </c>
      <c r="C13" s="5" t="s">
        <v>99</v>
      </c>
      <c r="D13" s="5" t="s">
        <v>256</v>
      </c>
      <c r="E13" s="8">
        <v>100.0</v>
      </c>
      <c r="F13" s="8">
        <v>1275.0</v>
      </c>
      <c r="G13" s="9" t="b">
        <v>1</v>
      </c>
      <c r="H13" s="7">
        <v>45867.02638888889</v>
      </c>
      <c r="I13" s="5" t="s">
        <v>257</v>
      </c>
      <c r="K13" s="10"/>
      <c r="L13" s="10"/>
      <c r="M13" s="10"/>
      <c r="N13" s="8">
        <v>60.1816</v>
      </c>
      <c r="O13" s="8">
        <v>24.8368</v>
      </c>
      <c r="P13" s="5" t="s">
        <v>194</v>
      </c>
      <c r="Q13" s="5" t="s">
        <v>195</v>
      </c>
      <c r="R13" s="5" t="s">
        <v>258</v>
      </c>
      <c r="S13" s="5" t="s">
        <v>211</v>
      </c>
      <c r="T13" s="5" t="s">
        <v>198</v>
      </c>
      <c r="U13" s="5" t="s">
        <v>198</v>
      </c>
      <c r="V13" s="5" t="s">
        <v>199</v>
      </c>
      <c r="W13" s="5" t="s">
        <v>202</v>
      </c>
      <c r="X13" s="5" t="s">
        <v>201</v>
      </c>
      <c r="Y13" s="5" t="s">
        <v>203</v>
      </c>
      <c r="Z13" s="5" t="s">
        <v>204</v>
      </c>
      <c r="AA13" s="5" t="s">
        <v>208</v>
      </c>
      <c r="AB13" s="5" t="s">
        <v>201</v>
      </c>
      <c r="AC13" s="5" t="s">
        <v>201</v>
      </c>
      <c r="AD13" s="5" t="s">
        <v>202</v>
      </c>
      <c r="AE13" s="5" t="s">
        <v>204</v>
      </c>
      <c r="AF13" s="5" t="s">
        <v>203</v>
      </c>
      <c r="AG13" s="5" t="s">
        <v>200</v>
      </c>
      <c r="AH13" s="5" t="s">
        <v>201</v>
      </c>
      <c r="AI13" s="5" t="s">
        <v>259</v>
      </c>
      <c r="AJ13" s="5" t="s">
        <v>206</v>
      </c>
      <c r="AK13" s="5" t="s">
        <v>202</v>
      </c>
      <c r="AL13" s="5" t="s">
        <v>202</v>
      </c>
      <c r="AM13" s="5" t="s">
        <v>202</v>
      </c>
      <c r="AN13" s="5" t="s">
        <v>202</v>
      </c>
      <c r="AO13" s="5" t="s">
        <v>202</v>
      </c>
      <c r="AP13" s="5" t="s">
        <v>202</v>
      </c>
      <c r="AQ13" s="5" t="s">
        <v>260</v>
      </c>
      <c r="AR13" s="5" t="s">
        <v>206</v>
      </c>
      <c r="AS13" s="5" t="s">
        <v>200</v>
      </c>
      <c r="AT13" s="5" t="s">
        <v>201</v>
      </c>
      <c r="AU13" s="5" t="s">
        <v>201</v>
      </c>
      <c r="AV13" s="5" t="s">
        <v>204</v>
      </c>
      <c r="AW13" s="5" t="s">
        <v>204</v>
      </c>
      <c r="AX13" s="5" t="s">
        <v>204</v>
      </c>
      <c r="AY13" s="5" t="s">
        <v>204</v>
      </c>
      <c r="AZ13" s="5" t="s">
        <v>261</v>
      </c>
    </row>
    <row r="14">
      <c r="A14" s="7">
        <v>45867.01736111111</v>
      </c>
      <c r="B14" s="7">
        <v>45867.027083333334</v>
      </c>
      <c r="C14" s="5" t="s">
        <v>99</v>
      </c>
      <c r="D14" s="5" t="s">
        <v>192</v>
      </c>
      <c r="E14" s="8">
        <v>100.0</v>
      </c>
      <c r="F14" s="8">
        <v>859.0</v>
      </c>
      <c r="G14" s="9" t="b">
        <v>1</v>
      </c>
      <c r="H14" s="7">
        <v>45867.027083333334</v>
      </c>
      <c r="I14" s="5" t="s">
        <v>262</v>
      </c>
      <c r="K14" s="10"/>
      <c r="L14" s="10"/>
      <c r="M14" s="10"/>
      <c r="N14" s="8">
        <v>60.1816</v>
      </c>
      <c r="O14" s="8">
        <v>24.8368</v>
      </c>
      <c r="P14" s="5" t="s">
        <v>194</v>
      </c>
      <c r="Q14" s="5" t="s">
        <v>195</v>
      </c>
      <c r="R14" s="5" t="s">
        <v>239</v>
      </c>
      <c r="S14" s="5" t="s">
        <v>263</v>
      </c>
      <c r="T14" s="5" t="s">
        <v>202</v>
      </c>
      <c r="U14" s="5" t="s">
        <v>200</v>
      </c>
      <c r="V14" s="5" t="s">
        <v>199</v>
      </c>
      <c r="W14" s="5" t="s">
        <v>203</v>
      </c>
      <c r="X14" s="5" t="s">
        <v>200</v>
      </c>
      <c r="Y14" s="5" t="s">
        <v>201</v>
      </c>
      <c r="Z14" s="5" t="s">
        <v>198</v>
      </c>
      <c r="AA14" s="5" t="s">
        <v>203</v>
      </c>
      <c r="AB14" s="5" t="s">
        <v>202</v>
      </c>
      <c r="AC14" s="5" t="s">
        <v>201</v>
      </c>
      <c r="AD14" s="5" t="s">
        <v>201</v>
      </c>
      <c r="AE14" s="5" t="s">
        <v>200</v>
      </c>
      <c r="AF14" s="5" t="s">
        <v>201</v>
      </c>
      <c r="AG14" s="5" t="s">
        <v>201</v>
      </c>
      <c r="AH14" s="5" t="s">
        <v>203</v>
      </c>
      <c r="AI14" s="5" t="s">
        <v>264</v>
      </c>
      <c r="AJ14" s="5" t="s">
        <v>206</v>
      </c>
      <c r="AK14" s="5" t="s">
        <v>200</v>
      </c>
      <c r="AL14" s="5" t="s">
        <v>202</v>
      </c>
      <c r="AM14" s="5" t="s">
        <v>200</v>
      </c>
      <c r="AN14" s="5" t="s">
        <v>202</v>
      </c>
      <c r="AO14" s="5" t="s">
        <v>202</v>
      </c>
      <c r="AP14" s="5" t="s">
        <v>201</v>
      </c>
      <c r="AQ14" s="5" t="s">
        <v>265</v>
      </c>
      <c r="AR14" s="5" t="s">
        <v>206</v>
      </c>
      <c r="AS14" s="5" t="s">
        <v>202</v>
      </c>
      <c r="AT14" s="5" t="s">
        <v>201</v>
      </c>
      <c r="AU14" s="5" t="s">
        <v>201</v>
      </c>
      <c r="AV14" s="5" t="s">
        <v>208</v>
      </c>
      <c r="AW14" s="5" t="s">
        <v>204</v>
      </c>
      <c r="AX14" s="5" t="s">
        <v>204</v>
      </c>
      <c r="AY14" s="5" t="s">
        <v>204</v>
      </c>
      <c r="AZ14" s="5" t="s">
        <v>266</v>
      </c>
    </row>
    <row r="15">
      <c r="A15" s="7">
        <v>45867.03611111111</v>
      </c>
      <c r="B15" s="7">
        <v>45867.04583333333</v>
      </c>
      <c r="C15" s="5" t="s">
        <v>99</v>
      </c>
      <c r="D15" s="5" t="s">
        <v>256</v>
      </c>
      <c r="E15" s="8">
        <v>100.0</v>
      </c>
      <c r="F15" s="8">
        <v>821.0</v>
      </c>
      <c r="G15" s="9" t="b">
        <v>1</v>
      </c>
      <c r="H15" s="7">
        <v>45867.04583333333</v>
      </c>
      <c r="I15" s="5" t="s">
        <v>267</v>
      </c>
      <c r="L15" s="10"/>
      <c r="M15" s="10"/>
      <c r="N15" s="8">
        <v>60.1816</v>
      </c>
      <c r="O15" s="8">
        <v>24.8368</v>
      </c>
      <c r="P15" s="5" t="s">
        <v>194</v>
      </c>
      <c r="Q15" s="5" t="s">
        <v>195</v>
      </c>
      <c r="R15" s="5" t="s">
        <v>239</v>
      </c>
      <c r="S15" s="5" t="s">
        <v>211</v>
      </c>
      <c r="T15" s="5" t="s">
        <v>202</v>
      </c>
      <c r="U15" s="5" t="s">
        <v>198</v>
      </c>
      <c r="V15" s="5" t="s">
        <v>199</v>
      </c>
      <c r="W15" s="5" t="s">
        <v>202</v>
      </c>
      <c r="X15" s="5" t="s">
        <v>201</v>
      </c>
      <c r="Y15" s="5" t="s">
        <v>202</v>
      </c>
      <c r="Z15" s="5" t="s">
        <v>203</v>
      </c>
      <c r="AA15" s="5" t="s">
        <v>198</v>
      </c>
      <c r="AB15" s="5" t="s">
        <v>201</v>
      </c>
      <c r="AC15" s="5" t="s">
        <v>202</v>
      </c>
      <c r="AD15" s="5" t="s">
        <v>198</v>
      </c>
      <c r="AE15" s="5" t="s">
        <v>203</v>
      </c>
      <c r="AF15" s="5" t="s">
        <v>201</v>
      </c>
      <c r="AG15" s="5" t="s">
        <v>202</v>
      </c>
      <c r="AH15" s="5" t="s">
        <v>203</v>
      </c>
      <c r="AI15" s="5" t="s">
        <v>268</v>
      </c>
      <c r="AJ15" s="5" t="s">
        <v>206</v>
      </c>
      <c r="AK15" s="5" t="s">
        <v>203</v>
      </c>
      <c r="AL15" s="5" t="s">
        <v>200</v>
      </c>
      <c r="AM15" s="5" t="s">
        <v>203</v>
      </c>
      <c r="AN15" s="5" t="s">
        <v>198</v>
      </c>
      <c r="AO15" s="5" t="s">
        <v>203</v>
      </c>
      <c r="AP15" s="5" t="s">
        <v>198</v>
      </c>
      <c r="AQ15" s="5" t="s">
        <v>269</v>
      </c>
      <c r="AR15" s="5" t="s">
        <v>206</v>
      </c>
      <c r="AS15" s="5" t="s">
        <v>203</v>
      </c>
      <c r="AT15" s="5" t="s">
        <v>198</v>
      </c>
      <c r="AU15" s="5" t="s">
        <v>200</v>
      </c>
      <c r="AV15" s="5" t="s">
        <v>208</v>
      </c>
      <c r="AW15" s="5" t="s">
        <v>208</v>
      </c>
      <c r="AX15" s="5" t="s">
        <v>202</v>
      </c>
      <c r="AY15" s="5" t="s">
        <v>208</v>
      </c>
      <c r="AZ15" s="5" t="s">
        <v>270</v>
      </c>
    </row>
    <row r="16">
      <c r="A16" s="7">
        <v>45867.041666666664</v>
      </c>
      <c r="B16" s="7">
        <v>45867.05</v>
      </c>
      <c r="C16" s="5" t="s">
        <v>99</v>
      </c>
      <c r="D16" s="5" t="s">
        <v>192</v>
      </c>
      <c r="E16" s="8">
        <v>100.0</v>
      </c>
      <c r="F16" s="8">
        <v>741.0</v>
      </c>
      <c r="G16" s="9" t="b">
        <v>1</v>
      </c>
      <c r="H16" s="7">
        <v>45867.06041666667</v>
      </c>
      <c r="I16" s="5" t="s">
        <v>271</v>
      </c>
      <c r="K16" s="10"/>
      <c r="L16" s="10"/>
      <c r="M16" s="10"/>
      <c r="N16" s="8">
        <v>60.1816</v>
      </c>
      <c r="O16" s="8">
        <v>24.8368</v>
      </c>
      <c r="P16" s="5" t="s">
        <v>194</v>
      </c>
      <c r="Q16" s="5" t="s">
        <v>195</v>
      </c>
      <c r="R16" s="5" t="s">
        <v>258</v>
      </c>
      <c r="S16" s="5" t="s">
        <v>197</v>
      </c>
      <c r="T16" s="5" t="s">
        <v>202</v>
      </c>
      <c r="U16" s="5" t="s">
        <v>208</v>
      </c>
      <c r="V16" s="5" t="s">
        <v>199</v>
      </c>
      <c r="W16" s="5" t="s">
        <v>201</v>
      </c>
      <c r="X16" s="5" t="s">
        <v>201</v>
      </c>
      <c r="Y16" s="5" t="s">
        <v>201</v>
      </c>
      <c r="Z16" s="5" t="s">
        <v>204</v>
      </c>
      <c r="AA16" s="5" t="s">
        <v>198</v>
      </c>
      <c r="AB16" s="5" t="s">
        <v>201</v>
      </c>
      <c r="AC16" s="5" t="s">
        <v>201</v>
      </c>
      <c r="AD16" s="5" t="s">
        <v>201</v>
      </c>
      <c r="AE16" s="5" t="s">
        <v>204</v>
      </c>
      <c r="AF16" s="5" t="s">
        <v>204</v>
      </c>
      <c r="AG16" s="5" t="s">
        <v>201</v>
      </c>
      <c r="AH16" s="5" t="s">
        <v>201</v>
      </c>
      <c r="AI16" s="5" t="s">
        <v>272</v>
      </c>
      <c r="AJ16" s="5" t="s">
        <v>206</v>
      </c>
      <c r="AK16" s="5" t="s">
        <v>202</v>
      </c>
      <c r="AL16" s="5" t="s">
        <v>201</v>
      </c>
      <c r="AM16" s="5" t="s">
        <v>202</v>
      </c>
      <c r="AN16" s="5" t="s">
        <v>202</v>
      </c>
      <c r="AO16" s="5" t="s">
        <v>201</v>
      </c>
      <c r="AP16" s="5" t="s">
        <v>201</v>
      </c>
      <c r="AQ16" s="5" t="s">
        <v>273</v>
      </c>
      <c r="AR16" s="5" t="s">
        <v>206</v>
      </c>
      <c r="AS16" s="5" t="s">
        <v>201</v>
      </c>
      <c r="AT16" s="5" t="s">
        <v>202</v>
      </c>
      <c r="AU16" s="5" t="s">
        <v>201</v>
      </c>
      <c r="AV16" s="5" t="s">
        <v>198</v>
      </c>
      <c r="AW16" s="5" t="s">
        <v>198</v>
      </c>
      <c r="AX16" s="5" t="s">
        <v>201</v>
      </c>
      <c r="AY16" s="5" t="s">
        <v>208</v>
      </c>
      <c r="AZ16" s="5" t="s">
        <v>274</v>
      </c>
    </row>
    <row r="17">
      <c r="A17" s="7">
        <v>45867.055555555555</v>
      </c>
      <c r="B17" s="7">
        <v>45867.06180555555</v>
      </c>
      <c r="C17" s="5" t="s">
        <v>99</v>
      </c>
      <c r="D17" s="5" t="s">
        <v>192</v>
      </c>
      <c r="E17" s="8">
        <v>100.0</v>
      </c>
      <c r="F17" s="8">
        <v>538.0</v>
      </c>
      <c r="G17" s="9" t="b">
        <v>1</v>
      </c>
      <c r="H17" s="7">
        <v>45867.06180555555</v>
      </c>
      <c r="I17" s="5" t="s">
        <v>275</v>
      </c>
      <c r="K17" s="10"/>
      <c r="L17" s="10"/>
      <c r="M17" s="10"/>
      <c r="N17" s="8">
        <v>60.1816</v>
      </c>
      <c r="O17" s="8">
        <v>24.8368</v>
      </c>
      <c r="P17" s="5" t="s">
        <v>194</v>
      </c>
      <c r="Q17" s="5" t="s">
        <v>195</v>
      </c>
      <c r="R17" s="5" t="s">
        <v>258</v>
      </c>
      <c r="S17" s="5" t="s">
        <v>263</v>
      </c>
      <c r="T17" s="5" t="s">
        <v>200</v>
      </c>
      <c r="U17" s="5" t="s">
        <v>204</v>
      </c>
      <c r="V17" s="5" t="s">
        <v>199</v>
      </c>
      <c r="W17" s="5" t="s">
        <v>202</v>
      </c>
      <c r="X17" s="5" t="s">
        <v>201</v>
      </c>
      <c r="Y17" s="5" t="s">
        <v>202</v>
      </c>
      <c r="Z17" s="5" t="s">
        <v>204</v>
      </c>
      <c r="AA17" s="5" t="s">
        <v>204</v>
      </c>
      <c r="AB17" s="5" t="s">
        <v>201</v>
      </c>
      <c r="AC17" s="5" t="s">
        <v>202</v>
      </c>
      <c r="AD17" s="5" t="s">
        <v>201</v>
      </c>
      <c r="AE17" s="5" t="s">
        <v>208</v>
      </c>
      <c r="AF17" s="5" t="s">
        <v>204</v>
      </c>
      <c r="AG17" s="5" t="s">
        <v>201</v>
      </c>
      <c r="AH17" s="5" t="s">
        <v>204</v>
      </c>
      <c r="AI17" s="5" t="s">
        <v>276</v>
      </c>
      <c r="AJ17" s="5" t="s">
        <v>206</v>
      </c>
      <c r="AK17" s="5" t="s">
        <v>201</v>
      </c>
      <c r="AL17" s="5" t="s">
        <v>201</v>
      </c>
      <c r="AM17" s="5" t="s">
        <v>201</v>
      </c>
      <c r="AN17" s="5" t="s">
        <v>201</v>
      </c>
      <c r="AO17" s="5" t="s">
        <v>200</v>
      </c>
      <c r="AP17" s="5" t="s">
        <v>201</v>
      </c>
      <c r="AQ17" s="5" t="s">
        <v>277</v>
      </c>
      <c r="AR17" s="5" t="s">
        <v>206</v>
      </c>
      <c r="AS17" s="5" t="s">
        <v>201</v>
      </c>
      <c r="AT17" s="5" t="s">
        <v>201</v>
      </c>
      <c r="AU17" s="5" t="s">
        <v>202</v>
      </c>
      <c r="AV17" s="5" t="s">
        <v>208</v>
      </c>
      <c r="AW17" s="5" t="s">
        <v>208</v>
      </c>
      <c r="AX17" s="5" t="s">
        <v>201</v>
      </c>
      <c r="AY17" s="5" t="s">
        <v>208</v>
      </c>
      <c r="AZ17" s="5" t="s">
        <v>278</v>
      </c>
    </row>
    <row r="18">
      <c r="A18" s="7">
        <v>45867.05416666667</v>
      </c>
      <c r="B18" s="7">
        <v>45867.07361111111</v>
      </c>
      <c r="C18" s="5" t="s">
        <v>99</v>
      </c>
      <c r="D18" s="5" t="s">
        <v>256</v>
      </c>
      <c r="E18" s="8">
        <v>100.0</v>
      </c>
      <c r="F18" s="8">
        <v>1656.0</v>
      </c>
      <c r="G18" s="9" t="b">
        <v>1</v>
      </c>
      <c r="H18" s="7">
        <v>45867.07361111111</v>
      </c>
      <c r="I18" s="5" t="s">
        <v>279</v>
      </c>
      <c r="K18" s="10"/>
      <c r="L18" s="10"/>
      <c r="M18" s="10"/>
      <c r="N18" s="8">
        <v>60.1816</v>
      </c>
      <c r="O18" s="8">
        <v>24.8368</v>
      </c>
      <c r="P18" s="5" t="s">
        <v>194</v>
      </c>
      <c r="Q18" s="5" t="s">
        <v>195</v>
      </c>
      <c r="R18" s="5" t="s">
        <v>258</v>
      </c>
      <c r="S18" s="5" t="s">
        <v>216</v>
      </c>
      <c r="T18" s="5" t="s">
        <v>201</v>
      </c>
      <c r="U18" s="5" t="s">
        <v>204</v>
      </c>
      <c r="V18" s="5" t="s">
        <v>199</v>
      </c>
      <c r="W18" s="5" t="s">
        <v>201</v>
      </c>
      <c r="X18" s="5" t="s">
        <v>201</v>
      </c>
      <c r="Y18" s="5" t="s">
        <v>201</v>
      </c>
      <c r="Z18" s="5" t="s">
        <v>204</v>
      </c>
      <c r="AA18" s="5" t="s">
        <v>204</v>
      </c>
      <c r="AB18" s="5" t="s">
        <v>201</v>
      </c>
      <c r="AC18" s="5" t="s">
        <v>201</v>
      </c>
      <c r="AD18" s="5" t="s">
        <v>201</v>
      </c>
      <c r="AE18" s="5" t="s">
        <v>204</v>
      </c>
      <c r="AF18" s="5" t="s">
        <v>204</v>
      </c>
      <c r="AG18" s="5" t="s">
        <v>201</v>
      </c>
      <c r="AH18" s="5" t="s">
        <v>204</v>
      </c>
      <c r="AI18" s="5" t="s">
        <v>280</v>
      </c>
      <c r="AJ18" s="5" t="s">
        <v>206</v>
      </c>
      <c r="AK18" s="5" t="s">
        <v>201</v>
      </c>
      <c r="AL18" s="5" t="s">
        <v>202</v>
      </c>
      <c r="AM18" s="5" t="s">
        <v>201</v>
      </c>
      <c r="AN18" s="5" t="s">
        <v>201</v>
      </c>
      <c r="AO18" s="5" t="s">
        <v>202</v>
      </c>
      <c r="AP18" s="5" t="s">
        <v>201</v>
      </c>
      <c r="AQ18" s="5" t="s">
        <v>281</v>
      </c>
      <c r="AR18" s="5" t="s">
        <v>206</v>
      </c>
      <c r="AS18" s="5" t="s">
        <v>201</v>
      </c>
      <c r="AT18" s="5" t="s">
        <v>201</v>
      </c>
      <c r="AU18" s="5" t="s">
        <v>201</v>
      </c>
      <c r="AV18" s="5" t="s">
        <v>201</v>
      </c>
      <c r="AW18" s="5" t="s">
        <v>201</v>
      </c>
      <c r="AX18" s="5" t="s">
        <v>204</v>
      </c>
      <c r="AY18" s="5" t="s">
        <v>201</v>
      </c>
      <c r="AZ18" s="5" t="s">
        <v>282</v>
      </c>
    </row>
    <row r="19">
      <c r="A19" s="7">
        <v>45867.08611111111</v>
      </c>
      <c r="B19" s="7">
        <v>45867.095138888886</v>
      </c>
      <c r="C19" s="5" t="s">
        <v>99</v>
      </c>
      <c r="D19" s="5" t="s">
        <v>192</v>
      </c>
      <c r="E19" s="8">
        <v>100.0</v>
      </c>
      <c r="F19" s="8">
        <v>797.0</v>
      </c>
      <c r="G19" s="9" t="b">
        <v>1</v>
      </c>
      <c r="H19" s="7">
        <v>45867.095138888886</v>
      </c>
      <c r="I19" s="5" t="s">
        <v>283</v>
      </c>
      <c r="K19" s="10"/>
      <c r="L19" s="10"/>
      <c r="M19" s="10"/>
      <c r="N19" s="8">
        <v>60.1816</v>
      </c>
      <c r="O19" s="8">
        <v>24.8368</v>
      </c>
      <c r="P19" s="5" t="s">
        <v>194</v>
      </c>
      <c r="Q19" s="5" t="s">
        <v>195</v>
      </c>
      <c r="R19" s="5" t="s">
        <v>284</v>
      </c>
      <c r="S19" s="5" t="s">
        <v>263</v>
      </c>
      <c r="T19" s="5" t="s">
        <v>200</v>
      </c>
      <c r="U19" s="5" t="s">
        <v>202</v>
      </c>
      <c r="V19" s="5" t="s">
        <v>199</v>
      </c>
      <c r="W19" s="5" t="s">
        <v>202</v>
      </c>
      <c r="X19" s="5" t="s">
        <v>208</v>
      </c>
      <c r="Y19" s="5" t="s">
        <v>208</v>
      </c>
      <c r="Z19" s="5" t="s">
        <v>202</v>
      </c>
      <c r="AA19" s="5" t="s">
        <v>198</v>
      </c>
      <c r="AB19" s="5" t="s">
        <v>202</v>
      </c>
      <c r="AC19" s="5" t="s">
        <v>202</v>
      </c>
      <c r="AD19" s="5" t="s">
        <v>198</v>
      </c>
      <c r="AE19" s="5" t="s">
        <v>208</v>
      </c>
      <c r="AF19" s="5" t="s">
        <v>202</v>
      </c>
      <c r="AG19" s="5" t="s">
        <v>202</v>
      </c>
      <c r="AH19" s="5" t="s">
        <v>200</v>
      </c>
      <c r="AI19" s="5" t="s">
        <v>285</v>
      </c>
      <c r="AJ19" s="5" t="s">
        <v>206</v>
      </c>
      <c r="AK19" s="5" t="s">
        <v>203</v>
      </c>
      <c r="AL19" s="5" t="s">
        <v>202</v>
      </c>
      <c r="AM19" s="5" t="s">
        <v>202</v>
      </c>
      <c r="AN19" s="5" t="s">
        <v>202</v>
      </c>
      <c r="AO19" s="5" t="s">
        <v>200</v>
      </c>
      <c r="AP19" s="5" t="s">
        <v>208</v>
      </c>
      <c r="AQ19" s="5" t="s">
        <v>286</v>
      </c>
      <c r="AR19" s="5" t="s">
        <v>206</v>
      </c>
      <c r="AS19" s="5" t="s">
        <v>202</v>
      </c>
      <c r="AT19" s="5" t="s">
        <v>198</v>
      </c>
      <c r="AU19" s="5" t="s">
        <v>202</v>
      </c>
      <c r="AV19" s="5" t="s">
        <v>204</v>
      </c>
      <c r="AW19" s="5" t="s">
        <v>208</v>
      </c>
      <c r="AX19" s="5" t="s">
        <v>200</v>
      </c>
      <c r="AY19" s="5" t="s">
        <v>204</v>
      </c>
      <c r="AZ19" s="5" t="s">
        <v>287</v>
      </c>
    </row>
    <row r="20">
      <c r="A20" s="7">
        <v>45867.08125</v>
      </c>
      <c r="B20" s="7">
        <v>45867.09652777778</v>
      </c>
      <c r="C20" s="5" t="s">
        <v>99</v>
      </c>
      <c r="D20" s="5" t="s">
        <v>256</v>
      </c>
      <c r="E20" s="8">
        <v>100.0</v>
      </c>
      <c r="F20" s="8">
        <v>1356.0</v>
      </c>
      <c r="G20" s="9" t="b">
        <v>1</v>
      </c>
      <c r="H20" s="7">
        <v>45867.09652777778</v>
      </c>
      <c r="I20" s="5" t="s">
        <v>288</v>
      </c>
      <c r="L20" s="10"/>
      <c r="M20" s="10"/>
      <c r="N20" s="8">
        <v>60.1816</v>
      </c>
      <c r="O20" s="8">
        <v>24.8368</v>
      </c>
      <c r="P20" s="5" t="s">
        <v>194</v>
      </c>
      <c r="Q20" s="5" t="s">
        <v>195</v>
      </c>
      <c r="R20" s="5" t="s">
        <v>289</v>
      </c>
      <c r="S20" s="5" t="s">
        <v>216</v>
      </c>
      <c r="T20" s="5" t="s">
        <v>202</v>
      </c>
      <c r="U20" s="5" t="s">
        <v>200</v>
      </c>
      <c r="V20" s="5" t="s">
        <v>199</v>
      </c>
      <c r="W20" s="5" t="s">
        <v>202</v>
      </c>
      <c r="X20" s="5" t="s">
        <v>201</v>
      </c>
      <c r="Y20" s="5" t="s">
        <v>202</v>
      </c>
      <c r="Z20" s="5" t="s">
        <v>203</v>
      </c>
      <c r="AA20" s="5" t="s">
        <v>202</v>
      </c>
      <c r="AB20" s="5" t="s">
        <v>202</v>
      </c>
      <c r="AC20" s="5" t="s">
        <v>202</v>
      </c>
      <c r="AD20" s="5" t="s">
        <v>201</v>
      </c>
      <c r="AE20" s="5" t="s">
        <v>208</v>
      </c>
      <c r="AF20" s="5" t="s">
        <v>208</v>
      </c>
      <c r="AG20" s="5" t="s">
        <v>201</v>
      </c>
      <c r="AH20" s="5" t="s">
        <v>203</v>
      </c>
      <c r="AI20" s="5" t="s">
        <v>290</v>
      </c>
      <c r="AJ20" s="5" t="s">
        <v>206</v>
      </c>
      <c r="AK20" s="5" t="s">
        <v>203</v>
      </c>
      <c r="AL20" s="5" t="s">
        <v>200</v>
      </c>
      <c r="AM20" s="5" t="s">
        <v>202</v>
      </c>
      <c r="AN20" s="5" t="s">
        <v>200</v>
      </c>
      <c r="AO20" s="5" t="s">
        <v>202</v>
      </c>
      <c r="AP20" s="5" t="s">
        <v>202</v>
      </c>
      <c r="AQ20" s="5" t="s">
        <v>291</v>
      </c>
      <c r="AR20" s="5" t="s">
        <v>206</v>
      </c>
      <c r="AS20" s="5" t="s">
        <v>202</v>
      </c>
      <c r="AT20" s="5" t="s">
        <v>201</v>
      </c>
      <c r="AU20" s="5" t="s">
        <v>201</v>
      </c>
      <c r="AV20" s="5" t="s">
        <v>204</v>
      </c>
      <c r="AW20" s="5" t="s">
        <v>204</v>
      </c>
      <c r="AX20" s="5" t="s">
        <v>204</v>
      </c>
      <c r="AY20" s="5" t="s">
        <v>204</v>
      </c>
      <c r="AZ20" s="5" t="s">
        <v>292</v>
      </c>
    </row>
    <row r="21">
      <c r="A21" s="7">
        <v>45867.09722222222</v>
      </c>
      <c r="B21" s="7">
        <v>45867.10902777778</v>
      </c>
      <c r="C21" s="5" t="s">
        <v>99</v>
      </c>
      <c r="D21" s="5" t="s">
        <v>256</v>
      </c>
      <c r="E21" s="8">
        <v>100.0</v>
      </c>
      <c r="F21" s="8">
        <v>986.0</v>
      </c>
      <c r="G21" s="9" t="b">
        <v>1</v>
      </c>
      <c r="H21" s="7">
        <v>45867.10902777778</v>
      </c>
      <c r="I21" s="5" t="s">
        <v>293</v>
      </c>
      <c r="K21" s="10"/>
      <c r="L21" s="10"/>
      <c r="M21" s="10"/>
      <c r="N21" s="8">
        <v>60.1816</v>
      </c>
      <c r="O21" s="8">
        <v>24.8368</v>
      </c>
      <c r="P21" s="5" t="s">
        <v>194</v>
      </c>
      <c r="Q21" s="5" t="s">
        <v>195</v>
      </c>
      <c r="R21" s="5" t="s">
        <v>284</v>
      </c>
      <c r="S21" s="5" t="s">
        <v>211</v>
      </c>
      <c r="T21" s="5" t="s">
        <v>198</v>
      </c>
      <c r="U21" s="5" t="s">
        <v>198</v>
      </c>
      <c r="V21" s="5" t="s">
        <v>199</v>
      </c>
      <c r="W21" s="5" t="s">
        <v>200</v>
      </c>
      <c r="X21" s="5" t="s">
        <v>200</v>
      </c>
      <c r="Y21" s="5" t="s">
        <v>208</v>
      </c>
      <c r="Z21" s="5" t="s">
        <v>198</v>
      </c>
      <c r="AA21" s="5" t="s">
        <v>198</v>
      </c>
      <c r="AB21" s="5" t="s">
        <v>202</v>
      </c>
      <c r="AC21" s="5" t="s">
        <v>200</v>
      </c>
      <c r="AD21" s="5" t="s">
        <v>202</v>
      </c>
      <c r="AE21" s="5" t="s">
        <v>208</v>
      </c>
      <c r="AF21" s="5" t="s">
        <v>198</v>
      </c>
      <c r="AG21" s="5" t="s">
        <v>202</v>
      </c>
      <c r="AH21" s="5" t="s">
        <v>202</v>
      </c>
      <c r="AI21" s="5" t="s">
        <v>294</v>
      </c>
      <c r="AJ21" s="5" t="s">
        <v>206</v>
      </c>
      <c r="AK21" s="5" t="s">
        <v>198</v>
      </c>
      <c r="AL21" s="5" t="s">
        <v>200</v>
      </c>
      <c r="AM21" s="5" t="s">
        <v>200</v>
      </c>
      <c r="AN21" s="5" t="s">
        <v>200</v>
      </c>
      <c r="AO21" s="5" t="s">
        <v>200</v>
      </c>
      <c r="AP21" s="5" t="s">
        <v>200</v>
      </c>
      <c r="AQ21" s="5" t="s">
        <v>295</v>
      </c>
      <c r="AR21" s="5" t="s">
        <v>206</v>
      </c>
      <c r="AS21" s="5" t="s">
        <v>200</v>
      </c>
      <c r="AT21" s="5" t="s">
        <v>200</v>
      </c>
      <c r="AU21" s="5" t="s">
        <v>200</v>
      </c>
      <c r="AV21" s="5" t="s">
        <v>208</v>
      </c>
      <c r="AW21" s="5" t="s">
        <v>208</v>
      </c>
      <c r="AX21" s="5" t="s">
        <v>208</v>
      </c>
      <c r="AY21" s="5" t="s">
        <v>204</v>
      </c>
      <c r="AZ21" s="5" t="s">
        <v>296</v>
      </c>
    </row>
    <row r="22">
      <c r="A22" s="7">
        <v>45867.10555555556</v>
      </c>
      <c r="B22" s="7">
        <v>45867.11041666667</v>
      </c>
      <c r="C22" s="5" t="s">
        <v>99</v>
      </c>
      <c r="D22" s="5" t="s">
        <v>192</v>
      </c>
      <c r="E22" s="8">
        <v>100.0</v>
      </c>
      <c r="F22" s="8">
        <v>401.0</v>
      </c>
      <c r="G22" s="9" t="b">
        <v>1</v>
      </c>
      <c r="H22" s="7">
        <v>45867.11041666667</v>
      </c>
      <c r="I22" s="5" t="s">
        <v>297</v>
      </c>
      <c r="K22" s="10"/>
      <c r="L22" s="10"/>
      <c r="M22" s="10"/>
      <c r="N22" s="8">
        <v>60.1816</v>
      </c>
      <c r="O22" s="8">
        <v>24.8368</v>
      </c>
      <c r="P22" s="5" t="s">
        <v>194</v>
      </c>
      <c r="Q22" s="5" t="s">
        <v>195</v>
      </c>
      <c r="R22" s="5" t="s">
        <v>289</v>
      </c>
      <c r="S22" s="5" t="s">
        <v>197</v>
      </c>
      <c r="T22" s="5" t="s">
        <v>201</v>
      </c>
      <c r="U22" s="5" t="s">
        <v>202</v>
      </c>
      <c r="V22" s="5" t="s">
        <v>199</v>
      </c>
      <c r="W22" s="5" t="s">
        <v>202</v>
      </c>
      <c r="X22" s="5" t="s">
        <v>201</v>
      </c>
      <c r="Y22" s="5" t="s">
        <v>200</v>
      </c>
      <c r="Z22" s="5" t="s">
        <v>201</v>
      </c>
      <c r="AA22" s="5" t="s">
        <v>201</v>
      </c>
      <c r="AB22" s="5" t="s">
        <v>201</v>
      </c>
      <c r="AC22" s="5" t="s">
        <v>202</v>
      </c>
      <c r="AD22" s="5" t="s">
        <v>202</v>
      </c>
      <c r="AE22" s="5" t="s">
        <v>198</v>
      </c>
      <c r="AF22" s="5" t="s">
        <v>203</v>
      </c>
      <c r="AG22" s="5" t="s">
        <v>201</v>
      </c>
      <c r="AH22" s="5" t="s">
        <v>202</v>
      </c>
      <c r="AI22" s="5" t="s">
        <v>298</v>
      </c>
      <c r="AJ22" s="5" t="s">
        <v>206</v>
      </c>
      <c r="AK22" s="5" t="s">
        <v>202</v>
      </c>
      <c r="AL22" s="5" t="s">
        <v>202</v>
      </c>
      <c r="AM22" s="5" t="s">
        <v>201</v>
      </c>
      <c r="AN22" s="5" t="s">
        <v>201</v>
      </c>
      <c r="AO22" s="5" t="s">
        <v>201</v>
      </c>
      <c r="AP22" s="5" t="s">
        <v>200</v>
      </c>
      <c r="AQ22" s="5" t="s">
        <v>299</v>
      </c>
      <c r="AR22" s="5" t="s">
        <v>206</v>
      </c>
      <c r="AS22" s="5" t="s">
        <v>202</v>
      </c>
      <c r="AT22" s="5" t="s">
        <v>200</v>
      </c>
      <c r="AU22" s="5" t="s">
        <v>201</v>
      </c>
      <c r="AV22" s="5" t="s">
        <v>208</v>
      </c>
      <c r="AW22" s="5" t="s">
        <v>204</v>
      </c>
      <c r="AX22" s="5" t="s">
        <v>198</v>
      </c>
      <c r="AY22" s="5" t="s">
        <v>208</v>
      </c>
      <c r="AZ22" s="5" t="s">
        <v>300</v>
      </c>
    </row>
    <row r="23">
      <c r="A23" s="7">
        <v>45867.10972222222</v>
      </c>
      <c r="B23" s="7">
        <v>45867.11944444444</v>
      </c>
      <c r="C23" s="5" t="s">
        <v>99</v>
      </c>
      <c r="D23" s="5" t="s">
        <v>256</v>
      </c>
      <c r="E23" s="8">
        <v>100.0</v>
      </c>
      <c r="F23" s="8">
        <v>845.0</v>
      </c>
      <c r="G23" s="9" t="b">
        <v>1</v>
      </c>
      <c r="H23" s="7">
        <v>45867.11944444444</v>
      </c>
      <c r="I23" s="5" t="s">
        <v>301</v>
      </c>
      <c r="K23" s="10"/>
      <c r="L23" s="10"/>
      <c r="M23" s="10"/>
      <c r="N23" s="8">
        <v>60.1816</v>
      </c>
      <c r="O23" s="8">
        <v>24.8368</v>
      </c>
      <c r="P23" s="5" t="s">
        <v>194</v>
      </c>
      <c r="Q23" s="5" t="s">
        <v>195</v>
      </c>
      <c r="R23" s="5" t="s">
        <v>284</v>
      </c>
      <c r="S23" s="5" t="s">
        <v>216</v>
      </c>
      <c r="T23" s="5" t="s">
        <v>198</v>
      </c>
      <c r="U23" s="5" t="s">
        <v>208</v>
      </c>
      <c r="V23" s="5" t="s">
        <v>199</v>
      </c>
      <c r="W23" s="5" t="s">
        <v>200</v>
      </c>
      <c r="X23" s="5" t="s">
        <v>198</v>
      </c>
      <c r="Y23" s="5" t="s">
        <v>198</v>
      </c>
      <c r="Z23" s="5" t="s">
        <v>198</v>
      </c>
      <c r="AA23" s="5" t="s">
        <v>198</v>
      </c>
      <c r="AB23" s="5" t="s">
        <v>202</v>
      </c>
      <c r="AC23" s="5" t="s">
        <v>202</v>
      </c>
      <c r="AD23" s="5" t="s">
        <v>202</v>
      </c>
      <c r="AE23" s="5" t="s">
        <v>208</v>
      </c>
      <c r="AF23" s="5" t="s">
        <v>198</v>
      </c>
      <c r="AG23" s="5" t="s">
        <v>202</v>
      </c>
      <c r="AH23" s="5" t="s">
        <v>200</v>
      </c>
      <c r="AI23" s="5" t="s">
        <v>302</v>
      </c>
      <c r="AJ23" s="5" t="s">
        <v>206</v>
      </c>
      <c r="AK23" s="5" t="s">
        <v>200</v>
      </c>
      <c r="AL23" s="5" t="s">
        <v>202</v>
      </c>
      <c r="AM23" s="5" t="s">
        <v>202</v>
      </c>
      <c r="AN23" s="5" t="s">
        <v>202</v>
      </c>
      <c r="AO23" s="5" t="s">
        <v>200</v>
      </c>
      <c r="AP23" s="5" t="s">
        <v>200</v>
      </c>
      <c r="AQ23" s="5" t="s">
        <v>303</v>
      </c>
      <c r="AR23" s="5" t="s">
        <v>206</v>
      </c>
      <c r="AS23" s="5" t="s">
        <v>202</v>
      </c>
      <c r="AT23" s="5" t="s">
        <v>202</v>
      </c>
      <c r="AU23" s="5" t="s">
        <v>198</v>
      </c>
      <c r="AV23" s="5" t="s">
        <v>208</v>
      </c>
      <c r="AW23" s="5" t="s">
        <v>208</v>
      </c>
      <c r="AX23" s="5" t="s">
        <v>208</v>
      </c>
      <c r="AY23" s="5" t="s">
        <v>204</v>
      </c>
      <c r="AZ23" s="5" t="s">
        <v>304</v>
      </c>
    </row>
    <row r="24">
      <c r="A24" s="7">
        <v>45867.11666666667</v>
      </c>
      <c r="B24" s="7">
        <v>45867.12013888889</v>
      </c>
      <c r="C24" s="5" t="s">
        <v>99</v>
      </c>
      <c r="D24" s="5" t="s">
        <v>192</v>
      </c>
      <c r="E24" s="8">
        <v>100.0</v>
      </c>
      <c r="F24" s="8">
        <v>341.0</v>
      </c>
      <c r="G24" s="9" t="b">
        <v>1</v>
      </c>
      <c r="H24" s="7">
        <v>45867.12013888889</v>
      </c>
      <c r="I24" s="5" t="s">
        <v>305</v>
      </c>
      <c r="K24" s="10"/>
      <c r="L24" s="10"/>
      <c r="M24" s="10"/>
      <c r="N24" s="8">
        <v>60.1816</v>
      </c>
      <c r="O24" s="8">
        <v>24.8368</v>
      </c>
      <c r="P24" s="5" t="s">
        <v>194</v>
      </c>
      <c r="Q24" s="5" t="s">
        <v>195</v>
      </c>
      <c r="R24" s="5" t="s">
        <v>289</v>
      </c>
      <c r="S24" s="5" t="s">
        <v>263</v>
      </c>
      <c r="T24" s="5" t="s">
        <v>201</v>
      </c>
      <c r="U24" s="5" t="s">
        <v>200</v>
      </c>
      <c r="V24" s="5" t="s">
        <v>199</v>
      </c>
      <c r="W24" s="5" t="s">
        <v>201</v>
      </c>
      <c r="X24" s="5" t="s">
        <v>201</v>
      </c>
      <c r="Y24" s="5" t="s">
        <v>201</v>
      </c>
      <c r="Z24" s="5" t="s">
        <v>200</v>
      </c>
      <c r="AA24" s="5" t="s">
        <v>201</v>
      </c>
      <c r="AB24" s="5" t="s">
        <v>202</v>
      </c>
      <c r="AC24" s="5" t="s">
        <v>202</v>
      </c>
      <c r="AD24" s="5" t="s">
        <v>200</v>
      </c>
      <c r="AE24" s="5" t="s">
        <v>202</v>
      </c>
      <c r="AF24" s="5" t="s">
        <v>203</v>
      </c>
      <c r="AG24" s="5" t="s">
        <v>202</v>
      </c>
      <c r="AH24" s="5" t="s">
        <v>208</v>
      </c>
      <c r="AI24" s="5" t="s">
        <v>306</v>
      </c>
      <c r="AJ24" s="5" t="s">
        <v>206</v>
      </c>
      <c r="AK24" s="5" t="s">
        <v>202</v>
      </c>
      <c r="AL24" s="5" t="s">
        <v>201</v>
      </c>
      <c r="AM24" s="5" t="s">
        <v>201</v>
      </c>
      <c r="AN24" s="5" t="s">
        <v>201</v>
      </c>
      <c r="AO24" s="5" t="s">
        <v>201</v>
      </c>
      <c r="AP24" s="5" t="s">
        <v>202</v>
      </c>
      <c r="AQ24" s="5" t="s">
        <v>307</v>
      </c>
      <c r="AR24" s="5" t="s">
        <v>206</v>
      </c>
      <c r="AS24" s="5" t="s">
        <v>201</v>
      </c>
      <c r="AT24" s="5" t="s">
        <v>202</v>
      </c>
      <c r="AU24" s="5" t="s">
        <v>201</v>
      </c>
      <c r="AV24" s="5" t="s">
        <v>208</v>
      </c>
      <c r="AW24" s="5" t="s">
        <v>204</v>
      </c>
      <c r="AX24" s="5" t="s">
        <v>204</v>
      </c>
      <c r="AY24" s="5" t="s">
        <v>204</v>
      </c>
      <c r="AZ24" s="5" t="s">
        <v>308</v>
      </c>
    </row>
    <row r="25">
      <c r="A25" s="7">
        <v>45867.123611111114</v>
      </c>
      <c r="B25" s="7">
        <v>45867.12847222222</v>
      </c>
      <c r="C25" s="5" t="s">
        <v>99</v>
      </c>
      <c r="D25" s="5" t="s">
        <v>256</v>
      </c>
      <c r="E25" s="8">
        <v>100.0</v>
      </c>
      <c r="F25" s="8">
        <v>465.0</v>
      </c>
      <c r="G25" s="9" t="b">
        <v>1</v>
      </c>
      <c r="H25" s="7">
        <v>45867.12847222222</v>
      </c>
      <c r="I25" s="5" t="s">
        <v>309</v>
      </c>
      <c r="K25" s="10"/>
      <c r="L25" s="10"/>
      <c r="M25" s="10"/>
      <c r="N25" s="8">
        <v>60.1816</v>
      </c>
      <c r="O25" s="8">
        <v>24.8368</v>
      </c>
      <c r="P25" s="5" t="s">
        <v>194</v>
      </c>
      <c r="Q25" s="5" t="s">
        <v>195</v>
      </c>
      <c r="R25" s="5" t="s">
        <v>289</v>
      </c>
      <c r="S25" s="5" t="s">
        <v>216</v>
      </c>
      <c r="T25" s="5" t="s">
        <v>201</v>
      </c>
      <c r="U25" s="5" t="s">
        <v>202</v>
      </c>
      <c r="V25" s="5" t="s">
        <v>199</v>
      </c>
      <c r="W25" s="5" t="s">
        <v>201</v>
      </c>
      <c r="X25" s="5" t="s">
        <v>201</v>
      </c>
      <c r="Y25" s="5" t="s">
        <v>202</v>
      </c>
      <c r="Z25" s="5" t="s">
        <v>201</v>
      </c>
      <c r="AA25" s="5" t="s">
        <v>201</v>
      </c>
      <c r="AB25" s="5" t="s">
        <v>201</v>
      </c>
      <c r="AC25" s="5" t="s">
        <v>201</v>
      </c>
      <c r="AD25" s="5" t="s">
        <v>201</v>
      </c>
      <c r="AE25" s="5" t="s">
        <v>202</v>
      </c>
      <c r="AF25" s="5" t="s">
        <v>203</v>
      </c>
      <c r="AG25" s="5" t="s">
        <v>201</v>
      </c>
      <c r="AH25" s="5" t="s">
        <v>202</v>
      </c>
      <c r="AI25" s="5" t="s">
        <v>310</v>
      </c>
      <c r="AJ25" s="5" t="s">
        <v>206</v>
      </c>
      <c r="AK25" s="5" t="s">
        <v>201</v>
      </c>
      <c r="AL25" s="5" t="s">
        <v>202</v>
      </c>
      <c r="AM25" s="5" t="s">
        <v>202</v>
      </c>
      <c r="AN25" s="5" t="s">
        <v>202</v>
      </c>
      <c r="AO25" s="5" t="s">
        <v>201</v>
      </c>
      <c r="AP25" s="5" t="s">
        <v>202</v>
      </c>
      <c r="AQ25" s="5" t="s">
        <v>311</v>
      </c>
      <c r="AR25" s="5" t="s">
        <v>206</v>
      </c>
      <c r="AS25" s="5" t="s">
        <v>202</v>
      </c>
      <c r="AT25" s="5" t="s">
        <v>201</v>
      </c>
      <c r="AU25" s="5" t="s">
        <v>201</v>
      </c>
      <c r="AV25" s="5" t="s">
        <v>204</v>
      </c>
      <c r="AW25" s="5" t="s">
        <v>204</v>
      </c>
      <c r="AX25" s="5" t="s">
        <v>204</v>
      </c>
      <c r="AY25" s="5" t="s">
        <v>204</v>
      </c>
      <c r="AZ25" s="5" t="s">
        <v>312</v>
      </c>
    </row>
    <row r="26">
      <c r="A26" s="7">
        <v>45867.12569444445</v>
      </c>
      <c r="B26" s="7">
        <v>45867.131944444445</v>
      </c>
      <c r="C26" s="5" t="s">
        <v>99</v>
      </c>
      <c r="D26" s="5" t="s">
        <v>192</v>
      </c>
      <c r="E26" s="8">
        <v>100.0</v>
      </c>
      <c r="F26" s="8">
        <v>559.0</v>
      </c>
      <c r="G26" s="9" t="b">
        <v>1</v>
      </c>
      <c r="H26" s="7">
        <v>45867.131944444445</v>
      </c>
      <c r="I26" s="5" t="s">
        <v>313</v>
      </c>
      <c r="K26" s="10"/>
      <c r="L26" s="10"/>
      <c r="M26" s="10"/>
      <c r="N26" s="8">
        <v>60.1816</v>
      </c>
      <c r="O26" s="8">
        <v>24.8368</v>
      </c>
      <c r="P26" s="5" t="s">
        <v>194</v>
      </c>
      <c r="Q26" s="5" t="s">
        <v>195</v>
      </c>
      <c r="R26" s="5" t="s">
        <v>284</v>
      </c>
      <c r="S26" s="5" t="s">
        <v>197</v>
      </c>
      <c r="T26" s="5" t="s">
        <v>202</v>
      </c>
      <c r="U26" s="5" t="s">
        <v>203</v>
      </c>
      <c r="V26" s="5" t="s">
        <v>199</v>
      </c>
      <c r="W26" s="5" t="s">
        <v>200</v>
      </c>
      <c r="X26" s="5" t="s">
        <v>202</v>
      </c>
      <c r="Y26" s="5" t="s">
        <v>208</v>
      </c>
      <c r="Z26" s="5" t="s">
        <v>198</v>
      </c>
      <c r="AA26" s="5" t="s">
        <v>208</v>
      </c>
      <c r="AB26" s="5" t="s">
        <v>202</v>
      </c>
      <c r="AC26" s="5" t="s">
        <v>202</v>
      </c>
      <c r="AD26" s="5" t="s">
        <v>202</v>
      </c>
      <c r="AE26" s="5" t="s">
        <v>208</v>
      </c>
      <c r="AF26" s="5" t="s">
        <v>208</v>
      </c>
      <c r="AG26" s="5" t="s">
        <v>208</v>
      </c>
      <c r="AH26" s="5" t="s">
        <v>200</v>
      </c>
      <c r="AI26" s="5" t="s">
        <v>314</v>
      </c>
      <c r="AJ26" s="5" t="s">
        <v>206</v>
      </c>
      <c r="AK26" s="5" t="s">
        <v>202</v>
      </c>
      <c r="AL26" s="5" t="s">
        <v>202</v>
      </c>
      <c r="AM26" s="5" t="s">
        <v>202</v>
      </c>
      <c r="AN26" s="5" t="s">
        <v>202</v>
      </c>
      <c r="AO26" s="5" t="s">
        <v>202</v>
      </c>
      <c r="AP26" s="5" t="s">
        <v>200</v>
      </c>
      <c r="AQ26" s="5" t="s">
        <v>315</v>
      </c>
      <c r="AR26" s="5" t="s">
        <v>206</v>
      </c>
      <c r="AS26" s="5" t="s">
        <v>202</v>
      </c>
      <c r="AT26" s="5" t="s">
        <v>202</v>
      </c>
      <c r="AU26" s="5" t="s">
        <v>200</v>
      </c>
      <c r="AV26" s="5" t="s">
        <v>208</v>
      </c>
      <c r="AW26" s="5" t="s">
        <v>203</v>
      </c>
      <c r="AX26" s="5" t="s">
        <v>200</v>
      </c>
      <c r="AY26" s="5" t="s">
        <v>208</v>
      </c>
      <c r="AZ26" s="5" t="s">
        <v>316</v>
      </c>
    </row>
    <row r="27">
      <c r="A27" s="7">
        <v>45867.20277777778</v>
      </c>
      <c r="B27" s="7">
        <v>45867.2125</v>
      </c>
      <c r="C27" s="5" t="s">
        <v>99</v>
      </c>
      <c r="D27" s="5" t="s">
        <v>192</v>
      </c>
      <c r="E27" s="8">
        <v>100.0</v>
      </c>
      <c r="F27" s="8">
        <v>845.0</v>
      </c>
      <c r="G27" s="9" t="b">
        <v>1</v>
      </c>
      <c r="H27" s="7">
        <v>45867.2125</v>
      </c>
      <c r="I27" s="5" t="s">
        <v>317</v>
      </c>
      <c r="K27" s="10"/>
      <c r="L27" s="10"/>
      <c r="M27" s="10"/>
      <c r="N27" s="8">
        <v>60.1816</v>
      </c>
      <c r="O27" s="8">
        <v>24.8368</v>
      </c>
      <c r="P27" s="5" t="s">
        <v>194</v>
      </c>
      <c r="Q27" s="5" t="s">
        <v>195</v>
      </c>
      <c r="R27" s="5" t="s">
        <v>318</v>
      </c>
      <c r="S27" s="5" t="s">
        <v>197</v>
      </c>
      <c r="T27" s="5" t="s">
        <v>198</v>
      </c>
      <c r="U27" s="5" t="s">
        <v>208</v>
      </c>
      <c r="V27" s="5" t="s">
        <v>199</v>
      </c>
      <c r="W27" s="5" t="s">
        <v>198</v>
      </c>
      <c r="X27" s="5" t="s">
        <v>200</v>
      </c>
      <c r="Y27" s="5" t="s">
        <v>198</v>
      </c>
      <c r="Z27" s="5" t="s">
        <v>203</v>
      </c>
      <c r="AA27" s="5" t="s">
        <v>198</v>
      </c>
      <c r="AB27" s="5" t="s">
        <v>200</v>
      </c>
      <c r="AC27" s="5" t="s">
        <v>202</v>
      </c>
      <c r="AD27" s="5" t="s">
        <v>203</v>
      </c>
      <c r="AE27" s="5" t="s">
        <v>208</v>
      </c>
      <c r="AF27" s="5" t="s">
        <v>204</v>
      </c>
      <c r="AG27" s="5" t="s">
        <v>203</v>
      </c>
      <c r="AH27" s="5" t="s">
        <v>202</v>
      </c>
      <c r="AI27" s="5" t="s">
        <v>319</v>
      </c>
      <c r="AJ27" s="5" t="s">
        <v>206</v>
      </c>
      <c r="AK27" s="5" t="s">
        <v>198</v>
      </c>
      <c r="AL27" s="5" t="s">
        <v>200</v>
      </c>
      <c r="AM27" s="5" t="s">
        <v>200</v>
      </c>
      <c r="AN27" s="5" t="s">
        <v>202</v>
      </c>
      <c r="AO27" s="5" t="s">
        <v>200</v>
      </c>
      <c r="AP27" s="5" t="s">
        <v>202</v>
      </c>
      <c r="AQ27" s="5" t="s">
        <v>320</v>
      </c>
      <c r="AR27" s="5" t="s">
        <v>206</v>
      </c>
      <c r="AS27" s="5" t="s">
        <v>200</v>
      </c>
      <c r="AT27" s="5" t="s">
        <v>202</v>
      </c>
      <c r="AU27" s="5" t="s">
        <v>202</v>
      </c>
      <c r="AV27" s="5" t="s">
        <v>204</v>
      </c>
      <c r="AW27" s="5" t="s">
        <v>204</v>
      </c>
      <c r="AX27" s="5" t="s">
        <v>204</v>
      </c>
      <c r="AY27" s="5" t="s">
        <v>204</v>
      </c>
      <c r="AZ27" s="5" t="s">
        <v>321</v>
      </c>
    </row>
    <row r="28">
      <c r="A28" s="7">
        <v>45867.21805555555</v>
      </c>
      <c r="B28" s="7">
        <v>45867.22222222222</v>
      </c>
      <c r="C28" s="5" t="s">
        <v>99</v>
      </c>
      <c r="D28" s="5" t="s">
        <v>256</v>
      </c>
      <c r="E28" s="8">
        <v>100.0</v>
      </c>
      <c r="F28" s="8">
        <v>353.0</v>
      </c>
      <c r="G28" s="9" t="b">
        <v>1</v>
      </c>
      <c r="H28" s="7">
        <v>45867.22222222222</v>
      </c>
      <c r="I28" s="5" t="s">
        <v>322</v>
      </c>
      <c r="K28" s="10"/>
      <c r="L28" s="10"/>
      <c r="M28" s="10"/>
      <c r="N28" s="8">
        <v>60.1816</v>
      </c>
      <c r="O28" s="8">
        <v>24.8368</v>
      </c>
      <c r="P28" s="5" t="s">
        <v>194</v>
      </c>
      <c r="Q28" s="5" t="s">
        <v>195</v>
      </c>
      <c r="R28" s="5" t="s">
        <v>318</v>
      </c>
      <c r="S28" s="5" t="s">
        <v>211</v>
      </c>
      <c r="T28" s="5" t="s">
        <v>200</v>
      </c>
      <c r="U28" s="5" t="s">
        <v>203</v>
      </c>
      <c r="V28" s="5" t="s">
        <v>199</v>
      </c>
      <c r="W28" s="5" t="s">
        <v>202</v>
      </c>
      <c r="X28" s="5" t="s">
        <v>200</v>
      </c>
      <c r="Y28" s="5" t="s">
        <v>198</v>
      </c>
      <c r="Z28" s="5" t="s">
        <v>203</v>
      </c>
      <c r="AA28" s="5" t="s">
        <v>203</v>
      </c>
      <c r="AB28" s="5" t="s">
        <v>202</v>
      </c>
      <c r="AC28" s="5" t="s">
        <v>202</v>
      </c>
      <c r="AD28" s="5" t="s">
        <v>202</v>
      </c>
      <c r="AE28" s="5" t="s">
        <v>208</v>
      </c>
      <c r="AF28" s="5" t="s">
        <v>198</v>
      </c>
      <c r="AG28" s="5" t="s">
        <v>203</v>
      </c>
      <c r="AH28" s="5" t="s">
        <v>200</v>
      </c>
      <c r="AI28" s="5" t="s">
        <v>323</v>
      </c>
      <c r="AJ28" s="5" t="s">
        <v>206</v>
      </c>
      <c r="AK28" s="5" t="s">
        <v>202</v>
      </c>
      <c r="AL28" s="5" t="s">
        <v>202</v>
      </c>
      <c r="AM28" s="5" t="s">
        <v>202</v>
      </c>
      <c r="AN28" s="5" t="s">
        <v>201</v>
      </c>
      <c r="AO28" s="5" t="s">
        <v>201</v>
      </c>
      <c r="AP28" s="5" t="s">
        <v>202</v>
      </c>
      <c r="AQ28" s="5" t="s">
        <v>324</v>
      </c>
      <c r="AR28" s="5" t="s">
        <v>206</v>
      </c>
      <c r="AS28" s="5" t="s">
        <v>202</v>
      </c>
      <c r="AT28" s="5" t="s">
        <v>202</v>
      </c>
      <c r="AU28" s="5" t="s">
        <v>202</v>
      </c>
      <c r="AV28" s="5" t="s">
        <v>204</v>
      </c>
      <c r="AW28" s="5" t="s">
        <v>204</v>
      </c>
      <c r="AX28" s="5" t="s">
        <v>204</v>
      </c>
      <c r="AY28" s="5" t="s">
        <v>204</v>
      </c>
      <c r="AZ28" s="5" t="s">
        <v>325</v>
      </c>
    </row>
    <row r="29">
      <c r="A29" s="7">
        <v>45867.225</v>
      </c>
      <c r="B29" s="7">
        <v>45867.23125</v>
      </c>
      <c r="C29" s="5" t="s">
        <v>99</v>
      </c>
      <c r="D29" s="5" t="s">
        <v>256</v>
      </c>
      <c r="E29" s="8">
        <v>100.0</v>
      </c>
      <c r="F29" s="8">
        <v>560.0</v>
      </c>
      <c r="G29" s="9" t="b">
        <v>1</v>
      </c>
      <c r="H29" s="7">
        <v>45867.23125</v>
      </c>
      <c r="I29" s="5" t="s">
        <v>326</v>
      </c>
      <c r="K29" s="10"/>
      <c r="L29" s="10"/>
      <c r="M29" s="10"/>
      <c r="N29" s="8">
        <v>60.1816</v>
      </c>
      <c r="O29" s="8">
        <v>24.8368</v>
      </c>
      <c r="P29" s="5" t="s">
        <v>194</v>
      </c>
      <c r="Q29" s="5" t="s">
        <v>195</v>
      </c>
      <c r="R29" s="5" t="s">
        <v>318</v>
      </c>
      <c r="S29" s="5" t="s">
        <v>216</v>
      </c>
      <c r="T29" s="5" t="s">
        <v>203</v>
      </c>
      <c r="U29" s="5" t="s">
        <v>198</v>
      </c>
      <c r="V29" s="5" t="s">
        <v>199</v>
      </c>
      <c r="W29" s="5" t="s">
        <v>202</v>
      </c>
      <c r="X29" s="5" t="s">
        <v>202</v>
      </c>
      <c r="Y29" s="5" t="s">
        <v>198</v>
      </c>
      <c r="Z29" s="5" t="s">
        <v>198</v>
      </c>
      <c r="AA29" s="5" t="s">
        <v>200</v>
      </c>
      <c r="AB29" s="5" t="s">
        <v>202</v>
      </c>
      <c r="AC29" s="5" t="s">
        <v>202</v>
      </c>
      <c r="AD29" s="5" t="s">
        <v>200</v>
      </c>
      <c r="AE29" s="5" t="s">
        <v>198</v>
      </c>
      <c r="AF29" s="5" t="s">
        <v>203</v>
      </c>
      <c r="AG29" s="5" t="s">
        <v>198</v>
      </c>
      <c r="AH29" s="5" t="s">
        <v>200</v>
      </c>
      <c r="AI29" s="5" t="s">
        <v>327</v>
      </c>
      <c r="AJ29" s="5" t="s">
        <v>206</v>
      </c>
      <c r="AK29" s="5" t="s">
        <v>202</v>
      </c>
      <c r="AL29" s="5" t="s">
        <v>201</v>
      </c>
      <c r="AM29" s="5" t="s">
        <v>202</v>
      </c>
      <c r="AN29" s="5" t="s">
        <v>201</v>
      </c>
      <c r="AO29" s="5" t="s">
        <v>201</v>
      </c>
      <c r="AP29" s="5" t="s">
        <v>201</v>
      </c>
      <c r="AQ29" s="5" t="s">
        <v>328</v>
      </c>
      <c r="AR29" s="5" t="s">
        <v>206</v>
      </c>
      <c r="AS29" s="5" t="s">
        <v>202</v>
      </c>
      <c r="AT29" s="5" t="s">
        <v>201</v>
      </c>
      <c r="AU29" s="5" t="s">
        <v>200</v>
      </c>
      <c r="AV29" s="5" t="s">
        <v>204</v>
      </c>
      <c r="AW29" s="5" t="s">
        <v>204</v>
      </c>
      <c r="AX29" s="5" t="s">
        <v>204</v>
      </c>
      <c r="AY29" s="5" t="s">
        <v>204</v>
      </c>
      <c r="AZ29" s="5" t="s">
        <v>329</v>
      </c>
    </row>
    <row r="30">
      <c r="A30" s="7">
        <v>45867.228472222225</v>
      </c>
      <c r="B30" s="7">
        <v>45867.240277777775</v>
      </c>
      <c r="C30" s="5" t="s">
        <v>99</v>
      </c>
      <c r="D30" s="5" t="s">
        <v>192</v>
      </c>
      <c r="E30" s="8">
        <v>100.0</v>
      </c>
      <c r="F30" s="8">
        <v>990.0</v>
      </c>
      <c r="G30" s="9" t="b">
        <v>1</v>
      </c>
      <c r="H30" s="7">
        <v>45867.240277777775</v>
      </c>
      <c r="I30" s="5" t="s">
        <v>330</v>
      </c>
      <c r="K30" s="10"/>
      <c r="L30" s="10"/>
      <c r="M30" s="10"/>
      <c r="N30" s="8">
        <v>60.1816</v>
      </c>
      <c r="O30" s="8">
        <v>24.8368</v>
      </c>
      <c r="P30" s="5" t="s">
        <v>194</v>
      </c>
      <c r="Q30" s="5" t="s">
        <v>195</v>
      </c>
      <c r="R30" s="5" t="s">
        <v>331</v>
      </c>
      <c r="S30" s="5" t="s">
        <v>197</v>
      </c>
      <c r="T30" s="5" t="s">
        <v>202</v>
      </c>
      <c r="U30" s="5" t="s">
        <v>202</v>
      </c>
      <c r="V30" s="5" t="s">
        <v>199</v>
      </c>
      <c r="W30" s="5" t="s">
        <v>202</v>
      </c>
      <c r="X30" s="5" t="s">
        <v>201</v>
      </c>
      <c r="Y30" s="5" t="s">
        <v>200</v>
      </c>
      <c r="Z30" s="5" t="s">
        <v>202</v>
      </c>
      <c r="AA30" s="5" t="s">
        <v>202</v>
      </c>
      <c r="AB30" s="5" t="s">
        <v>200</v>
      </c>
      <c r="AC30" s="5" t="s">
        <v>200</v>
      </c>
      <c r="AD30" s="5" t="s">
        <v>201</v>
      </c>
      <c r="AE30" s="5" t="s">
        <v>198</v>
      </c>
      <c r="AF30" s="5" t="s">
        <v>200</v>
      </c>
      <c r="AG30" s="5" t="s">
        <v>201</v>
      </c>
      <c r="AH30" s="5" t="s">
        <v>208</v>
      </c>
      <c r="AI30" s="5" t="s">
        <v>332</v>
      </c>
      <c r="AJ30" s="5" t="s">
        <v>206</v>
      </c>
      <c r="AK30" s="5" t="s">
        <v>200</v>
      </c>
      <c r="AL30" s="5" t="s">
        <v>201</v>
      </c>
      <c r="AM30" s="5" t="s">
        <v>201</v>
      </c>
      <c r="AN30" s="5" t="s">
        <v>201</v>
      </c>
      <c r="AO30" s="5" t="s">
        <v>201</v>
      </c>
      <c r="AP30" s="5" t="s">
        <v>203</v>
      </c>
      <c r="AQ30" s="5" t="s">
        <v>333</v>
      </c>
      <c r="AR30" s="5" t="s">
        <v>206</v>
      </c>
      <c r="AS30" s="5" t="s">
        <v>201</v>
      </c>
      <c r="AT30" s="5" t="s">
        <v>202</v>
      </c>
      <c r="AU30" s="5" t="s">
        <v>201</v>
      </c>
      <c r="AV30" s="5" t="s">
        <v>208</v>
      </c>
      <c r="AW30" s="5" t="s">
        <v>204</v>
      </c>
      <c r="AX30" s="5" t="s">
        <v>208</v>
      </c>
      <c r="AY30" s="5" t="s">
        <v>204</v>
      </c>
      <c r="AZ30" s="5" t="s">
        <v>334</v>
      </c>
    </row>
    <row r="31">
      <c r="A31" s="7">
        <v>45867.24097222222</v>
      </c>
      <c r="B31" s="7">
        <v>45867.25208333333</v>
      </c>
      <c r="C31" s="5" t="s">
        <v>99</v>
      </c>
      <c r="D31" s="5" t="s">
        <v>256</v>
      </c>
      <c r="E31" s="8">
        <v>100.0</v>
      </c>
      <c r="F31" s="8">
        <v>934.0</v>
      </c>
      <c r="G31" s="9" t="b">
        <v>1</v>
      </c>
      <c r="H31" s="7">
        <v>45867.25208333333</v>
      </c>
      <c r="I31" s="5" t="s">
        <v>335</v>
      </c>
      <c r="L31" s="10"/>
      <c r="M31" s="10"/>
      <c r="N31" s="8">
        <v>60.1816</v>
      </c>
      <c r="O31" s="8">
        <v>24.8368</v>
      </c>
      <c r="P31" s="5" t="s">
        <v>194</v>
      </c>
      <c r="Q31" s="5" t="s">
        <v>195</v>
      </c>
      <c r="R31" s="5" t="s">
        <v>331</v>
      </c>
      <c r="S31" s="5" t="s">
        <v>211</v>
      </c>
      <c r="T31" s="5" t="s">
        <v>200</v>
      </c>
      <c r="U31" s="5" t="s">
        <v>202</v>
      </c>
      <c r="V31" s="5" t="s">
        <v>199</v>
      </c>
      <c r="W31" s="5" t="s">
        <v>202</v>
      </c>
      <c r="X31" s="5" t="s">
        <v>202</v>
      </c>
      <c r="Y31" s="5" t="s">
        <v>202</v>
      </c>
      <c r="Z31" s="5" t="s">
        <v>202</v>
      </c>
      <c r="AA31" s="5" t="s">
        <v>201</v>
      </c>
      <c r="AB31" s="5" t="s">
        <v>202</v>
      </c>
      <c r="AC31" s="5" t="s">
        <v>200</v>
      </c>
      <c r="AD31" s="5" t="s">
        <v>201</v>
      </c>
      <c r="AE31" s="5" t="s">
        <v>202</v>
      </c>
      <c r="AF31" s="5" t="s">
        <v>198</v>
      </c>
      <c r="AG31" s="5" t="s">
        <v>202</v>
      </c>
      <c r="AH31" s="5" t="s">
        <v>208</v>
      </c>
      <c r="AI31" s="5" t="s">
        <v>336</v>
      </c>
      <c r="AJ31" s="5" t="s">
        <v>206</v>
      </c>
      <c r="AK31" s="5" t="s">
        <v>202</v>
      </c>
      <c r="AL31" s="5" t="s">
        <v>202</v>
      </c>
      <c r="AM31" s="5" t="s">
        <v>201</v>
      </c>
      <c r="AN31" s="5" t="s">
        <v>201</v>
      </c>
      <c r="AO31" s="5" t="s">
        <v>202</v>
      </c>
      <c r="AP31" s="5" t="s">
        <v>198</v>
      </c>
      <c r="AQ31" s="5" t="s">
        <v>337</v>
      </c>
      <c r="AR31" s="5" t="s">
        <v>206</v>
      </c>
      <c r="AS31" s="5" t="s">
        <v>201</v>
      </c>
      <c r="AT31" s="5" t="s">
        <v>201</v>
      </c>
      <c r="AU31" s="5" t="s">
        <v>201</v>
      </c>
      <c r="AV31" s="5" t="s">
        <v>204</v>
      </c>
      <c r="AW31" s="5" t="s">
        <v>204</v>
      </c>
      <c r="AX31" s="5" t="s">
        <v>204</v>
      </c>
      <c r="AY31" s="5" t="s">
        <v>204</v>
      </c>
      <c r="AZ31" s="5" t="s">
        <v>338</v>
      </c>
    </row>
    <row r="32">
      <c r="A32" s="7">
        <v>45867.24930555555</v>
      </c>
      <c r="B32" s="7">
        <v>45867.254166666666</v>
      </c>
      <c r="C32" s="5" t="s">
        <v>99</v>
      </c>
      <c r="D32" s="5" t="s">
        <v>192</v>
      </c>
      <c r="E32" s="8">
        <v>100.0</v>
      </c>
      <c r="F32" s="8">
        <v>468.0</v>
      </c>
      <c r="G32" s="9" t="b">
        <v>1</v>
      </c>
      <c r="H32" s="7">
        <v>45867.25486111111</v>
      </c>
      <c r="I32" s="5" t="s">
        <v>339</v>
      </c>
      <c r="K32" s="10"/>
      <c r="L32" s="10"/>
      <c r="M32" s="10"/>
      <c r="N32" s="8">
        <v>60.1816</v>
      </c>
      <c r="O32" s="8">
        <v>24.8368</v>
      </c>
      <c r="P32" s="5" t="s">
        <v>194</v>
      </c>
      <c r="Q32" s="5" t="s">
        <v>195</v>
      </c>
      <c r="R32" s="5" t="s">
        <v>318</v>
      </c>
      <c r="S32" s="5" t="s">
        <v>263</v>
      </c>
      <c r="T32" s="5" t="s">
        <v>200</v>
      </c>
      <c r="U32" s="5" t="s">
        <v>203</v>
      </c>
      <c r="V32" s="5" t="s">
        <v>199</v>
      </c>
      <c r="W32" s="5" t="s">
        <v>200</v>
      </c>
      <c r="X32" s="5" t="s">
        <v>202</v>
      </c>
      <c r="Y32" s="5" t="s">
        <v>203</v>
      </c>
      <c r="Z32" s="5" t="s">
        <v>208</v>
      </c>
      <c r="AA32" s="5" t="s">
        <v>203</v>
      </c>
      <c r="AB32" s="5" t="s">
        <v>202</v>
      </c>
      <c r="AC32" s="5" t="s">
        <v>202</v>
      </c>
      <c r="AD32" s="5" t="s">
        <v>200</v>
      </c>
      <c r="AE32" s="5" t="s">
        <v>203</v>
      </c>
      <c r="AF32" s="5" t="s">
        <v>198</v>
      </c>
      <c r="AG32" s="5" t="s">
        <v>200</v>
      </c>
      <c r="AH32" s="5" t="s">
        <v>200</v>
      </c>
      <c r="AI32" s="5" t="s">
        <v>340</v>
      </c>
      <c r="AJ32" s="5" t="s">
        <v>206</v>
      </c>
      <c r="AK32" s="5" t="s">
        <v>200</v>
      </c>
      <c r="AL32" s="5" t="s">
        <v>201</v>
      </c>
      <c r="AM32" s="5" t="s">
        <v>202</v>
      </c>
      <c r="AN32" s="5" t="s">
        <v>201</v>
      </c>
      <c r="AO32" s="5" t="s">
        <v>201</v>
      </c>
      <c r="AP32" s="5" t="s">
        <v>201</v>
      </c>
      <c r="AQ32" s="5" t="s">
        <v>341</v>
      </c>
      <c r="AR32" s="5" t="s">
        <v>206</v>
      </c>
      <c r="AS32" s="5" t="s">
        <v>202</v>
      </c>
      <c r="AT32" s="5" t="s">
        <v>198</v>
      </c>
      <c r="AU32" s="5" t="s">
        <v>200</v>
      </c>
      <c r="AV32" s="5" t="s">
        <v>203</v>
      </c>
      <c r="AW32" s="5" t="s">
        <v>204</v>
      </c>
      <c r="AX32" s="5" t="s">
        <v>200</v>
      </c>
      <c r="AY32" s="5" t="s">
        <v>198</v>
      </c>
      <c r="AZ32" s="5" t="s">
        <v>342</v>
      </c>
    </row>
    <row r="33">
      <c r="A33" s="7">
        <v>45867.20694444444</v>
      </c>
      <c r="B33" s="7">
        <v>45867.26388888889</v>
      </c>
      <c r="C33" s="5" t="s">
        <v>99</v>
      </c>
      <c r="D33" s="5" t="s">
        <v>256</v>
      </c>
      <c r="E33" s="8">
        <v>100.0</v>
      </c>
      <c r="F33" s="8">
        <v>4924.0</v>
      </c>
      <c r="G33" s="9" t="b">
        <v>1</v>
      </c>
      <c r="H33" s="7">
        <v>45867.26388888889</v>
      </c>
      <c r="I33" s="5" t="s">
        <v>343</v>
      </c>
      <c r="K33" s="10"/>
      <c r="L33" s="10"/>
      <c r="M33" s="10"/>
      <c r="N33" s="8">
        <v>60.1816</v>
      </c>
      <c r="O33" s="8">
        <v>24.8368</v>
      </c>
      <c r="P33" s="5" t="s">
        <v>194</v>
      </c>
      <c r="Q33" s="5" t="s">
        <v>195</v>
      </c>
      <c r="R33" s="5" t="s">
        <v>331</v>
      </c>
      <c r="S33" s="5" t="s">
        <v>216</v>
      </c>
      <c r="T33" s="5" t="s">
        <v>202</v>
      </c>
      <c r="U33" s="5" t="s">
        <v>202</v>
      </c>
      <c r="V33" s="5" t="s">
        <v>199</v>
      </c>
      <c r="W33" s="5" t="s">
        <v>202</v>
      </c>
      <c r="X33" s="5" t="s">
        <v>201</v>
      </c>
      <c r="Y33" s="5" t="s">
        <v>202</v>
      </c>
      <c r="Z33" s="5" t="s">
        <v>202</v>
      </c>
      <c r="AA33" s="5" t="s">
        <v>202</v>
      </c>
      <c r="AB33" s="5" t="s">
        <v>202</v>
      </c>
      <c r="AC33" s="5" t="s">
        <v>200</v>
      </c>
      <c r="AD33" s="5" t="s">
        <v>202</v>
      </c>
      <c r="AE33" s="5" t="s">
        <v>202</v>
      </c>
      <c r="AF33" s="5" t="s">
        <v>198</v>
      </c>
      <c r="AG33" s="5" t="s">
        <v>202</v>
      </c>
      <c r="AH33" s="5" t="s">
        <v>200</v>
      </c>
      <c r="AI33" s="5" t="s">
        <v>344</v>
      </c>
      <c r="AJ33" s="5" t="s">
        <v>206</v>
      </c>
      <c r="AK33" s="5" t="s">
        <v>202</v>
      </c>
      <c r="AL33" s="5" t="s">
        <v>202</v>
      </c>
      <c r="AM33" s="5" t="s">
        <v>202</v>
      </c>
      <c r="AN33" s="5" t="s">
        <v>202</v>
      </c>
      <c r="AO33" s="5" t="s">
        <v>202</v>
      </c>
      <c r="AP33" s="5" t="s">
        <v>202</v>
      </c>
      <c r="AQ33" s="5" t="s">
        <v>345</v>
      </c>
      <c r="AR33" s="5" t="s">
        <v>206</v>
      </c>
      <c r="AS33" s="5" t="s">
        <v>202</v>
      </c>
      <c r="AT33" s="5" t="s">
        <v>201</v>
      </c>
      <c r="AU33" s="5" t="s">
        <v>202</v>
      </c>
      <c r="AV33" s="5" t="s">
        <v>204</v>
      </c>
      <c r="AW33" s="5" t="s">
        <v>204</v>
      </c>
      <c r="AX33" s="5" t="s">
        <v>204</v>
      </c>
      <c r="AY33" s="5" t="s">
        <v>204</v>
      </c>
      <c r="AZ33" s="5" t="s">
        <v>346</v>
      </c>
    </row>
    <row r="34">
      <c r="A34" s="7">
        <v>45867.26666666667</v>
      </c>
      <c r="B34" s="7">
        <v>45867.27569444444</v>
      </c>
      <c r="C34" s="5" t="s">
        <v>99</v>
      </c>
      <c r="D34" s="5" t="s">
        <v>347</v>
      </c>
      <c r="E34" s="8">
        <v>100.0</v>
      </c>
      <c r="F34" s="8">
        <v>764.0</v>
      </c>
      <c r="G34" s="9" t="b">
        <v>1</v>
      </c>
      <c r="H34" s="7">
        <v>45867.27569444444</v>
      </c>
      <c r="I34" s="5" t="s">
        <v>348</v>
      </c>
      <c r="K34" s="10"/>
      <c r="L34" s="10"/>
      <c r="M34" s="10"/>
      <c r="N34" s="8">
        <v>60.2141</v>
      </c>
      <c r="O34" s="8">
        <v>24.896</v>
      </c>
      <c r="P34" s="5" t="s">
        <v>194</v>
      </c>
      <c r="Q34" s="5" t="s">
        <v>195</v>
      </c>
      <c r="R34" s="5" t="s">
        <v>331</v>
      </c>
      <c r="S34" s="5" t="s">
        <v>263</v>
      </c>
      <c r="T34" s="5" t="s">
        <v>201</v>
      </c>
      <c r="U34" s="5" t="s">
        <v>202</v>
      </c>
      <c r="V34" s="5" t="s">
        <v>199</v>
      </c>
      <c r="W34" s="5" t="s">
        <v>202</v>
      </c>
      <c r="X34" s="5" t="s">
        <v>202</v>
      </c>
      <c r="Y34" s="5" t="s">
        <v>201</v>
      </c>
      <c r="Z34" s="5" t="s">
        <v>202</v>
      </c>
      <c r="AA34" s="5" t="s">
        <v>201</v>
      </c>
      <c r="AB34" s="5" t="s">
        <v>202</v>
      </c>
      <c r="AC34" s="5" t="s">
        <v>202</v>
      </c>
      <c r="AD34" s="5" t="s">
        <v>200</v>
      </c>
      <c r="AE34" s="5" t="s">
        <v>202</v>
      </c>
      <c r="AF34" s="5" t="s">
        <v>208</v>
      </c>
      <c r="AG34" s="5" t="s">
        <v>202</v>
      </c>
      <c r="AH34" s="5" t="s">
        <v>208</v>
      </c>
      <c r="AI34" s="5" t="s">
        <v>349</v>
      </c>
      <c r="AJ34" s="5" t="s">
        <v>206</v>
      </c>
      <c r="AK34" s="5" t="s">
        <v>200</v>
      </c>
      <c r="AL34" s="5" t="s">
        <v>201</v>
      </c>
      <c r="AM34" s="5" t="s">
        <v>202</v>
      </c>
      <c r="AN34" s="5" t="s">
        <v>200</v>
      </c>
      <c r="AO34" s="5" t="s">
        <v>202</v>
      </c>
      <c r="AP34" s="5" t="s">
        <v>202</v>
      </c>
      <c r="AQ34" s="5" t="s">
        <v>350</v>
      </c>
      <c r="AR34" s="5" t="s">
        <v>206</v>
      </c>
      <c r="AS34" s="5" t="s">
        <v>202</v>
      </c>
      <c r="AT34" s="5" t="s">
        <v>201</v>
      </c>
      <c r="AU34" s="5" t="s">
        <v>201</v>
      </c>
      <c r="AV34" s="5" t="s">
        <v>208</v>
      </c>
      <c r="AW34" s="5" t="s">
        <v>198</v>
      </c>
      <c r="AX34" s="5" t="s">
        <v>208</v>
      </c>
      <c r="AY34" s="5" t="s">
        <v>204</v>
      </c>
      <c r="AZ34" s="5" t="s">
        <v>351</v>
      </c>
    </row>
    <row r="35">
      <c r="A35" s="7">
        <v>45867.26944444444</v>
      </c>
      <c r="B35" s="7">
        <v>45867.282638888886</v>
      </c>
      <c r="C35" s="5" t="s">
        <v>99</v>
      </c>
      <c r="D35" s="5" t="s">
        <v>192</v>
      </c>
      <c r="E35" s="8">
        <v>100.0</v>
      </c>
      <c r="F35" s="8">
        <v>1145.0</v>
      </c>
      <c r="G35" s="9" t="b">
        <v>1</v>
      </c>
      <c r="H35" s="7">
        <v>45867.282638888886</v>
      </c>
      <c r="I35" s="5" t="s">
        <v>352</v>
      </c>
      <c r="K35" s="10"/>
      <c r="L35" s="10"/>
      <c r="M35" s="10"/>
      <c r="N35" s="8">
        <v>60.1816</v>
      </c>
      <c r="O35" s="8">
        <v>24.8368</v>
      </c>
      <c r="P35" s="5" t="s">
        <v>194</v>
      </c>
      <c r="Q35" s="5" t="s">
        <v>195</v>
      </c>
      <c r="R35" s="5" t="s">
        <v>353</v>
      </c>
      <c r="S35" s="5" t="s">
        <v>197</v>
      </c>
      <c r="T35" s="5" t="s">
        <v>208</v>
      </c>
      <c r="U35" s="5" t="s">
        <v>204</v>
      </c>
      <c r="V35" s="5" t="s">
        <v>199</v>
      </c>
      <c r="W35" s="5" t="s">
        <v>208</v>
      </c>
      <c r="X35" s="5" t="s">
        <v>200</v>
      </c>
      <c r="Y35" s="5" t="s">
        <v>204</v>
      </c>
      <c r="Z35" s="5" t="s">
        <v>203</v>
      </c>
      <c r="AA35" s="5" t="s">
        <v>198</v>
      </c>
      <c r="AB35" s="5" t="s">
        <v>208</v>
      </c>
      <c r="AC35" s="5" t="s">
        <v>203</v>
      </c>
      <c r="AD35" s="5" t="s">
        <v>198</v>
      </c>
      <c r="AE35" s="5" t="s">
        <v>204</v>
      </c>
      <c r="AF35" s="5" t="s">
        <v>204</v>
      </c>
      <c r="AG35" s="5" t="s">
        <v>198</v>
      </c>
      <c r="AH35" s="5" t="s">
        <v>201</v>
      </c>
      <c r="AI35" s="5" t="s">
        <v>354</v>
      </c>
      <c r="AJ35" s="5" t="s">
        <v>206</v>
      </c>
      <c r="AK35" s="5" t="s">
        <v>203</v>
      </c>
      <c r="AL35" s="5" t="s">
        <v>198</v>
      </c>
      <c r="AM35" s="5" t="s">
        <v>200</v>
      </c>
      <c r="AN35" s="5" t="s">
        <v>200</v>
      </c>
      <c r="AO35" s="5" t="s">
        <v>203</v>
      </c>
      <c r="AP35" s="5" t="s">
        <v>201</v>
      </c>
      <c r="AQ35" s="5" t="s">
        <v>355</v>
      </c>
      <c r="AR35" s="5" t="s">
        <v>206</v>
      </c>
      <c r="AS35" s="5" t="s">
        <v>203</v>
      </c>
      <c r="AT35" s="5" t="s">
        <v>200</v>
      </c>
      <c r="AU35" s="5" t="s">
        <v>200</v>
      </c>
      <c r="AV35" s="5" t="s">
        <v>198</v>
      </c>
      <c r="AW35" s="5" t="s">
        <v>208</v>
      </c>
      <c r="AX35" s="5" t="s">
        <v>200</v>
      </c>
      <c r="AY35" s="5" t="s">
        <v>204</v>
      </c>
      <c r="AZ35" s="5" t="s">
        <v>356</v>
      </c>
    </row>
    <row r="36">
      <c r="A36" s="7">
        <v>45867.28888888889</v>
      </c>
      <c r="B36" s="7">
        <v>45867.29375</v>
      </c>
      <c r="C36" s="5" t="s">
        <v>99</v>
      </c>
      <c r="D36" s="5" t="s">
        <v>192</v>
      </c>
      <c r="E36" s="8">
        <v>100.0</v>
      </c>
      <c r="F36" s="8">
        <v>418.0</v>
      </c>
      <c r="G36" s="9" t="b">
        <v>1</v>
      </c>
      <c r="H36" s="7">
        <v>45867.29375</v>
      </c>
      <c r="I36" s="5" t="s">
        <v>357</v>
      </c>
      <c r="L36" s="10"/>
      <c r="M36" s="10"/>
      <c r="N36" s="8">
        <v>60.1816</v>
      </c>
      <c r="O36" s="8">
        <v>24.8368</v>
      </c>
      <c r="P36" s="5" t="s">
        <v>194</v>
      </c>
      <c r="Q36" s="5" t="s">
        <v>195</v>
      </c>
      <c r="R36" s="5" t="s">
        <v>353</v>
      </c>
      <c r="S36" s="5" t="s">
        <v>263</v>
      </c>
      <c r="T36" s="5" t="s">
        <v>208</v>
      </c>
      <c r="U36" s="5" t="s">
        <v>203</v>
      </c>
      <c r="V36" s="5" t="s">
        <v>199</v>
      </c>
      <c r="W36" s="5" t="s">
        <v>198</v>
      </c>
      <c r="X36" s="5" t="s">
        <v>204</v>
      </c>
      <c r="Y36" s="5" t="s">
        <v>204</v>
      </c>
      <c r="Z36" s="5" t="s">
        <v>198</v>
      </c>
      <c r="AA36" s="5" t="s">
        <v>198</v>
      </c>
      <c r="AB36" s="5" t="s">
        <v>202</v>
      </c>
      <c r="AC36" s="5" t="s">
        <v>202</v>
      </c>
      <c r="AD36" s="5" t="s">
        <v>202</v>
      </c>
      <c r="AE36" s="5" t="s">
        <v>208</v>
      </c>
      <c r="AF36" s="5" t="s">
        <v>204</v>
      </c>
      <c r="AG36" s="5" t="s">
        <v>208</v>
      </c>
      <c r="AH36" s="5" t="s">
        <v>201</v>
      </c>
      <c r="AI36" s="11" t="s">
        <v>358</v>
      </c>
      <c r="AJ36" s="5" t="s">
        <v>206</v>
      </c>
      <c r="AK36" s="5" t="s">
        <v>203</v>
      </c>
      <c r="AL36" s="5" t="s">
        <v>200</v>
      </c>
      <c r="AM36" s="5" t="s">
        <v>202</v>
      </c>
      <c r="AN36" s="5" t="s">
        <v>198</v>
      </c>
      <c r="AO36" s="5" t="s">
        <v>201</v>
      </c>
      <c r="AP36" s="5" t="s">
        <v>200</v>
      </c>
      <c r="AQ36" s="5" t="s">
        <v>359</v>
      </c>
      <c r="AR36" s="5" t="s">
        <v>206</v>
      </c>
      <c r="AS36" s="5" t="s">
        <v>200</v>
      </c>
      <c r="AT36" s="5" t="s">
        <v>202</v>
      </c>
      <c r="AU36" s="5" t="s">
        <v>198</v>
      </c>
      <c r="AV36" s="5" t="s">
        <v>198</v>
      </c>
      <c r="AW36" s="5" t="s">
        <v>198</v>
      </c>
      <c r="AX36" s="5" t="s">
        <v>200</v>
      </c>
      <c r="AY36" s="5" t="s">
        <v>198</v>
      </c>
      <c r="AZ36" s="5" t="s">
        <v>360</v>
      </c>
    </row>
    <row r="37">
      <c r="A37" s="7">
        <v>45867.274305555555</v>
      </c>
      <c r="B37" s="7">
        <v>45867.29375</v>
      </c>
      <c r="C37" s="5" t="s">
        <v>99</v>
      </c>
      <c r="D37" s="5" t="s">
        <v>256</v>
      </c>
      <c r="E37" s="8">
        <v>100.0</v>
      </c>
      <c r="F37" s="8">
        <v>1716.0</v>
      </c>
      <c r="G37" s="9" t="b">
        <v>1</v>
      </c>
      <c r="H37" s="7">
        <v>45867.29375</v>
      </c>
      <c r="I37" s="5" t="s">
        <v>361</v>
      </c>
      <c r="K37" s="10"/>
      <c r="L37" s="10"/>
      <c r="M37" s="10"/>
      <c r="N37" s="8">
        <v>60.1816</v>
      </c>
      <c r="O37" s="8">
        <v>24.8368</v>
      </c>
      <c r="P37" s="5" t="s">
        <v>194</v>
      </c>
      <c r="Q37" s="5" t="s">
        <v>195</v>
      </c>
      <c r="R37" s="5" t="s">
        <v>362</v>
      </c>
      <c r="S37" s="5" t="s">
        <v>216</v>
      </c>
      <c r="T37" s="5" t="s">
        <v>200</v>
      </c>
      <c r="U37" s="5" t="s">
        <v>201</v>
      </c>
      <c r="V37" s="5" t="s">
        <v>199</v>
      </c>
      <c r="W37" s="5" t="s">
        <v>202</v>
      </c>
      <c r="X37" s="5" t="s">
        <v>201</v>
      </c>
      <c r="Y37" s="5" t="s">
        <v>198</v>
      </c>
      <c r="Z37" s="5" t="s">
        <v>202</v>
      </c>
      <c r="AA37" s="5" t="s">
        <v>201</v>
      </c>
      <c r="AB37" s="5" t="s">
        <v>201</v>
      </c>
      <c r="AC37" s="5" t="s">
        <v>201</v>
      </c>
      <c r="AD37" s="5" t="s">
        <v>201</v>
      </c>
      <c r="AE37" s="5" t="s">
        <v>208</v>
      </c>
      <c r="AF37" s="5" t="s">
        <v>200</v>
      </c>
      <c r="AG37" s="5" t="s">
        <v>200</v>
      </c>
      <c r="AH37" s="5" t="s">
        <v>203</v>
      </c>
      <c r="AI37" s="11" t="s">
        <v>363</v>
      </c>
      <c r="AJ37" s="5" t="s">
        <v>206</v>
      </c>
      <c r="AK37" s="5" t="s">
        <v>202</v>
      </c>
      <c r="AL37" s="5" t="s">
        <v>202</v>
      </c>
      <c r="AM37" s="5" t="s">
        <v>201</v>
      </c>
      <c r="AN37" s="5" t="s">
        <v>201</v>
      </c>
      <c r="AO37" s="5" t="s">
        <v>201</v>
      </c>
      <c r="AP37" s="5" t="s">
        <v>201</v>
      </c>
      <c r="AQ37" s="5" t="s">
        <v>364</v>
      </c>
      <c r="AR37" s="5" t="s">
        <v>206</v>
      </c>
      <c r="AS37" s="5" t="s">
        <v>201</v>
      </c>
      <c r="AT37" s="5" t="s">
        <v>202</v>
      </c>
      <c r="AU37" s="5" t="s">
        <v>201</v>
      </c>
      <c r="AV37" s="5" t="s">
        <v>204</v>
      </c>
      <c r="AW37" s="5" t="s">
        <v>204</v>
      </c>
      <c r="AX37" s="5" t="s">
        <v>204</v>
      </c>
      <c r="AY37" s="5" t="s">
        <v>204</v>
      </c>
      <c r="AZ37" s="11" t="s">
        <v>365</v>
      </c>
    </row>
    <row r="38">
      <c r="A38" s="7">
        <v>45867.294444444444</v>
      </c>
      <c r="B38" s="7">
        <v>45867.305555555555</v>
      </c>
      <c r="C38" s="5" t="s">
        <v>99</v>
      </c>
      <c r="D38" s="5" t="s">
        <v>256</v>
      </c>
      <c r="E38" s="8">
        <v>100.0</v>
      </c>
      <c r="F38" s="8">
        <v>1001.0</v>
      </c>
      <c r="G38" s="9" t="b">
        <v>1</v>
      </c>
      <c r="H38" s="7">
        <v>45867.305555555555</v>
      </c>
      <c r="I38" s="5" t="s">
        <v>366</v>
      </c>
      <c r="K38" s="10"/>
      <c r="L38" s="10"/>
      <c r="M38" s="10"/>
      <c r="N38" s="8">
        <v>60.1816</v>
      </c>
      <c r="O38" s="8">
        <v>24.8368</v>
      </c>
      <c r="P38" s="5" t="s">
        <v>194</v>
      </c>
      <c r="Q38" s="5" t="s">
        <v>195</v>
      </c>
      <c r="R38" s="5" t="s">
        <v>353</v>
      </c>
      <c r="S38" s="5" t="s">
        <v>216</v>
      </c>
      <c r="T38" s="5" t="s">
        <v>203</v>
      </c>
      <c r="U38" s="5" t="s">
        <v>208</v>
      </c>
      <c r="V38" s="5" t="s">
        <v>199</v>
      </c>
      <c r="W38" s="5" t="s">
        <v>203</v>
      </c>
      <c r="X38" s="5" t="s">
        <v>208</v>
      </c>
      <c r="Y38" s="5" t="s">
        <v>204</v>
      </c>
      <c r="Z38" s="5" t="s">
        <v>198</v>
      </c>
      <c r="AA38" s="5" t="s">
        <v>202</v>
      </c>
      <c r="AB38" s="5" t="s">
        <v>198</v>
      </c>
      <c r="AC38" s="5" t="s">
        <v>202</v>
      </c>
      <c r="AD38" s="5" t="s">
        <v>202</v>
      </c>
      <c r="AE38" s="5" t="s">
        <v>204</v>
      </c>
      <c r="AF38" s="5" t="s">
        <v>204</v>
      </c>
      <c r="AG38" s="5" t="s">
        <v>200</v>
      </c>
      <c r="AH38" s="5" t="s">
        <v>201</v>
      </c>
      <c r="AI38" s="5" t="s">
        <v>367</v>
      </c>
      <c r="AJ38" s="5" t="s">
        <v>206</v>
      </c>
      <c r="AK38" s="5" t="s">
        <v>202</v>
      </c>
      <c r="AL38" s="5" t="s">
        <v>203</v>
      </c>
      <c r="AM38" s="5" t="s">
        <v>200</v>
      </c>
      <c r="AN38" s="5" t="s">
        <v>202</v>
      </c>
      <c r="AO38" s="5" t="s">
        <v>202</v>
      </c>
      <c r="AP38" s="5" t="s">
        <v>203</v>
      </c>
      <c r="AQ38" s="5" t="s">
        <v>368</v>
      </c>
      <c r="AR38" s="5" t="s">
        <v>206</v>
      </c>
      <c r="AS38" s="5" t="s">
        <v>203</v>
      </c>
      <c r="AT38" s="5" t="s">
        <v>202</v>
      </c>
      <c r="AU38" s="5" t="s">
        <v>200</v>
      </c>
      <c r="AV38" s="5" t="s">
        <v>204</v>
      </c>
      <c r="AW38" s="5" t="s">
        <v>204</v>
      </c>
      <c r="AX38" s="5" t="s">
        <v>204</v>
      </c>
      <c r="AY38" s="5" t="s">
        <v>204</v>
      </c>
      <c r="AZ38" s="5" t="s">
        <v>369</v>
      </c>
    </row>
    <row r="39">
      <c r="A39" s="7">
        <v>45867.308333333334</v>
      </c>
      <c r="B39" s="7">
        <v>45867.31458333333</v>
      </c>
      <c r="C39" s="5" t="s">
        <v>99</v>
      </c>
      <c r="D39" s="5" t="s">
        <v>256</v>
      </c>
      <c r="E39" s="8">
        <v>100.0</v>
      </c>
      <c r="F39" s="8">
        <v>594.0</v>
      </c>
      <c r="G39" s="9" t="b">
        <v>1</v>
      </c>
      <c r="H39" s="7">
        <v>45867.31458333333</v>
      </c>
      <c r="I39" s="5" t="s">
        <v>370</v>
      </c>
      <c r="K39" s="10"/>
      <c r="L39" s="10"/>
      <c r="M39" s="10"/>
      <c r="N39" s="8">
        <v>60.1816</v>
      </c>
      <c r="O39" s="8">
        <v>24.8368</v>
      </c>
      <c r="P39" s="5" t="s">
        <v>194</v>
      </c>
      <c r="Q39" s="5" t="s">
        <v>195</v>
      </c>
      <c r="R39" s="5" t="s">
        <v>353</v>
      </c>
      <c r="S39" s="5" t="s">
        <v>211</v>
      </c>
      <c r="T39" s="5" t="s">
        <v>200</v>
      </c>
      <c r="U39" s="5" t="s">
        <v>204</v>
      </c>
      <c r="V39" s="5" t="s">
        <v>199</v>
      </c>
      <c r="W39" s="5" t="s">
        <v>204</v>
      </c>
      <c r="X39" s="5" t="s">
        <v>200</v>
      </c>
      <c r="Y39" s="5" t="s">
        <v>198</v>
      </c>
      <c r="Z39" s="5" t="s">
        <v>208</v>
      </c>
      <c r="AA39" s="5" t="s">
        <v>202</v>
      </c>
      <c r="AB39" s="5" t="s">
        <v>203</v>
      </c>
      <c r="AC39" s="5" t="s">
        <v>200</v>
      </c>
      <c r="AD39" s="5" t="s">
        <v>200</v>
      </c>
      <c r="AE39" s="5" t="s">
        <v>202</v>
      </c>
      <c r="AF39" s="5" t="s">
        <v>198</v>
      </c>
      <c r="AG39" s="5" t="s">
        <v>200</v>
      </c>
      <c r="AH39" s="5" t="s">
        <v>203</v>
      </c>
      <c r="AI39" s="5" t="s">
        <v>371</v>
      </c>
      <c r="AJ39" s="5" t="s">
        <v>206</v>
      </c>
      <c r="AK39" s="5" t="s">
        <v>202</v>
      </c>
      <c r="AL39" s="5" t="s">
        <v>200</v>
      </c>
      <c r="AM39" s="5" t="s">
        <v>200</v>
      </c>
      <c r="AN39" s="5" t="s">
        <v>208</v>
      </c>
      <c r="AO39" s="5" t="s">
        <v>203</v>
      </c>
      <c r="AP39" s="5" t="s">
        <v>204</v>
      </c>
      <c r="AQ39" s="5" t="s">
        <v>372</v>
      </c>
      <c r="AR39" s="5" t="s">
        <v>206</v>
      </c>
      <c r="AS39" s="5" t="s">
        <v>200</v>
      </c>
      <c r="AT39" s="5" t="s">
        <v>200</v>
      </c>
      <c r="AU39" s="5" t="s">
        <v>202</v>
      </c>
      <c r="AV39" s="5" t="s">
        <v>204</v>
      </c>
      <c r="AW39" s="5" t="s">
        <v>204</v>
      </c>
      <c r="AX39" s="5" t="s">
        <v>204</v>
      </c>
      <c r="AY39" s="5" t="s">
        <v>204</v>
      </c>
      <c r="AZ39" s="5" t="s">
        <v>373</v>
      </c>
    </row>
    <row r="40">
      <c r="A40" s="7">
        <v>45867.330555555556</v>
      </c>
      <c r="B40" s="7">
        <v>45867.34583333333</v>
      </c>
      <c r="C40" s="5" t="s">
        <v>99</v>
      </c>
      <c r="D40" s="5" t="s">
        <v>192</v>
      </c>
      <c r="E40" s="8">
        <v>100.0</v>
      </c>
      <c r="F40" s="8">
        <v>1333.0</v>
      </c>
      <c r="G40" s="9" t="b">
        <v>1</v>
      </c>
      <c r="H40" s="7">
        <v>45867.34583333333</v>
      </c>
      <c r="I40" s="5" t="s">
        <v>374</v>
      </c>
      <c r="K40" s="10"/>
      <c r="L40" s="10"/>
      <c r="M40" s="10"/>
      <c r="N40" s="8">
        <v>60.1816</v>
      </c>
      <c r="O40" s="8">
        <v>24.8368</v>
      </c>
      <c r="P40" s="5" t="s">
        <v>194</v>
      </c>
      <c r="Q40" s="5" t="s">
        <v>195</v>
      </c>
      <c r="R40" s="5" t="s">
        <v>362</v>
      </c>
      <c r="S40" s="5" t="s">
        <v>263</v>
      </c>
      <c r="T40" s="5" t="s">
        <v>202</v>
      </c>
      <c r="U40" s="5" t="s">
        <v>202</v>
      </c>
      <c r="V40" s="5" t="s">
        <v>199</v>
      </c>
      <c r="W40" s="5" t="s">
        <v>201</v>
      </c>
      <c r="X40" s="5" t="s">
        <v>198</v>
      </c>
      <c r="Y40" s="5" t="s">
        <v>200</v>
      </c>
      <c r="Z40" s="5" t="s">
        <v>202</v>
      </c>
      <c r="AA40" s="5" t="s">
        <v>201</v>
      </c>
      <c r="AB40" s="5" t="s">
        <v>201</v>
      </c>
      <c r="AC40" s="5" t="s">
        <v>201</v>
      </c>
      <c r="AD40" s="5" t="s">
        <v>201</v>
      </c>
      <c r="AE40" s="5" t="s">
        <v>200</v>
      </c>
      <c r="AF40" s="5" t="s">
        <v>200</v>
      </c>
      <c r="AG40" s="5" t="s">
        <v>201</v>
      </c>
      <c r="AH40" s="5" t="s">
        <v>200</v>
      </c>
      <c r="AI40" s="5" t="s">
        <v>375</v>
      </c>
      <c r="AJ40" s="5" t="s">
        <v>206</v>
      </c>
      <c r="AK40" s="5" t="s">
        <v>202</v>
      </c>
      <c r="AL40" s="5" t="s">
        <v>201</v>
      </c>
      <c r="AM40" s="5" t="s">
        <v>201</v>
      </c>
      <c r="AN40" s="5" t="s">
        <v>198</v>
      </c>
      <c r="AO40" s="5" t="s">
        <v>203</v>
      </c>
      <c r="AP40" s="5" t="s">
        <v>203</v>
      </c>
      <c r="AQ40" s="5" t="s">
        <v>376</v>
      </c>
      <c r="AR40" s="5" t="s">
        <v>206</v>
      </c>
      <c r="AS40" s="5" t="s">
        <v>202</v>
      </c>
      <c r="AT40" s="5" t="s">
        <v>202</v>
      </c>
      <c r="AU40" s="5" t="s">
        <v>202</v>
      </c>
      <c r="AV40" s="5" t="s">
        <v>208</v>
      </c>
      <c r="AW40" s="5" t="s">
        <v>202</v>
      </c>
      <c r="AX40" s="5" t="s">
        <v>208</v>
      </c>
      <c r="AY40" s="5" t="s">
        <v>208</v>
      </c>
      <c r="AZ40" s="5" t="s">
        <v>377</v>
      </c>
    </row>
    <row r="41">
      <c r="A41" s="7">
        <v>45868.01527777778</v>
      </c>
      <c r="B41" s="7">
        <v>45868.02847222222</v>
      </c>
      <c r="C41" s="5" t="s">
        <v>99</v>
      </c>
      <c r="D41" s="5" t="s">
        <v>192</v>
      </c>
      <c r="E41" s="8">
        <v>100.0</v>
      </c>
      <c r="F41" s="8">
        <v>1140.0</v>
      </c>
      <c r="G41" s="9" t="b">
        <v>1</v>
      </c>
      <c r="H41" s="7">
        <v>45868.02847222222</v>
      </c>
      <c r="I41" s="5" t="s">
        <v>378</v>
      </c>
      <c r="K41" s="10"/>
      <c r="L41" s="10"/>
      <c r="M41" s="10"/>
      <c r="N41" s="8">
        <v>60.1816</v>
      </c>
      <c r="O41" s="8">
        <v>24.8368</v>
      </c>
      <c r="P41" s="5" t="s">
        <v>194</v>
      </c>
      <c r="Q41" s="5" t="s">
        <v>195</v>
      </c>
      <c r="R41" s="5" t="s">
        <v>379</v>
      </c>
      <c r="S41" s="5" t="s">
        <v>197</v>
      </c>
      <c r="T41" s="5" t="s">
        <v>202</v>
      </c>
      <c r="U41" s="5" t="s">
        <v>202</v>
      </c>
      <c r="V41" s="5" t="s">
        <v>199</v>
      </c>
      <c r="W41" s="5" t="s">
        <v>202</v>
      </c>
      <c r="X41" s="5" t="s">
        <v>201</v>
      </c>
      <c r="Y41" s="5" t="s">
        <v>201</v>
      </c>
      <c r="Z41" s="5" t="s">
        <v>202</v>
      </c>
      <c r="AA41" s="5" t="s">
        <v>201</v>
      </c>
      <c r="AB41" s="5" t="s">
        <v>201</v>
      </c>
      <c r="AC41" s="5" t="s">
        <v>201</v>
      </c>
      <c r="AD41" s="5" t="s">
        <v>202</v>
      </c>
      <c r="AE41" s="5" t="s">
        <v>202</v>
      </c>
      <c r="AF41" s="5" t="s">
        <v>200</v>
      </c>
      <c r="AG41" s="5" t="s">
        <v>202</v>
      </c>
      <c r="AH41" s="5" t="s">
        <v>200</v>
      </c>
      <c r="AI41" s="5" t="s">
        <v>380</v>
      </c>
      <c r="AJ41" s="5" t="s">
        <v>206</v>
      </c>
      <c r="AK41" s="5" t="s">
        <v>201</v>
      </c>
      <c r="AL41" s="5" t="s">
        <v>201</v>
      </c>
      <c r="AM41" s="5" t="s">
        <v>201</v>
      </c>
      <c r="AN41" s="5" t="s">
        <v>201</v>
      </c>
      <c r="AO41" s="5" t="s">
        <v>201</v>
      </c>
      <c r="AP41" s="5" t="s">
        <v>202</v>
      </c>
      <c r="AQ41" s="5" t="s">
        <v>381</v>
      </c>
      <c r="AR41" s="5" t="s">
        <v>206</v>
      </c>
      <c r="AS41" s="5" t="s">
        <v>202</v>
      </c>
      <c r="AT41" s="5" t="s">
        <v>202</v>
      </c>
      <c r="AU41" s="5" t="s">
        <v>201</v>
      </c>
      <c r="AV41" s="5" t="s">
        <v>208</v>
      </c>
      <c r="AW41" s="5" t="s">
        <v>204</v>
      </c>
      <c r="AX41" s="5" t="s">
        <v>208</v>
      </c>
      <c r="AY41" s="5" t="s">
        <v>204</v>
      </c>
      <c r="AZ41" s="5" t="s">
        <v>382</v>
      </c>
    </row>
    <row r="42">
      <c r="A42" s="7">
        <v>45868.01527777778</v>
      </c>
      <c r="B42" s="7">
        <v>45868.040972222225</v>
      </c>
      <c r="C42" s="5" t="s">
        <v>99</v>
      </c>
      <c r="D42" s="5" t="s">
        <v>383</v>
      </c>
      <c r="E42" s="8">
        <v>100.0</v>
      </c>
      <c r="F42" s="8">
        <v>2166.0</v>
      </c>
      <c r="G42" s="9" t="b">
        <v>1</v>
      </c>
      <c r="H42" s="7">
        <v>45868.040972222225</v>
      </c>
      <c r="I42" s="5" t="s">
        <v>384</v>
      </c>
      <c r="K42" s="10"/>
      <c r="L42" s="10"/>
      <c r="M42" s="10"/>
      <c r="N42" s="8">
        <v>60.1816</v>
      </c>
      <c r="O42" s="8">
        <v>24.8368</v>
      </c>
      <c r="P42" s="5" t="s">
        <v>194</v>
      </c>
      <c r="Q42" s="5" t="s">
        <v>195</v>
      </c>
      <c r="R42" s="5" t="s">
        <v>385</v>
      </c>
      <c r="S42" s="5" t="s">
        <v>211</v>
      </c>
      <c r="T42" s="5" t="s">
        <v>203</v>
      </c>
      <c r="U42" s="5" t="s">
        <v>200</v>
      </c>
      <c r="V42" s="5" t="s">
        <v>199</v>
      </c>
      <c r="W42" s="5" t="s">
        <v>202</v>
      </c>
      <c r="X42" s="5" t="s">
        <v>202</v>
      </c>
      <c r="Y42" s="5" t="s">
        <v>198</v>
      </c>
      <c r="Z42" s="5" t="s">
        <v>198</v>
      </c>
      <c r="AA42" s="5" t="s">
        <v>202</v>
      </c>
      <c r="AB42" s="5" t="s">
        <v>200</v>
      </c>
      <c r="AC42" s="5" t="s">
        <v>200</v>
      </c>
      <c r="AD42" s="5" t="s">
        <v>202</v>
      </c>
      <c r="AE42" s="5" t="s">
        <v>203</v>
      </c>
      <c r="AF42" s="5" t="s">
        <v>203</v>
      </c>
      <c r="AG42" s="5" t="s">
        <v>200</v>
      </c>
      <c r="AH42" s="5" t="s">
        <v>203</v>
      </c>
      <c r="AI42" s="5" t="s">
        <v>386</v>
      </c>
      <c r="AJ42" s="5" t="s">
        <v>206</v>
      </c>
      <c r="AK42" s="5" t="s">
        <v>202</v>
      </c>
      <c r="AL42" s="5" t="s">
        <v>202</v>
      </c>
      <c r="AM42" s="5" t="s">
        <v>201</v>
      </c>
      <c r="AN42" s="5" t="s">
        <v>202</v>
      </c>
      <c r="AO42" s="5" t="s">
        <v>200</v>
      </c>
      <c r="AP42" s="5" t="s">
        <v>203</v>
      </c>
      <c r="AQ42" s="5" t="s">
        <v>387</v>
      </c>
      <c r="AR42" s="5" t="s">
        <v>206</v>
      </c>
      <c r="AS42" s="5" t="s">
        <v>201</v>
      </c>
      <c r="AT42" s="5" t="s">
        <v>202</v>
      </c>
      <c r="AU42" s="5" t="s">
        <v>202</v>
      </c>
      <c r="AV42" s="5" t="s">
        <v>204</v>
      </c>
      <c r="AW42" s="5" t="s">
        <v>204</v>
      </c>
      <c r="AX42" s="5" t="s">
        <v>204</v>
      </c>
      <c r="AY42" s="5" t="s">
        <v>204</v>
      </c>
      <c r="AZ42" s="5" t="s">
        <v>388</v>
      </c>
    </row>
    <row r="43">
      <c r="A43" s="7">
        <v>45868.02361111111</v>
      </c>
      <c r="B43" s="7">
        <v>45868.041666666664</v>
      </c>
      <c r="C43" s="5" t="s">
        <v>99</v>
      </c>
      <c r="D43" s="5" t="s">
        <v>389</v>
      </c>
      <c r="E43" s="8">
        <v>100.0</v>
      </c>
      <c r="F43" s="8">
        <v>1527.0</v>
      </c>
      <c r="G43" s="9" t="b">
        <v>1</v>
      </c>
      <c r="H43" s="7">
        <v>45868.041666666664</v>
      </c>
      <c r="I43" s="5" t="s">
        <v>390</v>
      </c>
      <c r="K43" s="10"/>
      <c r="L43" s="10"/>
      <c r="M43" s="10"/>
      <c r="N43" s="8">
        <v>60.1816</v>
      </c>
      <c r="O43" s="8">
        <v>24.8368</v>
      </c>
      <c r="P43" s="5" t="s">
        <v>194</v>
      </c>
      <c r="Q43" s="5" t="s">
        <v>195</v>
      </c>
      <c r="R43" s="5" t="s">
        <v>379</v>
      </c>
      <c r="S43" s="5" t="s">
        <v>211</v>
      </c>
      <c r="T43" s="5" t="s">
        <v>202</v>
      </c>
      <c r="U43" s="5" t="s">
        <v>202</v>
      </c>
      <c r="V43" s="5" t="s">
        <v>199</v>
      </c>
      <c r="W43" s="5" t="s">
        <v>202</v>
      </c>
      <c r="X43" s="5" t="s">
        <v>201</v>
      </c>
      <c r="Y43" s="5" t="s">
        <v>201</v>
      </c>
      <c r="Z43" s="5" t="s">
        <v>202</v>
      </c>
      <c r="AA43" s="5" t="s">
        <v>201</v>
      </c>
      <c r="AB43" s="5" t="s">
        <v>201</v>
      </c>
      <c r="AC43" s="5" t="s">
        <v>201</v>
      </c>
      <c r="AD43" s="5" t="s">
        <v>202</v>
      </c>
      <c r="AE43" s="5" t="s">
        <v>202</v>
      </c>
      <c r="AF43" s="5" t="s">
        <v>203</v>
      </c>
      <c r="AG43" s="5" t="s">
        <v>202</v>
      </c>
      <c r="AH43" s="5" t="s">
        <v>208</v>
      </c>
      <c r="AI43" s="5" t="s">
        <v>391</v>
      </c>
      <c r="AJ43" s="5" t="s">
        <v>206</v>
      </c>
      <c r="AK43" s="5" t="s">
        <v>202</v>
      </c>
      <c r="AL43" s="5" t="s">
        <v>202</v>
      </c>
      <c r="AM43" s="5" t="s">
        <v>202</v>
      </c>
      <c r="AN43" s="5" t="s">
        <v>201</v>
      </c>
      <c r="AO43" s="5" t="s">
        <v>202</v>
      </c>
      <c r="AP43" s="5" t="s">
        <v>201</v>
      </c>
      <c r="AQ43" s="5" t="s">
        <v>392</v>
      </c>
      <c r="AR43" s="5" t="s">
        <v>206</v>
      </c>
      <c r="AS43" s="5" t="s">
        <v>201</v>
      </c>
      <c r="AT43" s="5" t="s">
        <v>201</v>
      </c>
      <c r="AU43" s="5" t="s">
        <v>202</v>
      </c>
      <c r="AV43" s="5" t="s">
        <v>204</v>
      </c>
      <c r="AW43" s="5" t="s">
        <v>204</v>
      </c>
      <c r="AX43" s="5" t="s">
        <v>204</v>
      </c>
      <c r="AY43" s="5" t="s">
        <v>204</v>
      </c>
      <c r="AZ43" s="5" t="s">
        <v>393</v>
      </c>
    </row>
    <row r="44">
      <c r="A44" s="7">
        <v>45868.04375</v>
      </c>
      <c r="B44" s="7">
        <v>45868.05416666667</v>
      </c>
      <c r="C44" s="5" t="s">
        <v>99</v>
      </c>
      <c r="D44" s="5" t="s">
        <v>389</v>
      </c>
      <c r="E44" s="8">
        <v>100.0</v>
      </c>
      <c r="F44" s="8">
        <v>866.0</v>
      </c>
      <c r="G44" s="9" t="b">
        <v>1</v>
      </c>
      <c r="H44" s="7">
        <v>45868.05416666667</v>
      </c>
      <c r="I44" s="5" t="s">
        <v>394</v>
      </c>
      <c r="K44" s="10"/>
      <c r="L44" s="10"/>
      <c r="M44" s="10"/>
      <c r="N44" s="8">
        <v>60.1816</v>
      </c>
      <c r="O44" s="8">
        <v>24.8368</v>
      </c>
      <c r="P44" s="5" t="s">
        <v>194</v>
      </c>
      <c r="Q44" s="5" t="s">
        <v>195</v>
      </c>
      <c r="R44" s="5" t="s">
        <v>379</v>
      </c>
      <c r="S44" s="5" t="s">
        <v>216</v>
      </c>
      <c r="T44" s="5" t="s">
        <v>202</v>
      </c>
      <c r="U44" s="5" t="s">
        <v>200</v>
      </c>
      <c r="V44" s="5" t="s">
        <v>199</v>
      </c>
      <c r="W44" s="5" t="s">
        <v>201</v>
      </c>
      <c r="X44" s="5" t="s">
        <v>201</v>
      </c>
      <c r="Y44" s="5" t="s">
        <v>201</v>
      </c>
      <c r="Z44" s="5" t="s">
        <v>202</v>
      </c>
      <c r="AA44" s="5" t="s">
        <v>202</v>
      </c>
      <c r="AB44" s="5" t="s">
        <v>201</v>
      </c>
      <c r="AC44" s="5" t="s">
        <v>201</v>
      </c>
      <c r="AD44" s="5" t="s">
        <v>202</v>
      </c>
      <c r="AE44" s="5" t="s">
        <v>200</v>
      </c>
      <c r="AF44" s="5" t="s">
        <v>202</v>
      </c>
      <c r="AG44" s="5" t="s">
        <v>202</v>
      </c>
      <c r="AH44" s="5" t="s">
        <v>198</v>
      </c>
      <c r="AI44" s="5" t="s">
        <v>395</v>
      </c>
      <c r="AJ44" s="5" t="s">
        <v>206</v>
      </c>
      <c r="AK44" s="5" t="s">
        <v>202</v>
      </c>
      <c r="AL44" s="5" t="s">
        <v>202</v>
      </c>
      <c r="AM44" s="5" t="s">
        <v>201</v>
      </c>
      <c r="AN44" s="5" t="s">
        <v>201</v>
      </c>
      <c r="AO44" s="5" t="s">
        <v>201</v>
      </c>
      <c r="AP44" s="5" t="s">
        <v>201</v>
      </c>
      <c r="AQ44" s="5" t="s">
        <v>396</v>
      </c>
      <c r="AR44" s="5" t="s">
        <v>206</v>
      </c>
      <c r="AS44" s="5" t="s">
        <v>202</v>
      </c>
      <c r="AT44" s="5" t="s">
        <v>202</v>
      </c>
      <c r="AU44" s="5" t="s">
        <v>202</v>
      </c>
      <c r="AV44" s="5" t="s">
        <v>204</v>
      </c>
      <c r="AW44" s="5" t="s">
        <v>204</v>
      </c>
      <c r="AX44" s="5" t="s">
        <v>204</v>
      </c>
      <c r="AY44" s="5" t="s">
        <v>204</v>
      </c>
      <c r="AZ44" s="5" t="s">
        <v>397</v>
      </c>
    </row>
    <row r="45">
      <c r="A45" s="7">
        <v>45868.04513888889</v>
      </c>
      <c r="B45" s="7">
        <v>45868.055555555555</v>
      </c>
      <c r="C45" s="5" t="s">
        <v>99</v>
      </c>
      <c r="D45" s="5" t="s">
        <v>192</v>
      </c>
      <c r="E45" s="8">
        <v>100.0</v>
      </c>
      <c r="F45" s="8">
        <v>863.0</v>
      </c>
      <c r="G45" s="9" t="b">
        <v>1</v>
      </c>
      <c r="H45" s="7">
        <v>45868.055555555555</v>
      </c>
      <c r="I45" s="5" t="s">
        <v>398</v>
      </c>
      <c r="L45" s="10"/>
      <c r="M45" s="10"/>
      <c r="N45" s="8">
        <v>60.1816</v>
      </c>
      <c r="O45" s="8">
        <v>24.8368</v>
      </c>
      <c r="P45" s="5" t="s">
        <v>194</v>
      </c>
      <c r="Q45" s="5" t="s">
        <v>195</v>
      </c>
      <c r="R45" s="5" t="s">
        <v>385</v>
      </c>
      <c r="S45" s="5" t="s">
        <v>197</v>
      </c>
      <c r="T45" s="5" t="s">
        <v>201</v>
      </c>
      <c r="U45" s="5" t="s">
        <v>202</v>
      </c>
      <c r="V45" s="5" t="s">
        <v>199</v>
      </c>
      <c r="W45" s="5" t="s">
        <v>202</v>
      </c>
      <c r="X45" s="5" t="s">
        <v>202</v>
      </c>
      <c r="Y45" s="5" t="s">
        <v>201</v>
      </c>
      <c r="Z45" s="5" t="s">
        <v>202</v>
      </c>
      <c r="AA45" s="5" t="s">
        <v>201</v>
      </c>
      <c r="AB45" s="5" t="s">
        <v>202</v>
      </c>
      <c r="AC45" s="5" t="s">
        <v>202</v>
      </c>
      <c r="AD45" s="5" t="s">
        <v>202</v>
      </c>
      <c r="AE45" s="5" t="s">
        <v>203</v>
      </c>
      <c r="AF45" s="5" t="s">
        <v>203</v>
      </c>
      <c r="AG45" s="5" t="s">
        <v>202</v>
      </c>
      <c r="AH45" s="5" t="s">
        <v>200</v>
      </c>
      <c r="AI45" s="5" t="s">
        <v>399</v>
      </c>
      <c r="AJ45" s="5" t="s">
        <v>206</v>
      </c>
      <c r="AK45" s="5" t="s">
        <v>202</v>
      </c>
      <c r="AL45" s="5" t="s">
        <v>202</v>
      </c>
      <c r="AM45" s="5" t="s">
        <v>201</v>
      </c>
      <c r="AN45" s="5" t="s">
        <v>202</v>
      </c>
      <c r="AO45" s="5" t="s">
        <v>202</v>
      </c>
      <c r="AP45" s="5" t="s">
        <v>203</v>
      </c>
      <c r="AQ45" s="5" t="s">
        <v>400</v>
      </c>
      <c r="AR45" s="5" t="s">
        <v>206</v>
      </c>
      <c r="AS45" s="5" t="s">
        <v>202</v>
      </c>
      <c r="AT45" s="5" t="s">
        <v>202</v>
      </c>
      <c r="AU45" s="5" t="s">
        <v>202</v>
      </c>
      <c r="AV45" s="5" t="s">
        <v>208</v>
      </c>
      <c r="AW45" s="5" t="s">
        <v>204</v>
      </c>
      <c r="AX45" s="5" t="s">
        <v>208</v>
      </c>
      <c r="AY45" s="5" t="s">
        <v>204</v>
      </c>
      <c r="AZ45" s="5" t="s">
        <v>401</v>
      </c>
    </row>
    <row r="46">
      <c r="A46" s="7">
        <v>45868.06041666667</v>
      </c>
      <c r="B46" s="7">
        <v>45868.07083333333</v>
      </c>
      <c r="C46" s="5" t="s">
        <v>99</v>
      </c>
      <c r="D46" s="5" t="s">
        <v>389</v>
      </c>
      <c r="E46" s="8">
        <v>100.0</v>
      </c>
      <c r="F46" s="8">
        <v>942.0</v>
      </c>
      <c r="G46" s="9" t="b">
        <v>1</v>
      </c>
      <c r="H46" s="7">
        <v>45868.07083333333</v>
      </c>
      <c r="I46" s="5" t="s">
        <v>402</v>
      </c>
      <c r="K46" s="10"/>
      <c r="L46" s="10"/>
      <c r="M46" s="10"/>
      <c r="N46" s="8">
        <v>60.1816</v>
      </c>
      <c r="O46" s="8">
        <v>24.8368</v>
      </c>
      <c r="P46" s="5" t="s">
        <v>194</v>
      </c>
      <c r="Q46" s="5" t="s">
        <v>195</v>
      </c>
      <c r="R46" s="5" t="s">
        <v>385</v>
      </c>
      <c r="S46" s="5" t="s">
        <v>263</v>
      </c>
      <c r="T46" s="5" t="s">
        <v>202</v>
      </c>
      <c r="U46" s="5" t="s">
        <v>200</v>
      </c>
      <c r="V46" s="5" t="s">
        <v>199</v>
      </c>
      <c r="W46" s="5" t="s">
        <v>202</v>
      </c>
      <c r="X46" s="5" t="s">
        <v>200</v>
      </c>
      <c r="Y46" s="5" t="s">
        <v>201</v>
      </c>
      <c r="Z46" s="5" t="s">
        <v>200</v>
      </c>
      <c r="AA46" s="5" t="s">
        <v>201</v>
      </c>
      <c r="AB46" s="5" t="s">
        <v>202</v>
      </c>
      <c r="AC46" s="5" t="s">
        <v>200</v>
      </c>
      <c r="AD46" s="5" t="s">
        <v>202</v>
      </c>
      <c r="AE46" s="5" t="s">
        <v>202</v>
      </c>
      <c r="AF46" s="5" t="s">
        <v>208</v>
      </c>
      <c r="AG46" s="5" t="s">
        <v>202</v>
      </c>
      <c r="AH46" s="5" t="s">
        <v>200</v>
      </c>
      <c r="AI46" s="5" t="s">
        <v>403</v>
      </c>
      <c r="AJ46" s="5" t="s">
        <v>206</v>
      </c>
      <c r="AK46" s="5" t="s">
        <v>202</v>
      </c>
      <c r="AL46" s="5" t="s">
        <v>202</v>
      </c>
      <c r="AM46" s="5" t="s">
        <v>202</v>
      </c>
      <c r="AN46" s="5" t="s">
        <v>202</v>
      </c>
      <c r="AO46" s="5" t="s">
        <v>202</v>
      </c>
      <c r="AP46" s="5" t="s">
        <v>203</v>
      </c>
      <c r="AQ46" s="5" t="s">
        <v>404</v>
      </c>
      <c r="AR46" s="5" t="s">
        <v>206</v>
      </c>
      <c r="AS46" s="5" t="s">
        <v>202</v>
      </c>
      <c r="AT46" s="5" t="s">
        <v>200</v>
      </c>
      <c r="AU46" s="5" t="s">
        <v>200</v>
      </c>
      <c r="AV46" s="5" t="s">
        <v>208</v>
      </c>
      <c r="AW46" s="5" t="s">
        <v>208</v>
      </c>
      <c r="AX46" s="5" t="s">
        <v>200</v>
      </c>
      <c r="AY46" s="5" t="s">
        <v>208</v>
      </c>
      <c r="AZ46" s="5" t="s">
        <v>405</v>
      </c>
    </row>
    <row r="47">
      <c r="A47" s="7">
        <v>45868.06527777778</v>
      </c>
      <c r="B47" s="7">
        <v>45868.072916666664</v>
      </c>
      <c r="C47" s="5" t="s">
        <v>99</v>
      </c>
      <c r="D47" s="5" t="s">
        <v>192</v>
      </c>
      <c r="E47" s="8">
        <v>100.0</v>
      </c>
      <c r="F47" s="8">
        <v>659.0</v>
      </c>
      <c r="G47" s="9" t="b">
        <v>1</v>
      </c>
      <c r="H47" s="7">
        <v>45868.072916666664</v>
      </c>
      <c r="I47" s="5" t="s">
        <v>406</v>
      </c>
      <c r="K47" s="10"/>
      <c r="L47" s="10"/>
      <c r="M47" s="10"/>
      <c r="N47" s="8">
        <v>60.1816</v>
      </c>
      <c r="O47" s="8">
        <v>24.8368</v>
      </c>
      <c r="P47" s="5" t="s">
        <v>194</v>
      </c>
      <c r="Q47" s="5" t="s">
        <v>195</v>
      </c>
      <c r="R47" s="5" t="s">
        <v>379</v>
      </c>
      <c r="S47" s="5" t="s">
        <v>263</v>
      </c>
      <c r="T47" s="5" t="s">
        <v>202</v>
      </c>
      <c r="U47" s="5" t="s">
        <v>202</v>
      </c>
      <c r="V47" s="5" t="s">
        <v>199</v>
      </c>
      <c r="W47" s="5" t="s">
        <v>202</v>
      </c>
      <c r="X47" s="5" t="s">
        <v>202</v>
      </c>
      <c r="Y47" s="5" t="s">
        <v>202</v>
      </c>
      <c r="Z47" s="5" t="s">
        <v>202</v>
      </c>
      <c r="AA47" s="5" t="s">
        <v>201</v>
      </c>
      <c r="AB47" s="5" t="s">
        <v>201</v>
      </c>
      <c r="AC47" s="5" t="s">
        <v>201</v>
      </c>
      <c r="AD47" s="5" t="s">
        <v>201</v>
      </c>
      <c r="AE47" s="5" t="s">
        <v>200</v>
      </c>
      <c r="AF47" s="5" t="s">
        <v>202</v>
      </c>
      <c r="AG47" s="5" t="s">
        <v>202</v>
      </c>
      <c r="AH47" s="5" t="s">
        <v>202</v>
      </c>
      <c r="AI47" s="5" t="s">
        <v>407</v>
      </c>
      <c r="AJ47" s="5" t="s">
        <v>206</v>
      </c>
      <c r="AK47" s="5" t="s">
        <v>202</v>
      </c>
      <c r="AL47" s="5" t="s">
        <v>201</v>
      </c>
      <c r="AM47" s="5" t="s">
        <v>201</v>
      </c>
      <c r="AN47" s="5" t="s">
        <v>201</v>
      </c>
      <c r="AO47" s="5" t="s">
        <v>201</v>
      </c>
      <c r="AP47" s="5" t="s">
        <v>201</v>
      </c>
      <c r="AQ47" s="5" t="s">
        <v>408</v>
      </c>
      <c r="AR47" s="5" t="s">
        <v>206</v>
      </c>
      <c r="AS47" s="5" t="s">
        <v>201</v>
      </c>
      <c r="AT47" s="5" t="s">
        <v>201</v>
      </c>
      <c r="AU47" s="5" t="s">
        <v>201</v>
      </c>
      <c r="AV47" s="5" t="s">
        <v>204</v>
      </c>
      <c r="AW47" s="5" t="s">
        <v>204</v>
      </c>
      <c r="AX47" s="5" t="s">
        <v>204</v>
      </c>
      <c r="AY47" s="5" t="s">
        <v>204</v>
      </c>
      <c r="AZ47" s="5" t="s">
        <v>409</v>
      </c>
    </row>
    <row r="48">
      <c r="A48" s="7">
        <v>45868.080555555556</v>
      </c>
      <c r="B48" s="7">
        <v>45868.08541666667</v>
      </c>
      <c r="C48" s="5" t="s">
        <v>99</v>
      </c>
      <c r="D48" s="5" t="s">
        <v>192</v>
      </c>
      <c r="E48" s="8">
        <v>100.0</v>
      </c>
      <c r="F48" s="8">
        <v>380.0</v>
      </c>
      <c r="G48" s="9" t="b">
        <v>1</v>
      </c>
      <c r="H48" s="7">
        <v>45868.08541666667</v>
      </c>
      <c r="I48" s="5" t="s">
        <v>410</v>
      </c>
      <c r="L48" s="10"/>
      <c r="M48" s="10"/>
      <c r="N48" s="8">
        <v>60.1816</v>
      </c>
      <c r="O48" s="8">
        <v>24.8368</v>
      </c>
      <c r="P48" s="5" t="s">
        <v>194</v>
      </c>
      <c r="Q48" s="5" t="s">
        <v>195</v>
      </c>
      <c r="R48" s="5" t="s">
        <v>411</v>
      </c>
      <c r="S48" s="5" t="s">
        <v>263</v>
      </c>
      <c r="T48" s="5" t="s">
        <v>198</v>
      </c>
      <c r="U48" s="5" t="s">
        <v>198</v>
      </c>
      <c r="V48" s="5" t="s">
        <v>199</v>
      </c>
      <c r="W48" s="5" t="s">
        <v>202</v>
      </c>
      <c r="X48" s="5" t="s">
        <v>202</v>
      </c>
      <c r="Y48" s="5" t="s">
        <v>198</v>
      </c>
      <c r="Z48" s="5" t="s">
        <v>198</v>
      </c>
      <c r="AA48" s="5" t="s">
        <v>200</v>
      </c>
      <c r="AB48" s="5" t="s">
        <v>202</v>
      </c>
      <c r="AC48" s="5" t="s">
        <v>202</v>
      </c>
      <c r="AD48" s="5" t="s">
        <v>202</v>
      </c>
      <c r="AE48" s="5" t="s">
        <v>198</v>
      </c>
      <c r="AF48" s="5" t="s">
        <v>203</v>
      </c>
      <c r="AG48" s="5" t="s">
        <v>202</v>
      </c>
      <c r="AH48" s="5" t="s">
        <v>208</v>
      </c>
      <c r="AI48" s="11" t="s">
        <v>412</v>
      </c>
      <c r="AJ48" s="5" t="s">
        <v>206</v>
      </c>
      <c r="AK48" s="5" t="s">
        <v>200</v>
      </c>
      <c r="AL48" s="5" t="s">
        <v>200</v>
      </c>
      <c r="AM48" s="5" t="s">
        <v>200</v>
      </c>
      <c r="AN48" s="5" t="s">
        <v>200</v>
      </c>
      <c r="AO48" s="5" t="s">
        <v>200</v>
      </c>
      <c r="AP48" s="5" t="s">
        <v>202</v>
      </c>
      <c r="AQ48" s="5" t="s">
        <v>413</v>
      </c>
      <c r="AR48" s="5" t="s">
        <v>206</v>
      </c>
      <c r="AS48" s="5" t="s">
        <v>202</v>
      </c>
      <c r="AT48" s="5" t="s">
        <v>201</v>
      </c>
      <c r="AU48" s="5" t="s">
        <v>202</v>
      </c>
      <c r="AV48" s="5" t="s">
        <v>208</v>
      </c>
      <c r="AW48" s="5" t="s">
        <v>208</v>
      </c>
      <c r="AX48" s="5" t="s">
        <v>204</v>
      </c>
      <c r="AY48" s="5" t="s">
        <v>208</v>
      </c>
      <c r="AZ48" s="5" t="s">
        <v>414</v>
      </c>
    </row>
    <row r="49">
      <c r="A49" s="7">
        <v>45868.07152777778</v>
      </c>
      <c r="B49" s="7">
        <v>45868.08541666667</v>
      </c>
      <c r="C49" s="5" t="s">
        <v>99</v>
      </c>
      <c r="D49" s="5" t="s">
        <v>389</v>
      </c>
      <c r="E49" s="8">
        <v>100.0</v>
      </c>
      <c r="F49" s="8">
        <v>1190.0</v>
      </c>
      <c r="G49" s="9" t="b">
        <v>1</v>
      </c>
      <c r="H49" s="7">
        <v>45868.08541666667</v>
      </c>
      <c r="I49" s="5" t="s">
        <v>415</v>
      </c>
      <c r="K49" s="10"/>
      <c r="L49" s="10"/>
      <c r="M49" s="10"/>
      <c r="N49" s="8">
        <v>60.1816</v>
      </c>
      <c r="O49" s="8">
        <v>24.8368</v>
      </c>
      <c r="P49" s="5" t="s">
        <v>194</v>
      </c>
      <c r="Q49" s="5" t="s">
        <v>195</v>
      </c>
      <c r="R49" s="5" t="s">
        <v>385</v>
      </c>
      <c r="S49" s="5" t="s">
        <v>216</v>
      </c>
      <c r="T49" s="5" t="s">
        <v>198</v>
      </c>
      <c r="U49" s="5" t="s">
        <v>200</v>
      </c>
      <c r="V49" s="5" t="s">
        <v>199</v>
      </c>
      <c r="W49" s="5" t="s">
        <v>203</v>
      </c>
      <c r="X49" s="5" t="s">
        <v>198</v>
      </c>
      <c r="Y49" s="5" t="s">
        <v>198</v>
      </c>
      <c r="Z49" s="5" t="s">
        <v>200</v>
      </c>
      <c r="AA49" s="5" t="s">
        <v>202</v>
      </c>
      <c r="AB49" s="5" t="s">
        <v>202</v>
      </c>
      <c r="AC49" s="5" t="s">
        <v>202</v>
      </c>
      <c r="AD49" s="5" t="s">
        <v>200</v>
      </c>
      <c r="AE49" s="5" t="s">
        <v>198</v>
      </c>
      <c r="AF49" s="5" t="s">
        <v>198</v>
      </c>
      <c r="AG49" s="5" t="s">
        <v>202</v>
      </c>
      <c r="AH49" s="5" t="s">
        <v>200</v>
      </c>
      <c r="AI49" s="5" t="s">
        <v>416</v>
      </c>
      <c r="AJ49" s="5" t="s">
        <v>206</v>
      </c>
      <c r="AK49" s="5" t="s">
        <v>202</v>
      </c>
      <c r="AL49" s="5" t="s">
        <v>200</v>
      </c>
      <c r="AM49" s="5" t="s">
        <v>202</v>
      </c>
      <c r="AN49" s="5" t="s">
        <v>200</v>
      </c>
      <c r="AO49" s="5" t="s">
        <v>198</v>
      </c>
      <c r="AP49" s="5" t="s">
        <v>203</v>
      </c>
      <c r="AQ49" s="5" t="s">
        <v>417</v>
      </c>
      <c r="AR49" s="5" t="s">
        <v>206</v>
      </c>
      <c r="AS49" s="5" t="s">
        <v>202</v>
      </c>
      <c r="AT49" s="5" t="s">
        <v>200</v>
      </c>
      <c r="AU49" s="5" t="s">
        <v>198</v>
      </c>
      <c r="AV49" s="5" t="s">
        <v>204</v>
      </c>
      <c r="AW49" s="5" t="s">
        <v>204</v>
      </c>
      <c r="AX49" s="5" t="s">
        <v>208</v>
      </c>
      <c r="AY49" s="5" t="s">
        <v>204</v>
      </c>
      <c r="AZ49" s="5" t="s">
        <v>418</v>
      </c>
    </row>
    <row r="50">
      <c r="A50" s="7">
        <v>45868.08263888889</v>
      </c>
      <c r="B50" s="7">
        <v>45868.089583333334</v>
      </c>
      <c r="C50" s="5" t="s">
        <v>99</v>
      </c>
      <c r="D50" s="5" t="s">
        <v>192</v>
      </c>
      <c r="E50" s="8">
        <v>100.0</v>
      </c>
      <c r="F50" s="8">
        <v>627.0</v>
      </c>
      <c r="G50" s="9" t="b">
        <v>1</v>
      </c>
      <c r="H50" s="7">
        <v>45868.089583333334</v>
      </c>
      <c r="I50" s="5" t="s">
        <v>419</v>
      </c>
      <c r="K50" s="10"/>
      <c r="L50" s="10"/>
      <c r="M50" s="10"/>
      <c r="N50" s="8">
        <v>60.1816</v>
      </c>
      <c r="O50" s="8">
        <v>24.8368</v>
      </c>
      <c r="P50" s="5" t="s">
        <v>194</v>
      </c>
      <c r="Q50" s="5" t="s">
        <v>195</v>
      </c>
      <c r="R50" s="5" t="s">
        <v>411</v>
      </c>
      <c r="S50" s="5" t="s">
        <v>211</v>
      </c>
      <c r="T50" s="5" t="s">
        <v>208</v>
      </c>
      <c r="U50" s="5" t="s">
        <v>208</v>
      </c>
      <c r="V50" s="5" t="s">
        <v>199</v>
      </c>
      <c r="W50" s="5" t="s">
        <v>208</v>
      </c>
      <c r="X50" s="5" t="s">
        <v>204</v>
      </c>
      <c r="Y50" s="5" t="s">
        <v>204</v>
      </c>
      <c r="Z50" s="5" t="s">
        <v>208</v>
      </c>
      <c r="AA50" s="5" t="s">
        <v>202</v>
      </c>
      <c r="AB50" s="5" t="s">
        <v>203</v>
      </c>
      <c r="AC50" s="5" t="s">
        <v>200</v>
      </c>
      <c r="AD50" s="5" t="s">
        <v>200</v>
      </c>
      <c r="AE50" s="5" t="s">
        <v>204</v>
      </c>
      <c r="AF50" s="5" t="s">
        <v>203</v>
      </c>
      <c r="AG50" s="5" t="s">
        <v>208</v>
      </c>
      <c r="AH50" s="5" t="s">
        <v>202</v>
      </c>
      <c r="AI50" s="5" t="s">
        <v>420</v>
      </c>
      <c r="AJ50" s="5" t="s">
        <v>206</v>
      </c>
      <c r="AK50" s="5" t="s">
        <v>204</v>
      </c>
      <c r="AL50" s="5" t="s">
        <v>198</v>
      </c>
      <c r="AM50" s="5" t="s">
        <v>204</v>
      </c>
      <c r="AN50" s="5" t="s">
        <v>203</v>
      </c>
      <c r="AO50" s="5" t="s">
        <v>200</v>
      </c>
      <c r="AP50" s="5" t="s">
        <v>202</v>
      </c>
      <c r="AQ50" s="5" t="s">
        <v>421</v>
      </c>
      <c r="AR50" s="5" t="s">
        <v>206</v>
      </c>
      <c r="AS50" s="5" t="s">
        <v>200</v>
      </c>
      <c r="AT50" s="5" t="s">
        <v>203</v>
      </c>
      <c r="AU50" s="5" t="s">
        <v>203</v>
      </c>
      <c r="AV50" s="5" t="s">
        <v>204</v>
      </c>
      <c r="AW50" s="5" t="s">
        <v>204</v>
      </c>
      <c r="AX50" s="5" t="s">
        <v>204</v>
      </c>
      <c r="AY50" s="5" t="s">
        <v>204</v>
      </c>
      <c r="AZ50" s="5" t="s">
        <v>422</v>
      </c>
    </row>
    <row r="51">
      <c r="A51" s="7">
        <v>45868.092361111114</v>
      </c>
      <c r="B51" s="7">
        <v>45868.09583333333</v>
      </c>
      <c r="C51" s="5" t="s">
        <v>99</v>
      </c>
      <c r="D51" s="5" t="s">
        <v>192</v>
      </c>
      <c r="E51" s="8">
        <v>100.0</v>
      </c>
      <c r="F51" s="8">
        <v>323.0</v>
      </c>
      <c r="G51" s="9" t="b">
        <v>1</v>
      </c>
      <c r="H51" s="7">
        <v>45868.09583333333</v>
      </c>
      <c r="I51" s="5" t="s">
        <v>423</v>
      </c>
      <c r="K51" s="10"/>
      <c r="L51" s="10"/>
      <c r="M51" s="10"/>
      <c r="N51" s="8">
        <v>60.1816</v>
      </c>
      <c r="O51" s="8">
        <v>24.8368</v>
      </c>
      <c r="P51" s="5" t="s">
        <v>194</v>
      </c>
      <c r="Q51" s="5" t="s">
        <v>195</v>
      </c>
      <c r="R51" s="5" t="s">
        <v>411</v>
      </c>
      <c r="S51" s="5" t="s">
        <v>197</v>
      </c>
      <c r="T51" s="5" t="s">
        <v>203</v>
      </c>
      <c r="U51" s="5" t="s">
        <v>198</v>
      </c>
      <c r="V51" s="5" t="s">
        <v>199</v>
      </c>
      <c r="W51" s="5" t="s">
        <v>200</v>
      </c>
      <c r="X51" s="5" t="s">
        <v>202</v>
      </c>
      <c r="Y51" s="5" t="s">
        <v>203</v>
      </c>
      <c r="Z51" s="5" t="s">
        <v>203</v>
      </c>
      <c r="AA51" s="5" t="s">
        <v>202</v>
      </c>
      <c r="AB51" s="5" t="s">
        <v>202</v>
      </c>
      <c r="AC51" s="5" t="s">
        <v>202</v>
      </c>
      <c r="AD51" s="5" t="s">
        <v>202</v>
      </c>
      <c r="AE51" s="5" t="s">
        <v>200</v>
      </c>
      <c r="AF51" s="5" t="s">
        <v>203</v>
      </c>
      <c r="AG51" s="5" t="s">
        <v>202</v>
      </c>
      <c r="AH51" s="5" t="s">
        <v>203</v>
      </c>
      <c r="AI51" s="11" t="s">
        <v>424</v>
      </c>
      <c r="AJ51" s="5" t="s">
        <v>206</v>
      </c>
      <c r="AK51" s="5" t="s">
        <v>203</v>
      </c>
      <c r="AL51" s="5" t="s">
        <v>200</v>
      </c>
      <c r="AM51" s="5" t="s">
        <v>202</v>
      </c>
      <c r="AN51" s="5" t="s">
        <v>203</v>
      </c>
      <c r="AO51" s="5" t="s">
        <v>202</v>
      </c>
      <c r="AP51" s="5" t="s">
        <v>202</v>
      </c>
      <c r="AQ51" s="11" t="s">
        <v>425</v>
      </c>
      <c r="AR51" s="10"/>
      <c r="AS51" s="5" t="s">
        <v>202</v>
      </c>
      <c r="AT51" s="5" t="s">
        <v>202</v>
      </c>
      <c r="AU51" s="5" t="s">
        <v>202</v>
      </c>
      <c r="AV51" s="5" t="s">
        <v>204</v>
      </c>
      <c r="AW51" s="5" t="s">
        <v>204</v>
      </c>
      <c r="AX51" s="5" t="s">
        <v>204</v>
      </c>
      <c r="AY51" s="5" t="s">
        <v>204</v>
      </c>
      <c r="AZ51" s="5" t="s">
        <v>426</v>
      </c>
    </row>
    <row r="52">
      <c r="A52" s="7">
        <v>45868.09166666667</v>
      </c>
      <c r="B52" s="7">
        <v>45868.10208333333</v>
      </c>
      <c r="C52" s="5" t="s">
        <v>99</v>
      </c>
      <c r="D52" s="5" t="s">
        <v>389</v>
      </c>
      <c r="E52" s="8">
        <v>100.0</v>
      </c>
      <c r="F52" s="8">
        <v>885.0</v>
      </c>
      <c r="G52" s="9" t="b">
        <v>1</v>
      </c>
      <c r="H52" s="7">
        <v>45868.10208333333</v>
      </c>
      <c r="I52" s="5" t="s">
        <v>427</v>
      </c>
      <c r="K52" s="10"/>
      <c r="L52" s="10"/>
      <c r="M52" s="10"/>
      <c r="N52" s="8">
        <v>60.1816</v>
      </c>
      <c r="O52" s="8">
        <v>24.8368</v>
      </c>
      <c r="P52" s="5" t="s">
        <v>194</v>
      </c>
      <c r="Q52" s="5" t="s">
        <v>195</v>
      </c>
      <c r="R52" s="5" t="s">
        <v>428</v>
      </c>
      <c r="S52" s="5" t="s">
        <v>216</v>
      </c>
      <c r="T52" s="5" t="s">
        <v>203</v>
      </c>
      <c r="U52" s="5" t="s">
        <v>202</v>
      </c>
      <c r="V52" s="5" t="s">
        <v>199</v>
      </c>
      <c r="W52" s="5" t="s">
        <v>202</v>
      </c>
      <c r="X52" s="5" t="s">
        <v>202</v>
      </c>
      <c r="Y52" s="5" t="s">
        <v>202</v>
      </c>
      <c r="Z52" s="5" t="s">
        <v>198</v>
      </c>
      <c r="AA52" s="5" t="s">
        <v>202</v>
      </c>
      <c r="AB52" s="5" t="s">
        <v>202</v>
      </c>
      <c r="AC52" s="5" t="s">
        <v>202</v>
      </c>
      <c r="AD52" s="5" t="s">
        <v>202</v>
      </c>
      <c r="AE52" s="5" t="s">
        <v>198</v>
      </c>
      <c r="AF52" s="5" t="s">
        <v>203</v>
      </c>
      <c r="AG52" s="5" t="s">
        <v>202</v>
      </c>
      <c r="AH52" s="5" t="s">
        <v>202</v>
      </c>
      <c r="AI52" s="5" t="s">
        <v>429</v>
      </c>
      <c r="AJ52" s="5" t="s">
        <v>206</v>
      </c>
      <c r="AK52" s="5" t="s">
        <v>200</v>
      </c>
      <c r="AL52" s="5" t="s">
        <v>200</v>
      </c>
      <c r="AM52" s="5" t="s">
        <v>200</v>
      </c>
      <c r="AN52" s="5" t="s">
        <v>202</v>
      </c>
      <c r="AO52" s="5" t="s">
        <v>203</v>
      </c>
      <c r="AP52" s="5" t="s">
        <v>200</v>
      </c>
      <c r="AQ52" s="5" t="s">
        <v>430</v>
      </c>
      <c r="AR52" s="5" t="s">
        <v>206</v>
      </c>
      <c r="AS52" s="5" t="s">
        <v>202</v>
      </c>
      <c r="AT52" s="5" t="s">
        <v>200</v>
      </c>
      <c r="AU52" s="5" t="s">
        <v>203</v>
      </c>
      <c r="AV52" s="5" t="s">
        <v>204</v>
      </c>
      <c r="AW52" s="5" t="s">
        <v>204</v>
      </c>
      <c r="AX52" s="5" t="s">
        <v>204</v>
      </c>
      <c r="AY52" s="5" t="s">
        <v>204</v>
      </c>
      <c r="AZ52" s="5" t="s">
        <v>431</v>
      </c>
    </row>
    <row r="53">
      <c r="A53" s="7">
        <v>45868.15555555555</v>
      </c>
      <c r="B53" s="7">
        <v>45868.16805555556</v>
      </c>
      <c r="C53" s="5" t="s">
        <v>99</v>
      </c>
      <c r="D53" s="5" t="s">
        <v>389</v>
      </c>
      <c r="E53" s="8">
        <v>100.0</v>
      </c>
      <c r="F53" s="8">
        <v>1034.0</v>
      </c>
      <c r="G53" s="9" t="b">
        <v>1</v>
      </c>
      <c r="H53" s="7">
        <v>45868.16805555556</v>
      </c>
      <c r="I53" s="5" t="s">
        <v>432</v>
      </c>
      <c r="K53" s="10"/>
      <c r="L53" s="10"/>
      <c r="M53" s="10"/>
      <c r="N53" s="8">
        <v>60.1816</v>
      </c>
      <c r="O53" s="8">
        <v>24.8368</v>
      </c>
      <c r="P53" s="5" t="s">
        <v>194</v>
      </c>
      <c r="Q53" s="5" t="s">
        <v>195</v>
      </c>
      <c r="R53" s="5" t="s">
        <v>433</v>
      </c>
      <c r="S53" s="5" t="s">
        <v>216</v>
      </c>
      <c r="T53" s="5" t="s">
        <v>198</v>
      </c>
      <c r="U53" s="5" t="s">
        <v>208</v>
      </c>
      <c r="V53" s="5" t="s">
        <v>199</v>
      </c>
      <c r="W53" s="5" t="s">
        <v>200</v>
      </c>
      <c r="X53" s="5" t="s">
        <v>203</v>
      </c>
      <c r="Y53" s="5" t="s">
        <v>208</v>
      </c>
      <c r="Z53" s="5" t="s">
        <v>208</v>
      </c>
      <c r="AA53" s="5" t="s">
        <v>208</v>
      </c>
      <c r="AB53" s="5" t="s">
        <v>202</v>
      </c>
      <c r="AC53" s="5" t="s">
        <v>202</v>
      </c>
      <c r="AD53" s="5" t="s">
        <v>198</v>
      </c>
      <c r="AE53" s="5" t="s">
        <v>208</v>
      </c>
      <c r="AF53" s="5" t="s">
        <v>208</v>
      </c>
      <c r="AG53" s="5" t="s">
        <v>202</v>
      </c>
      <c r="AH53" s="5" t="s">
        <v>202</v>
      </c>
      <c r="AI53" s="5" t="s">
        <v>434</v>
      </c>
      <c r="AJ53" s="5" t="s">
        <v>206</v>
      </c>
      <c r="AK53" s="5" t="s">
        <v>202</v>
      </c>
      <c r="AL53" s="5" t="s">
        <v>203</v>
      </c>
      <c r="AM53" s="5" t="s">
        <v>198</v>
      </c>
      <c r="AN53" s="5" t="s">
        <v>202</v>
      </c>
      <c r="AO53" s="5" t="s">
        <v>203</v>
      </c>
      <c r="AP53" s="5" t="s">
        <v>208</v>
      </c>
      <c r="AQ53" s="5" t="s">
        <v>435</v>
      </c>
      <c r="AR53" s="5" t="s">
        <v>206</v>
      </c>
      <c r="AS53" s="5" t="s">
        <v>202</v>
      </c>
      <c r="AT53" s="5" t="s">
        <v>200</v>
      </c>
      <c r="AU53" s="5" t="s">
        <v>198</v>
      </c>
      <c r="AV53" s="5" t="s">
        <v>208</v>
      </c>
      <c r="AW53" s="5" t="s">
        <v>208</v>
      </c>
      <c r="AX53" s="5" t="s">
        <v>204</v>
      </c>
      <c r="AY53" s="5" t="s">
        <v>204</v>
      </c>
      <c r="AZ53" s="11" t="s">
        <v>436</v>
      </c>
    </row>
    <row r="54">
      <c r="A54" s="7">
        <v>45868.16875</v>
      </c>
      <c r="B54" s="7">
        <v>45868.180555555555</v>
      </c>
      <c r="C54" s="5" t="s">
        <v>99</v>
      </c>
      <c r="D54" s="5" t="s">
        <v>389</v>
      </c>
      <c r="E54" s="8">
        <v>100.0</v>
      </c>
      <c r="F54" s="8">
        <v>1006.0</v>
      </c>
      <c r="G54" s="9" t="b">
        <v>1</v>
      </c>
      <c r="H54" s="7">
        <v>45868.180555555555</v>
      </c>
      <c r="I54" s="5" t="s">
        <v>437</v>
      </c>
      <c r="K54" s="10"/>
      <c r="L54" s="10"/>
      <c r="M54" s="10"/>
      <c r="N54" s="8">
        <v>60.1816</v>
      </c>
      <c r="O54" s="8">
        <v>24.8368</v>
      </c>
      <c r="P54" s="5" t="s">
        <v>194</v>
      </c>
      <c r="Q54" s="5" t="s">
        <v>195</v>
      </c>
      <c r="R54" s="5" t="s">
        <v>433</v>
      </c>
      <c r="S54" s="5" t="s">
        <v>211</v>
      </c>
      <c r="T54" s="5" t="s">
        <v>208</v>
      </c>
      <c r="U54" s="5" t="s">
        <v>200</v>
      </c>
      <c r="V54" s="5" t="s">
        <v>199</v>
      </c>
      <c r="W54" s="5" t="s">
        <v>202</v>
      </c>
      <c r="X54" s="5" t="s">
        <v>200</v>
      </c>
      <c r="Y54" s="5" t="s">
        <v>203</v>
      </c>
      <c r="Z54" s="5" t="s">
        <v>200</v>
      </c>
      <c r="AA54" s="5" t="s">
        <v>200</v>
      </c>
      <c r="AB54" s="5" t="s">
        <v>201</v>
      </c>
      <c r="AC54" s="5" t="s">
        <v>202</v>
      </c>
      <c r="AD54" s="5" t="s">
        <v>198</v>
      </c>
      <c r="AE54" s="5" t="s">
        <v>200</v>
      </c>
      <c r="AF54" s="5" t="s">
        <v>200</v>
      </c>
      <c r="AG54" s="5" t="s">
        <v>202</v>
      </c>
      <c r="AH54" s="5" t="s">
        <v>202</v>
      </c>
      <c r="AI54" s="11" t="s">
        <v>438</v>
      </c>
      <c r="AJ54" s="5" t="s">
        <v>206</v>
      </c>
      <c r="AK54" s="5" t="s">
        <v>202</v>
      </c>
      <c r="AL54" s="5" t="s">
        <v>203</v>
      </c>
      <c r="AM54" s="5" t="s">
        <v>200</v>
      </c>
      <c r="AN54" s="5" t="s">
        <v>200</v>
      </c>
      <c r="AO54" s="5" t="s">
        <v>200</v>
      </c>
      <c r="AP54" s="5" t="s">
        <v>202</v>
      </c>
      <c r="AQ54" s="11" t="s">
        <v>439</v>
      </c>
      <c r="AR54" s="5" t="s">
        <v>206</v>
      </c>
      <c r="AS54" s="5" t="s">
        <v>200</v>
      </c>
      <c r="AT54" s="5" t="s">
        <v>202</v>
      </c>
      <c r="AU54" s="5" t="s">
        <v>201</v>
      </c>
      <c r="AV54" s="5" t="s">
        <v>204</v>
      </c>
      <c r="AW54" s="5" t="s">
        <v>208</v>
      </c>
      <c r="AX54" s="5" t="s">
        <v>204</v>
      </c>
      <c r="AY54" s="5" t="s">
        <v>204</v>
      </c>
      <c r="AZ54" s="5" t="s">
        <v>440</v>
      </c>
    </row>
    <row r="55">
      <c r="A55" s="7">
        <v>45868.17222222222</v>
      </c>
      <c r="B55" s="7">
        <v>45868.183333333334</v>
      </c>
      <c r="C55" s="5" t="s">
        <v>99</v>
      </c>
      <c r="D55" s="5" t="s">
        <v>192</v>
      </c>
      <c r="E55" s="8">
        <v>100.0</v>
      </c>
      <c r="F55" s="8">
        <v>961.0</v>
      </c>
      <c r="G55" s="9" t="b">
        <v>1</v>
      </c>
      <c r="H55" s="7">
        <v>45868.183333333334</v>
      </c>
      <c r="I55" s="5" t="s">
        <v>441</v>
      </c>
      <c r="K55" s="10"/>
      <c r="L55" s="10"/>
      <c r="M55" s="10"/>
      <c r="N55" s="8">
        <v>60.1816</v>
      </c>
      <c r="O55" s="8">
        <v>24.8368</v>
      </c>
      <c r="P55" s="5" t="s">
        <v>194</v>
      </c>
      <c r="Q55" s="5" t="s">
        <v>195</v>
      </c>
      <c r="R55" s="5" t="s">
        <v>442</v>
      </c>
      <c r="S55" s="5" t="s">
        <v>197</v>
      </c>
      <c r="T55" s="5" t="s">
        <v>198</v>
      </c>
      <c r="U55" s="5" t="s">
        <v>200</v>
      </c>
      <c r="V55" s="5" t="s">
        <v>199</v>
      </c>
      <c r="W55" s="5" t="s">
        <v>198</v>
      </c>
      <c r="X55" s="5" t="s">
        <v>200</v>
      </c>
      <c r="Y55" s="5" t="s">
        <v>200</v>
      </c>
      <c r="Z55" s="5" t="s">
        <v>202</v>
      </c>
      <c r="AA55" s="5" t="s">
        <v>202</v>
      </c>
      <c r="AB55" s="5" t="s">
        <v>202</v>
      </c>
      <c r="AC55" s="5" t="s">
        <v>202</v>
      </c>
      <c r="AD55" s="5" t="s">
        <v>202</v>
      </c>
      <c r="AE55" s="5" t="s">
        <v>203</v>
      </c>
      <c r="AF55" s="5" t="s">
        <v>200</v>
      </c>
      <c r="AG55" s="5" t="s">
        <v>202</v>
      </c>
      <c r="AH55" s="5" t="s">
        <v>203</v>
      </c>
      <c r="AI55" s="5" t="s">
        <v>443</v>
      </c>
      <c r="AJ55" s="5" t="s">
        <v>206</v>
      </c>
      <c r="AK55" s="5" t="s">
        <v>198</v>
      </c>
      <c r="AL55" s="5" t="s">
        <v>198</v>
      </c>
      <c r="AM55" s="5" t="s">
        <v>198</v>
      </c>
      <c r="AN55" s="5" t="s">
        <v>198</v>
      </c>
      <c r="AO55" s="5" t="s">
        <v>203</v>
      </c>
      <c r="AP55" s="5" t="s">
        <v>200</v>
      </c>
      <c r="AQ55" s="5" t="s">
        <v>444</v>
      </c>
      <c r="AR55" s="5" t="s">
        <v>206</v>
      </c>
      <c r="AS55" s="5" t="s">
        <v>203</v>
      </c>
      <c r="AT55" s="5" t="s">
        <v>200</v>
      </c>
      <c r="AU55" s="5" t="s">
        <v>200</v>
      </c>
      <c r="AV55" s="5" t="s">
        <v>208</v>
      </c>
      <c r="AW55" s="5" t="s">
        <v>198</v>
      </c>
      <c r="AX55" s="5" t="s">
        <v>200</v>
      </c>
      <c r="AY55" s="5" t="s">
        <v>198</v>
      </c>
      <c r="AZ55" s="5" t="s">
        <v>445</v>
      </c>
    </row>
    <row r="56">
      <c r="A56" s="7">
        <v>45868.18402777778</v>
      </c>
      <c r="B56" s="7">
        <v>45868.19375</v>
      </c>
      <c r="C56" s="5" t="s">
        <v>99</v>
      </c>
      <c r="D56" s="5" t="s">
        <v>389</v>
      </c>
      <c r="E56" s="8">
        <v>100.0</v>
      </c>
      <c r="F56" s="8">
        <v>829.0</v>
      </c>
      <c r="G56" s="9" t="b">
        <v>1</v>
      </c>
      <c r="H56" s="7">
        <v>45868.19375</v>
      </c>
      <c r="I56" s="5" t="s">
        <v>446</v>
      </c>
      <c r="K56" s="10"/>
      <c r="L56" s="10"/>
      <c r="M56" s="10"/>
      <c r="N56" s="8">
        <v>60.1816</v>
      </c>
      <c r="O56" s="8">
        <v>24.8368</v>
      </c>
      <c r="P56" s="5" t="s">
        <v>194</v>
      </c>
      <c r="Q56" s="5" t="s">
        <v>195</v>
      </c>
      <c r="R56" s="5" t="s">
        <v>442</v>
      </c>
      <c r="S56" s="5" t="s">
        <v>197</v>
      </c>
      <c r="T56" s="5" t="s">
        <v>200</v>
      </c>
      <c r="U56" s="5" t="s">
        <v>198</v>
      </c>
      <c r="V56" s="5" t="s">
        <v>199</v>
      </c>
      <c r="W56" s="5" t="s">
        <v>203</v>
      </c>
      <c r="X56" s="5" t="s">
        <v>200</v>
      </c>
      <c r="Y56" s="5" t="s">
        <v>201</v>
      </c>
      <c r="Z56" s="5" t="s">
        <v>202</v>
      </c>
      <c r="AA56" s="5" t="s">
        <v>201</v>
      </c>
      <c r="AB56" s="5" t="s">
        <v>201</v>
      </c>
      <c r="AC56" s="5" t="s">
        <v>202</v>
      </c>
      <c r="AD56" s="5" t="s">
        <v>202</v>
      </c>
      <c r="AE56" s="5" t="s">
        <v>198</v>
      </c>
      <c r="AF56" s="5" t="s">
        <v>200</v>
      </c>
      <c r="AG56" s="5" t="s">
        <v>200</v>
      </c>
      <c r="AH56" s="5" t="s">
        <v>200</v>
      </c>
      <c r="AI56" s="5" t="s">
        <v>447</v>
      </c>
      <c r="AJ56" s="5" t="s">
        <v>206</v>
      </c>
      <c r="AK56" s="5" t="s">
        <v>200</v>
      </c>
      <c r="AL56" s="5" t="s">
        <v>200</v>
      </c>
      <c r="AM56" s="5" t="s">
        <v>203</v>
      </c>
      <c r="AN56" s="5" t="s">
        <v>200</v>
      </c>
      <c r="AO56" s="5" t="s">
        <v>198</v>
      </c>
      <c r="AP56" s="5" t="s">
        <v>200</v>
      </c>
      <c r="AQ56" s="5" t="s">
        <v>448</v>
      </c>
      <c r="AR56" s="5" t="s">
        <v>206</v>
      </c>
      <c r="AS56" s="5" t="s">
        <v>202</v>
      </c>
      <c r="AT56" s="5" t="s">
        <v>202</v>
      </c>
      <c r="AU56" s="5" t="s">
        <v>202</v>
      </c>
      <c r="AV56" s="5" t="s">
        <v>208</v>
      </c>
      <c r="AW56" s="5" t="s">
        <v>204</v>
      </c>
      <c r="AX56" s="5" t="s">
        <v>208</v>
      </c>
      <c r="AY56" s="5" t="s">
        <v>204</v>
      </c>
      <c r="AZ56" s="5" t="s">
        <v>449</v>
      </c>
    </row>
    <row r="57">
      <c r="A57" s="7">
        <v>45868.18402777778</v>
      </c>
      <c r="B57" s="7">
        <v>45868.20138888889</v>
      </c>
      <c r="C57" s="5" t="s">
        <v>99</v>
      </c>
      <c r="D57" s="5" t="s">
        <v>192</v>
      </c>
      <c r="E57" s="8">
        <v>100.0</v>
      </c>
      <c r="F57" s="8">
        <v>1471.0</v>
      </c>
      <c r="G57" s="9" t="b">
        <v>1</v>
      </c>
      <c r="H57" s="7">
        <v>45868.20138888889</v>
      </c>
      <c r="I57" s="5" t="s">
        <v>450</v>
      </c>
      <c r="K57" s="10"/>
      <c r="L57" s="10"/>
      <c r="M57" s="10"/>
      <c r="N57" s="8">
        <v>60.1816</v>
      </c>
      <c r="O57" s="8">
        <v>24.8368</v>
      </c>
      <c r="P57" s="5" t="s">
        <v>194</v>
      </c>
      <c r="Q57" s="5" t="s">
        <v>195</v>
      </c>
      <c r="R57" s="5" t="s">
        <v>433</v>
      </c>
      <c r="S57" s="5" t="s">
        <v>197</v>
      </c>
      <c r="T57" s="5" t="s">
        <v>202</v>
      </c>
      <c r="U57" s="5" t="s">
        <v>202</v>
      </c>
      <c r="V57" s="5" t="s">
        <v>199</v>
      </c>
      <c r="W57" s="5" t="s">
        <v>202</v>
      </c>
      <c r="X57" s="5" t="s">
        <v>201</v>
      </c>
      <c r="Y57" s="5" t="s">
        <v>201</v>
      </c>
      <c r="Z57" s="5" t="s">
        <v>202</v>
      </c>
      <c r="AA57" s="5" t="s">
        <v>203</v>
      </c>
      <c r="AB57" s="5" t="s">
        <v>202</v>
      </c>
      <c r="AC57" s="5" t="s">
        <v>202</v>
      </c>
      <c r="AD57" s="5" t="s">
        <v>202</v>
      </c>
      <c r="AE57" s="5" t="s">
        <v>202</v>
      </c>
      <c r="AF57" s="5" t="s">
        <v>200</v>
      </c>
      <c r="AG57" s="5" t="s">
        <v>201</v>
      </c>
      <c r="AH57" s="5" t="s">
        <v>202</v>
      </c>
      <c r="AI57" s="11" t="s">
        <v>451</v>
      </c>
      <c r="AJ57" s="5" t="s">
        <v>206</v>
      </c>
      <c r="AK57" s="5" t="s">
        <v>202</v>
      </c>
      <c r="AL57" s="5" t="s">
        <v>202</v>
      </c>
      <c r="AM57" s="5" t="s">
        <v>202</v>
      </c>
      <c r="AN57" s="5" t="s">
        <v>200</v>
      </c>
      <c r="AO57" s="5" t="s">
        <v>200</v>
      </c>
      <c r="AP57" s="5" t="s">
        <v>202</v>
      </c>
      <c r="AQ57" s="5" t="s">
        <v>452</v>
      </c>
      <c r="AR57" s="5" t="s">
        <v>206</v>
      </c>
      <c r="AS57" s="5" t="s">
        <v>202</v>
      </c>
      <c r="AT57" s="5" t="s">
        <v>208</v>
      </c>
      <c r="AU57" s="5" t="s">
        <v>201</v>
      </c>
      <c r="AV57" s="5" t="s">
        <v>208</v>
      </c>
      <c r="AW57" s="5" t="s">
        <v>208</v>
      </c>
      <c r="AX57" s="5" t="s">
        <v>200</v>
      </c>
      <c r="AY57" s="5" t="s">
        <v>202</v>
      </c>
      <c r="AZ57" s="11" t="s">
        <v>453</v>
      </c>
    </row>
    <row r="58">
      <c r="A58" s="7">
        <v>45868.19513888889</v>
      </c>
      <c r="B58" s="7">
        <v>45868.20208333333</v>
      </c>
      <c r="C58" s="5" t="s">
        <v>99</v>
      </c>
      <c r="D58" s="5" t="s">
        <v>389</v>
      </c>
      <c r="E58" s="8">
        <v>100.0</v>
      </c>
      <c r="F58" s="8">
        <v>626.0</v>
      </c>
      <c r="G58" s="9" t="b">
        <v>1</v>
      </c>
      <c r="H58" s="7">
        <v>45868.20208333333</v>
      </c>
      <c r="I58" s="5" t="s">
        <v>454</v>
      </c>
      <c r="K58" s="10"/>
      <c r="L58" s="10"/>
      <c r="M58" s="10"/>
      <c r="N58" s="8">
        <v>60.1816</v>
      </c>
      <c r="O58" s="8">
        <v>24.8368</v>
      </c>
      <c r="P58" s="5" t="s">
        <v>194</v>
      </c>
      <c r="Q58" s="5" t="s">
        <v>195</v>
      </c>
      <c r="R58" s="5" t="s">
        <v>442</v>
      </c>
      <c r="S58" s="5" t="s">
        <v>216</v>
      </c>
      <c r="T58" s="5" t="s">
        <v>200</v>
      </c>
      <c r="U58" s="5" t="s">
        <v>200</v>
      </c>
      <c r="V58" s="5" t="s">
        <v>199</v>
      </c>
      <c r="W58" s="5" t="s">
        <v>200</v>
      </c>
      <c r="X58" s="5" t="s">
        <v>200</v>
      </c>
      <c r="Y58" s="5" t="s">
        <v>202</v>
      </c>
      <c r="Z58" s="5" t="s">
        <v>200</v>
      </c>
      <c r="AA58" s="5" t="s">
        <v>200</v>
      </c>
      <c r="AB58" s="5" t="s">
        <v>200</v>
      </c>
      <c r="AC58" s="5" t="s">
        <v>200</v>
      </c>
      <c r="AD58" s="5" t="s">
        <v>200</v>
      </c>
      <c r="AE58" s="5" t="s">
        <v>203</v>
      </c>
      <c r="AF58" s="5" t="s">
        <v>198</v>
      </c>
      <c r="AG58" s="5" t="s">
        <v>200</v>
      </c>
      <c r="AH58" s="5" t="s">
        <v>208</v>
      </c>
      <c r="AI58" s="5" t="s">
        <v>455</v>
      </c>
      <c r="AJ58" s="5" t="s">
        <v>206</v>
      </c>
      <c r="AK58" s="5" t="s">
        <v>200</v>
      </c>
      <c r="AL58" s="5" t="s">
        <v>200</v>
      </c>
      <c r="AM58" s="5" t="s">
        <v>200</v>
      </c>
      <c r="AN58" s="5" t="s">
        <v>202</v>
      </c>
      <c r="AO58" s="5" t="s">
        <v>202</v>
      </c>
      <c r="AP58" s="5" t="s">
        <v>202</v>
      </c>
      <c r="AQ58" s="5" t="s">
        <v>456</v>
      </c>
      <c r="AR58" s="5" t="s">
        <v>206</v>
      </c>
      <c r="AS58" s="5" t="s">
        <v>202</v>
      </c>
      <c r="AT58" s="5" t="s">
        <v>202</v>
      </c>
      <c r="AU58" s="5" t="s">
        <v>202</v>
      </c>
      <c r="AV58" s="5" t="s">
        <v>208</v>
      </c>
      <c r="AW58" s="5" t="s">
        <v>208</v>
      </c>
      <c r="AX58" s="5" t="s">
        <v>208</v>
      </c>
      <c r="AY58" s="5" t="s">
        <v>208</v>
      </c>
      <c r="AZ58" s="5" t="s">
        <v>457</v>
      </c>
    </row>
    <row r="59">
      <c r="A59" s="7">
        <v>45868.21111111111</v>
      </c>
      <c r="B59" s="7">
        <v>45868.21527777778</v>
      </c>
      <c r="C59" s="5" t="s">
        <v>99</v>
      </c>
      <c r="D59" s="5" t="s">
        <v>389</v>
      </c>
      <c r="E59" s="8">
        <v>100.0</v>
      </c>
      <c r="F59" s="8">
        <v>319.0</v>
      </c>
      <c r="G59" s="9" t="b">
        <v>1</v>
      </c>
      <c r="H59" s="7">
        <v>45868.21527777778</v>
      </c>
      <c r="I59" s="5" t="s">
        <v>458</v>
      </c>
      <c r="K59" s="10"/>
      <c r="L59" s="10"/>
      <c r="M59" s="10"/>
      <c r="N59" s="8">
        <v>60.1816</v>
      </c>
      <c r="O59" s="8">
        <v>24.8368</v>
      </c>
      <c r="P59" s="5" t="s">
        <v>194</v>
      </c>
      <c r="Q59" s="5" t="s">
        <v>195</v>
      </c>
      <c r="R59" s="5" t="s">
        <v>442</v>
      </c>
      <c r="S59" s="5" t="s">
        <v>263</v>
      </c>
      <c r="T59" s="5" t="s">
        <v>200</v>
      </c>
      <c r="U59" s="5" t="s">
        <v>200</v>
      </c>
      <c r="V59" s="5" t="s">
        <v>199</v>
      </c>
      <c r="W59" s="5" t="s">
        <v>202</v>
      </c>
      <c r="X59" s="5" t="s">
        <v>200</v>
      </c>
      <c r="Y59" s="5" t="s">
        <v>200</v>
      </c>
      <c r="Z59" s="5" t="s">
        <v>202</v>
      </c>
      <c r="AA59" s="5" t="s">
        <v>202</v>
      </c>
      <c r="AB59" s="5" t="s">
        <v>202</v>
      </c>
      <c r="AC59" s="5" t="s">
        <v>202</v>
      </c>
      <c r="AD59" s="5" t="s">
        <v>202</v>
      </c>
      <c r="AE59" s="5" t="s">
        <v>200</v>
      </c>
      <c r="AF59" s="5" t="s">
        <v>203</v>
      </c>
      <c r="AG59" s="5" t="s">
        <v>202</v>
      </c>
      <c r="AH59" s="5" t="s">
        <v>203</v>
      </c>
      <c r="AI59" s="5" t="s">
        <v>459</v>
      </c>
      <c r="AJ59" s="5" t="s">
        <v>206</v>
      </c>
      <c r="AK59" s="5" t="s">
        <v>202</v>
      </c>
      <c r="AL59" s="5" t="s">
        <v>202</v>
      </c>
      <c r="AM59" s="5" t="s">
        <v>202</v>
      </c>
      <c r="AN59" s="5" t="s">
        <v>203</v>
      </c>
      <c r="AO59" s="5" t="s">
        <v>202</v>
      </c>
      <c r="AP59" s="5" t="s">
        <v>202</v>
      </c>
      <c r="AQ59" s="5" t="s">
        <v>460</v>
      </c>
      <c r="AR59" s="5" t="s">
        <v>206</v>
      </c>
      <c r="AS59" s="5" t="s">
        <v>200</v>
      </c>
      <c r="AT59" s="5" t="s">
        <v>200</v>
      </c>
      <c r="AU59" s="5" t="s">
        <v>203</v>
      </c>
      <c r="AV59" s="5" t="s">
        <v>198</v>
      </c>
      <c r="AW59" s="5" t="s">
        <v>198</v>
      </c>
      <c r="AX59" s="5" t="s">
        <v>200</v>
      </c>
      <c r="AY59" s="5" t="s">
        <v>200</v>
      </c>
      <c r="AZ59" s="5" t="s">
        <v>461</v>
      </c>
    </row>
    <row r="60">
      <c r="A60" s="7">
        <v>45868.20694444444</v>
      </c>
      <c r="B60" s="7">
        <v>45868.21597222222</v>
      </c>
      <c r="C60" s="5" t="s">
        <v>99</v>
      </c>
      <c r="D60" s="5" t="s">
        <v>383</v>
      </c>
      <c r="E60" s="8">
        <v>100.0</v>
      </c>
      <c r="F60" s="8">
        <v>746.0</v>
      </c>
      <c r="G60" s="9" t="b">
        <v>1</v>
      </c>
      <c r="H60" s="7">
        <v>45868.21597222222</v>
      </c>
      <c r="I60" s="5" t="s">
        <v>462</v>
      </c>
      <c r="K60" s="10"/>
      <c r="L60" s="10"/>
      <c r="M60" s="10"/>
      <c r="N60" s="8">
        <v>60.1816</v>
      </c>
      <c r="O60" s="8">
        <v>24.8368</v>
      </c>
      <c r="P60" s="5" t="s">
        <v>194</v>
      </c>
      <c r="Q60" s="5" t="s">
        <v>195</v>
      </c>
      <c r="R60" s="5" t="s">
        <v>433</v>
      </c>
      <c r="S60" s="5" t="s">
        <v>263</v>
      </c>
      <c r="T60" s="5" t="s">
        <v>202</v>
      </c>
      <c r="U60" s="5" t="s">
        <v>200</v>
      </c>
      <c r="V60" s="5" t="s">
        <v>199</v>
      </c>
      <c r="W60" s="5" t="s">
        <v>202</v>
      </c>
      <c r="X60" s="5" t="s">
        <v>201</v>
      </c>
      <c r="Y60" s="5" t="s">
        <v>202</v>
      </c>
      <c r="Z60" s="5" t="s">
        <v>202</v>
      </c>
      <c r="AA60" s="5" t="s">
        <v>200</v>
      </c>
      <c r="AB60" s="5" t="s">
        <v>202</v>
      </c>
      <c r="AC60" s="5" t="s">
        <v>202</v>
      </c>
      <c r="AD60" s="5" t="s">
        <v>202</v>
      </c>
      <c r="AE60" s="5" t="s">
        <v>208</v>
      </c>
      <c r="AF60" s="5" t="s">
        <v>198</v>
      </c>
      <c r="AG60" s="5" t="s">
        <v>200</v>
      </c>
      <c r="AH60" s="5" t="s">
        <v>202</v>
      </c>
      <c r="AI60" s="11" t="s">
        <v>463</v>
      </c>
      <c r="AJ60" s="5" t="s">
        <v>206</v>
      </c>
      <c r="AK60" s="5" t="s">
        <v>202</v>
      </c>
      <c r="AL60" s="5" t="s">
        <v>202</v>
      </c>
      <c r="AM60" s="5" t="s">
        <v>202</v>
      </c>
      <c r="AN60" s="5" t="s">
        <v>200</v>
      </c>
      <c r="AO60" s="5" t="s">
        <v>200</v>
      </c>
      <c r="AP60" s="5" t="s">
        <v>202</v>
      </c>
      <c r="AQ60" s="5" t="s">
        <v>464</v>
      </c>
      <c r="AR60" s="5" t="s">
        <v>206</v>
      </c>
      <c r="AS60" s="5" t="s">
        <v>202</v>
      </c>
      <c r="AT60" s="5" t="s">
        <v>200</v>
      </c>
      <c r="AU60" s="5" t="s">
        <v>201</v>
      </c>
      <c r="AV60" s="5" t="s">
        <v>208</v>
      </c>
      <c r="AW60" s="5" t="s">
        <v>208</v>
      </c>
      <c r="AX60" s="5" t="s">
        <v>202</v>
      </c>
      <c r="AY60" s="5" t="s">
        <v>200</v>
      </c>
      <c r="AZ60" s="11" t="s">
        <v>465</v>
      </c>
    </row>
    <row r="61">
      <c r="A61" s="7">
        <v>45868.21805555555</v>
      </c>
      <c r="B61" s="7">
        <v>45868.222916666666</v>
      </c>
      <c r="C61" s="5" t="s">
        <v>99</v>
      </c>
      <c r="D61" s="5" t="s">
        <v>383</v>
      </c>
      <c r="E61" s="8">
        <v>100.0</v>
      </c>
      <c r="F61" s="8">
        <v>459.0</v>
      </c>
      <c r="G61" s="9" t="b">
        <v>1</v>
      </c>
      <c r="H61" s="7">
        <v>45868.222916666666</v>
      </c>
      <c r="I61" s="5" t="s">
        <v>466</v>
      </c>
      <c r="K61" s="10"/>
      <c r="L61" s="10"/>
      <c r="M61" s="10"/>
      <c r="N61" s="8">
        <v>60.1816</v>
      </c>
      <c r="O61" s="8">
        <v>24.8368</v>
      </c>
      <c r="P61" s="5" t="s">
        <v>194</v>
      </c>
      <c r="Q61" s="5" t="s">
        <v>195</v>
      </c>
      <c r="R61" s="5" t="s">
        <v>411</v>
      </c>
      <c r="S61" s="5" t="s">
        <v>211</v>
      </c>
      <c r="T61" s="5" t="s">
        <v>198</v>
      </c>
      <c r="U61" s="5" t="s">
        <v>198</v>
      </c>
      <c r="V61" s="5" t="s">
        <v>199</v>
      </c>
      <c r="W61" s="5" t="s">
        <v>200</v>
      </c>
      <c r="X61" s="5" t="s">
        <v>200</v>
      </c>
      <c r="Y61" s="5" t="s">
        <v>203</v>
      </c>
      <c r="Z61" s="5" t="s">
        <v>200</v>
      </c>
      <c r="AA61" s="5" t="s">
        <v>200</v>
      </c>
      <c r="AB61" s="5" t="s">
        <v>202</v>
      </c>
      <c r="AC61" s="5" t="s">
        <v>200</v>
      </c>
      <c r="AD61" s="5" t="s">
        <v>200</v>
      </c>
      <c r="AE61" s="5" t="s">
        <v>203</v>
      </c>
      <c r="AF61" s="5" t="s">
        <v>203</v>
      </c>
      <c r="AG61" s="5" t="s">
        <v>200</v>
      </c>
      <c r="AH61" s="5" t="s">
        <v>201</v>
      </c>
      <c r="AI61" s="5" t="s">
        <v>467</v>
      </c>
      <c r="AJ61" s="5" t="s">
        <v>206</v>
      </c>
      <c r="AK61" s="5" t="s">
        <v>200</v>
      </c>
      <c r="AL61" s="5" t="s">
        <v>202</v>
      </c>
      <c r="AM61" s="5" t="s">
        <v>202</v>
      </c>
      <c r="AN61" s="5" t="s">
        <v>200</v>
      </c>
      <c r="AO61" s="5" t="s">
        <v>203</v>
      </c>
      <c r="AP61" s="5" t="s">
        <v>200</v>
      </c>
      <c r="AQ61" s="5" t="s">
        <v>413</v>
      </c>
      <c r="AR61" s="5" t="s">
        <v>206</v>
      </c>
      <c r="AS61" s="5" t="s">
        <v>200</v>
      </c>
      <c r="AT61" s="5" t="s">
        <v>200</v>
      </c>
      <c r="AU61" s="5" t="s">
        <v>202</v>
      </c>
      <c r="AV61" s="5" t="s">
        <v>204</v>
      </c>
      <c r="AW61" s="5" t="s">
        <v>204</v>
      </c>
      <c r="AX61" s="5" t="s">
        <v>204</v>
      </c>
      <c r="AY61" s="5" t="s">
        <v>204</v>
      </c>
      <c r="AZ61" s="5" t="s">
        <v>413</v>
      </c>
    </row>
    <row r="62">
      <c r="A62" s="7">
        <v>45868.22638888889</v>
      </c>
      <c r="B62" s="7">
        <v>45868.22986111111</v>
      </c>
      <c r="C62" s="5" t="s">
        <v>99</v>
      </c>
      <c r="D62" s="5" t="s">
        <v>383</v>
      </c>
      <c r="E62" s="8">
        <v>100.0</v>
      </c>
      <c r="F62" s="8">
        <v>309.0</v>
      </c>
      <c r="G62" s="9" t="b">
        <v>1</v>
      </c>
      <c r="H62" s="7">
        <v>45868.22986111111</v>
      </c>
      <c r="I62" s="5" t="s">
        <v>468</v>
      </c>
      <c r="K62" s="10"/>
      <c r="L62" s="10"/>
      <c r="M62" s="10"/>
      <c r="N62" s="8">
        <v>60.1816</v>
      </c>
      <c r="O62" s="8">
        <v>24.8368</v>
      </c>
      <c r="P62" s="5" t="s">
        <v>194</v>
      </c>
      <c r="Q62" s="5" t="s">
        <v>195</v>
      </c>
      <c r="R62" s="5" t="s">
        <v>411</v>
      </c>
      <c r="S62" s="5" t="s">
        <v>216</v>
      </c>
      <c r="T62" s="5" t="s">
        <v>203</v>
      </c>
      <c r="U62" s="5" t="s">
        <v>208</v>
      </c>
      <c r="V62" s="5" t="s">
        <v>199</v>
      </c>
      <c r="W62" s="5" t="s">
        <v>200</v>
      </c>
      <c r="X62" s="5" t="s">
        <v>202</v>
      </c>
      <c r="Y62" s="5" t="s">
        <v>198</v>
      </c>
      <c r="Z62" s="5" t="s">
        <v>208</v>
      </c>
      <c r="AA62" s="5" t="s">
        <v>200</v>
      </c>
      <c r="AB62" s="5" t="s">
        <v>200</v>
      </c>
      <c r="AC62" s="5" t="s">
        <v>200</v>
      </c>
      <c r="AD62" s="5" t="s">
        <v>200</v>
      </c>
      <c r="AE62" s="5" t="s">
        <v>198</v>
      </c>
      <c r="AF62" s="5" t="s">
        <v>203</v>
      </c>
      <c r="AG62" s="5" t="s">
        <v>200</v>
      </c>
      <c r="AH62" s="5" t="s">
        <v>198</v>
      </c>
      <c r="AI62" s="5" t="s">
        <v>413</v>
      </c>
      <c r="AJ62" s="5" t="s">
        <v>206</v>
      </c>
      <c r="AK62" s="5" t="s">
        <v>200</v>
      </c>
      <c r="AL62" s="5" t="s">
        <v>200</v>
      </c>
      <c r="AM62" s="5" t="s">
        <v>203</v>
      </c>
      <c r="AN62" s="5" t="s">
        <v>200</v>
      </c>
      <c r="AO62" s="5" t="s">
        <v>200</v>
      </c>
      <c r="AP62" s="5" t="s">
        <v>200</v>
      </c>
      <c r="AQ62" s="5" t="s">
        <v>413</v>
      </c>
      <c r="AR62" s="5" t="s">
        <v>206</v>
      </c>
      <c r="AS62" s="5" t="s">
        <v>202</v>
      </c>
      <c r="AT62" s="5" t="s">
        <v>200</v>
      </c>
      <c r="AU62" s="5" t="s">
        <v>200</v>
      </c>
      <c r="AV62" s="5" t="s">
        <v>204</v>
      </c>
      <c r="AW62" s="5" t="s">
        <v>204</v>
      </c>
      <c r="AX62" s="5" t="s">
        <v>204</v>
      </c>
      <c r="AY62" s="5" t="s">
        <v>204</v>
      </c>
      <c r="AZ62" s="5" t="s">
        <v>413</v>
      </c>
    </row>
    <row r="63">
      <c r="A63" s="7">
        <v>45868.229166666664</v>
      </c>
      <c r="B63" s="7">
        <v>45868.2375</v>
      </c>
      <c r="C63" s="5" t="s">
        <v>99</v>
      </c>
      <c r="D63" s="5" t="s">
        <v>192</v>
      </c>
      <c r="E63" s="8">
        <v>100.0</v>
      </c>
      <c r="F63" s="8">
        <v>723.0</v>
      </c>
      <c r="G63" s="9" t="b">
        <v>1</v>
      </c>
      <c r="H63" s="7">
        <v>45868.2375</v>
      </c>
      <c r="I63" s="5" t="s">
        <v>469</v>
      </c>
      <c r="K63" s="10"/>
      <c r="L63" s="10"/>
      <c r="M63" s="10"/>
      <c r="N63" s="8">
        <v>60.1816</v>
      </c>
      <c r="O63" s="8">
        <v>24.8368</v>
      </c>
      <c r="P63" s="5" t="s">
        <v>194</v>
      </c>
      <c r="Q63" s="5" t="s">
        <v>195</v>
      </c>
      <c r="R63" s="5" t="s">
        <v>470</v>
      </c>
      <c r="S63" s="5" t="s">
        <v>197</v>
      </c>
      <c r="T63" s="5" t="s">
        <v>200</v>
      </c>
      <c r="U63" s="5" t="s">
        <v>202</v>
      </c>
      <c r="V63" s="5" t="s">
        <v>199</v>
      </c>
      <c r="W63" s="5" t="s">
        <v>202</v>
      </c>
      <c r="X63" s="5" t="s">
        <v>202</v>
      </c>
      <c r="Y63" s="5" t="s">
        <v>202</v>
      </c>
      <c r="Z63" s="5" t="s">
        <v>202</v>
      </c>
      <c r="AA63" s="5" t="s">
        <v>200</v>
      </c>
      <c r="AB63" s="5" t="s">
        <v>202</v>
      </c>
      <c r="AC63" s="5" t="s">
        <v>202</v>
      </c>
      <c r="AD63" s="5" t="s">
        <v>202</v>
      </c>
      <c r="AE63" s="5" t="s">
        <v>203</v>
      </c>
      <c r="AF63" s="5" t="s">
        <v>203</v>
      </c>
      <c r="AG63" s="5" t="s">
        <v>200</v>
      </c>
      <c r="AH63" s="5" t="s">
        <v>200</v>
      </c>
      <c r="AI63" s="5" t="s">
        <v>471</v>
      </c>
      <c r="AJ63" s="5" t="s">
        <v>206</v>
      </c>
      <c r="AK63" s="5" t="s">
        <v>203</v>
      </c>
      <c r="AL63" s="5" t="s">
        <v>203</v>
      </c>
      <c r="AM63" s="5" t="s">
        <v>200</v>
      </c>
      <c r="AN63" s="5" t="s">
        <v>202</v>
      </c>
      <c r="AO63" s="5" t="s">
        <v>200</v>
      </c>
      <c r="AP63" s="5" t="s">
        <v>202</v>
      </c>
      <c r="AQ63" s="5" t="s">
        <v>472</v>
      </c>
      <c r="AR63" s="5" t="s">
        <v>206</v>
      </c>
      <c r="AS63" s="5" t="s">
        <v>200</v>
      </c>
      <c r="AT63" s="5" t="s">
        <v>202</v>
      </c>
      <c r="AU63" s="5" t="s">
        <v>202</v>
      </c>
      <c r="AV63" s="5" t="s">
        <v>200</v>
      </c>
      <c r="AW63" s="5" t="s">
        <v>200</v>
      </c>
      <c r="AX63" s="5" t="s">
        <v>201</v>
      </c>
      <c r="AY63" s="5" t="s">
        <v>208</v>
      </c>
      <c r="AZ63" s="5" t="s">
        <v>473</v>
      </c>
    </row>
    <row r="64">
      <c r="A64" s="7">
        <v>45868.243055555555</v>
      </c>
      <c r="B64" s="7">
        <v>45868.24930555555</v>
      </c>
      <c r="C64" s="5" t="s">
        <v>99</v>
      </c>
      <c r="D64" s="5" t="s">
        <v>389</v>
      </c>
      <c r="E64" s="8">
        <v>100.0</v>
      </c>
      <c r="F64" s="8">
        <v>488.0</v>
      </c>
      <c r="G64" s="9" t="b">
        <v>1</v>
      </c>
      <c r="H64" s="7">
        <v>45868.24930555555</v>
      </c>
      <c r="I64" s="5" t="s">
        <v>474</v>
      </c>
      <c r="L64" s="10"/>
      <c r="M64" s="10"/>
      <c r="N64" s="8">
        <v>60.1816</v>
      </c>
      <c r="O64" s="8">
        <v>24.8368</v>
      </c>
      <c r="P64" s="5" t="s">
        <v>194</v>
      </c>
      <c r="Q64" s="5" t="s">
        <v>195</v>
      </c>
      <c r="R64" s="5" t="s">
        <v>470</v>
      </c>
      <c r="S64" s="5" t="s">
        <v>263</v>
      </c>
      <c r="T64" s="5" t="s">
        <v>202</v>
      </c>
      <c r="U64" s="5" t="s">
        <v>202</v>
      </c>
      <c r="V64" s="5" t="s">
        <v>199</v>
      </c>
      <c r="W64" s="5" t="s">
        <v>202</v>
      </c>
      <c r="X64" s="5" t="s">
        <v>200</v>
      </c>
      <c r="Y64" s="5" t="s">
        <v>202</v>
      </c>
      <c r="Z64" s="5" t="s">
        <v>202</v>
      </c>
      <c r="AA64" s="5" t="s">
        <v>202</v>
      </c>
      <c r="AB64" s="5" t="s">
        <v>202</v>
      </c>
      <c r="AC64" s="5" t="s">
        <v>201</v>
      </c>
      <c r="AD64" s="5" t="s">
        <v>202</v>
      </c>
      <c r="AE64" s="5" t="s">
        <v>202</v>
      </c>
      <c r="AF64" s="5" t="s">
        <v>200</v>
      </c>
      <c r="AG64" s="5" t="s">
        <v>202</v>
      </c>
      <c r="AH64" s="5" t="s">
        <v>201</v>
      </c>
      <c r="AI64" s="5" t="s">
        <v>475</v>
      </c>
      <c r="AJ64" s="5" t="s">
        <v>206</v>
      </c>
      <c r="AK64" s="5" t="s">
        <v>202</v>
      </c>
      <c r="AL64" s="5" t="s">
        <v>200</v>
      </c>
      <c r="AM64" s="5" t="s">
        <v>202</v>
      </c>
      <c r="AN64" s="5" t="s">
        <v>200</v>
      </c>
      <c r="AO64" s="5" t="s">
        <v>200</v>
      </c>
      <c r="AP64" s="5" t="s">
        <v>200</v>
      </c>
      <c r="AQ64" s="5" t="s">
        <v>476</v>
      </c>
      <c r="AR64" s="5" t="s">
        <v>206</v>
      </c>
      <c r="AS64" s="5" t="s">
        <v>202</v>
      </c>
      <c r="AT64" s="5" t="s">
        <v>202</v>
      </c>
      <c r="AU64" s="5" t="s">
        <v>202</v>
      </c>
      <c r="AV64" s="5" t="s">
        <v>200</v>
      </c>
      <c r="AW64" s="5" t="s">
        <v>200</v>
      </c>
      <c r="AX64" s="5" t="s">
        <v>202</v>
      </c>
      <c r="AY64" s="5" t="s">
        <v>203</v>
      </c>
      <c r="AZ64" s="5" t="s">
        <v>477</v>
      </c>
    </row>
    <row r="65">
      <c r="A65" s="7">
        <v>45868.24930555555</v>
      </c>
      <c r="B65" s="7">
        <v>45868.256944444445</v>
      </c>
      <c r="C65" s="5" t="s">
        <v>99</v>
      </c>
      <c r="D65" s="5" t="s">
        <v>192</v>
      </c>
      <c r="E65" s="8">
        <v>100.0</v>
      </c>
      <c r="F65" s="8">
        <v>675.0</v>
      </c>
      <c r="G65" s="9" t="b">
        <v>1</v>
      </c>
      <c r="H65" s="7">
        <v>45868.256944444445</v>
      </c>
      <c r="I65" s="5" t="s">
        <v>478</v>
      </c>
      <c r="K65" s="10"/>
      <c r="L65" s="10"/>
      <c r="M65" s="10"/>
      <c r="N65" s="8">
        <v>60.1816</v>
      </c>
      <c r="O65" s="8">
        <v>24.8368</v>
      </c>
      <c r="P65" s="5" t="s">
        <v>194</v>
      </c>
      <c r="Q65" s="5" t="s">
        <v>195</v>
      </c>
      <c r="R65" s="5" t="s">
        <v>428</v>
      </c>
      <c r="S65" s="5" t="s">
        <v>197</v>
      </c>
      <c r="T65" s="5" t="s">
        <v>198</v>
      </c>
      <c r="U65" s="5" t="s">
        <v>208</v>
      </c>
      <c r="V65" s="5" t="s">
        <v>199</v>
      </c>
      <c r="W65" s="5" t="s">
        <v>200</v>
      </c>
      <c r="X65" s="5" t="s">
        <v>200</v>
      </c>
      <c r="Y65" s="5" t="s">
        <v>208</v>
      </c>
      <c r="Z65" s="5" t="s">
        <v>208</v>
      </c>
      <c r="AA65" s="5" t="s">
        <v>208</v>
      </c>
      <c r="AB65" s="5" t="s">
        <v>200</v>
      </c>
      <c r="AC65" s="5" t="s">
        <v>200</v>
      </c>
      <c r="AD65" s="5" t="s">
        <v>200</v>
      </c>
      <c r="AE65" s="5" t="s">
        <v>208</v>
      </c>
      <c r="AF65" s="5" t="s">
        <v>203</v>
      </c>
      <c r="AG65" s="5" t="s">
        <v>200</v>
      </c>
      <c r="AH65" s="5" t="s">
        <v>208</v>
      </c>
      <c r="AI65" s="5" t="s">
        <v>479</v>
      </c>
      <c r="AJ65" s="5" t="s">
        <v>206</v>
      </c>
      <c r="AK65" s="5" t="s">
        <v>200</v>
      </c>
      <c r="AL65" s="5" t="s">
        <v>200</v>
      </c>
      <c r="AM65" s="5" t="s">
        <v>200</v>
      </c>
      <c r="AN65" s="5" t="s">
        <v>198</v>
      </c>
      <c r="AO65" s="5" t="s">
        <v>198</v>
      </c>
      <c r="AP65" s="5" t="s">
        <v>200</v>
      </c>
      <c r="AQ65" s="5" t="s">
        <v>480</v>
      </c>
      <c r="AR65" s="5" t="s">
        <v>206</v>
      </c>
      <c r="AS65" s="5" t="s">
        <v>200</v>
      </c>
      <c r="AT65" s="5" t="s">
        <v>200</v>
      </c>
      <c r="AU65" s="5" t="s">
        <v>203</v>
      </c>
      <c r="AV65" s="5" t="s">
        <v>200</v>
      </c>
      <c r="AW65" s="5" t="s">
        <v>200</v>
      </c>
      <c r="AX65" s="5" t="s">
        <v>200</v>
      </c>
      <c r="AY65" s="5" t="s">
        <v>198</v>
      </c>
      <c r="AZ65" s="5" t="s">
        <v>481</v>
      </c>
    </row>
    <row r="66">
      <c r="A66" s="7">
        <v>45868.25</v>
      </c>
      <c r="B66" s="7">
        <v>45868.25833333333</v>
      </c>
      <c r="C66" s="5" t="s">
        <v>99</v>
      </c>
      <c r="D66" s="5" t="s">
        <v>389</v>
      </c>
      <c r="E66" s="8">
        <v>100.0</v>
      </c>
      <c r="F66" s="8">
        <v>735.0</v>
      </c>
      <c r="G66" s="9" t="b">
        <v>1</v>
      </c>
      <c r="H66" s="7">
        <v>45868.25833333333</v>
      </c>
      <c r="I66" s="5" t="s">
        <v>482</v>
      </c>
      <c r="K66" s="10"/>
      <c r="L66" s="10"/>
      <c r="M66" s="10"/>
      <c r="N66" s="8">
        <v>60.1816</v>
      </c>
      <c r="O66" s="8">
        <v>24.8368</v>
      </c>
      <c r="P66" s="5" t="s">
        <v>194</v>
      </c>
      <c r="Q66" s="5" t="s">
        <v>195</v>
      </c>
      <c r="R66" s="5" t="s">
        <v>470</v>
      </c>
      <c r="S66" s="5" t="s">
        <v>211</v>
      </c>
      <c r="T66" s="5" t="s">
        <v>203</v>
      </c>
      <c r="U66" s="5" t="s">
        <v>202</v>
      </c>
      <c r="V66" s="5" t="s">
        <v>199</v>
      </c>
      <c r="W66" s="5" t="s">
        <v>200</v>
      </c>
      <c r="X66" s="5" t="s">
        <v>200</v>
      </c>
      <c r="Y66" s="5" t="s">
        <v>200</v>
      </c>
      <c r="Z66" s="5" t="s">
        <v>200</v>
      </c>
      <c r="AA66" s="5" t="s">
        <v>203</v>
      </c>
      <c r="AB66" s="5" t="s">
        <v>200</v>
      </c>
      <c r="AC66" s="5" t="s">
        <v>202</v>
      </c>
      <c r="AD66" s="5" t="s">
        <v>202</v>
      </c>
      <c r="AE66" s="5" t="s">
        <v>198</v>
      </c>
      <c r="AF66" s="5" t="s">
        <v>203</v>
      </c>
      <c r="AG66" s="5" t="s">
        <v>202</v>
      </c>
      <c r="AH66" s="5" t="s">
        <v>202</v>
      </c>
      <c r="AI66" s="5" t="s">
        <v>483</v>
      </c>
      <c r="AJ66" s="5" t="s">
        <v>206</v>
      </c>
      <c r="AK66" s="5" t="s">
        <v>200</v>
      </c>
      <c r="AL66" s="5" t="s">
        <v>203</v>
      </c>
      <c r="AM66" s="5" t="s">
        <v>200</v>
      </c>
      <c r="AN66" s="5" t="s">
        <v>198</v>
      </c>
      <c r="AO66" s="5" t="s">
        <v>198</v>
      </c>
      <c r="AP66" s="5" t="s">
        <v>202</v>
      </c>
      <c r="AQ66" s="5" t="s">
        <v>484</v>
      </c>
      <c r="AR66" s="5" t="s">
        <v>206</v>
      </c>
      <c r="AS66" s="5" t="s">
        <v>202</v>
      </c>
      <c r="AT66" s="5" t="s">
        <v>202</v>
      </c>
      <c r="AU66" s="5" t="s">
        <v>203</v>
      </c>
      <c r="AV66" s="5" t="s">
        <v>200</v>
      </c>
      <c r="AW66" s="5" t="s">
        <v>203</v>
      </c>
      <c r="AX66" s="5" t="s">
        <v>202</v>
      </c>
      <c r="AY66" s="5" t="s">
        <v>198</v>
      </c>
      <c r="AZ66" s="5" t="s">
        <v>485</v>
      </c>
    </row>
    <row r="67">
      <c r="A67" s="7">
        <v>45868.25902777778</v>
      </c>
      <c r="B67" s="7">
        <v>45868.26527777778</v>
      </c>
      <c r="C67" s="5" t="s">
        <v>99</v>
      </c>
      <c r="D67" s="5" t="s">
        <v>389</v>
      </c>
      <c r="E67" s="8">
        <v>100.0</v>
      </c>
      <c r="F67" s="8">
        <v>537.0</v>
      </c>
      <c r="G67" s="9" t="b">
        <v>1</v>
      </c>
      <c r="H67" s="7">
        <v>45868.26527777778</v>
      </c>
      <c r="I67" s="5" t="s">
        <v>486</v>
      </c>
      <c r="K67" s="10"/>
      <c r="L67" s="10"/>
      <c r="M67" s="10"/>
      <c r="N67" s="8">
        <v>60.1816</v>
      </c>
      <c r="O67" s="8">
        <v>24.8368</v>
      </c>
      <c r="P67" s="5" t="s">
        <v>194</v>
      </c>
      <c r="Q67" s="5" t="s">
        <v>195</v>
      </c>
      <c r="R67" s="5" t="s">
        <v>470</v>
      </c>
      <c r="S67" s="5" t="s">
        <v>216</v>
      </c>
      <c r="T67" s="5" t="s">
        <v>202</v>
      </c>
      <c r="U67" s="5" t="s">
        <v>202</v>
      </c>
      <c r="V67" s="5" t="s">
        <v>199</v>
      </c>
      <c r="W67" s="5" t="s">
        <v>201</v>
      </c>
      <c r="X67" s="5" t="s">
        <v>202</v>
      </c>
      <c r="Y67" s="5" t="s">
        <v>203</v>
      </c>
      <c r="Z67" s="5" t="s">
        <v>202</v>
      </c>
      <c r="AA67" s="5" t="s">
        <v>200</v>
      </c>
      <c r="AB67" s="5" t="s">
        <v>202</v>
      </c>
      <c r="AC67" s="5" t="s">
        <v>202</v>
      </c>
      <c r="AD67" s="5" t="s">
        <v>202</v>
      </c>
      <c r="AE67" s="5" t="s">
        <v>200</v>
      </c>
      <c r="AF67" s="5" t="s">
        <v>200</v>
      </c>
      <c r="AG67" s="5" t="s">
        <v>202</v>
      </c>
      <c r="AH67" s="5" t="s">
        <v>200</v>
      </c>
      <c r="AI67" s="5" t="s">
        <v>487</v>
      </c>
      <c r="AJ67" s="5" t="s">
        <v>206</v>
      </c>
      <c r="AK67" s="5" t="s">
        <v>202</v>
      </c>
      <c r="AL67" s="5" t="s">
        <v>202</v>
      </c>
      <c r="AM67" s="5" t="s">
        <v>202</v>
      </c>
      <c r="AN67" s="5" t="s">
        <v>200</v>
      </c>
      <c r="AO67" s="5" t="s">
        <v>202</v>
      </c>
      <c r="AP67" s="5" t="s">
        <v>202</v>
      </c>
      <c r="AQ67" s="5" t="s">
        <v>488</v>
      </c>
      <c r="AR67" s="5" t="s">
        <v>206</v>
      </c>
      <c r="AS67" s="5" t="s">
        <v>202</v>
      </c>
      <c r="AT67" s="5" t="s">
        <v>202</v>
      </c>
      <c r="AU67" s="5" t="s">
        <v>202</v>
      </c>
      <c r="AV67" s="5" t="s">
        <v>203</v>
      </c>
      <c r="AW67" s="5" t="s">
        <v>203</v>
      </c>
      <c r="AX67" s="5" t="s">
        <v>200</v>
      </c>
      <c r="AY67" s="5" t="s">
        <v>198</v>
      </c>
      <c r="AZ67" s="5" t="s">
        <v>489</v>
      </c>
    </row>
    <row r="68">
      <c r="A68" s="7">
        <v>45868.26458333333</v>
      </c>
      <c r="B68" s="7">
        <v>45868.27222222222</v>
      </c>
      <c r="C68" s="5" t="s">
        <v>99</v>
      </c>
      <c r="D68" s="5" t="s">
        <v>490</v>
      </c>
      <c r="E68" s="8">
        <v>100.0</v>
      </c>
      <c r="F68" s="8">
        <v>616.0</v>
      </c>
      <c r="G68" s="9" t="b">
        <v>1</v>
      </c>
      <c r="H68" s="7">
        <v>45868.27222222222</v>
      </c>
      <c r="I68" s="5" t="s">
        <v>491</v>
      </c>
      <c r="K68" s="10"/>
      <c r="L68" s="10"/>
      <c r="M68" s="10"/>
      <c r="N68" s="8">
        <v>60.1816</v>
      </c>
      <c r="O68" s="8">
        <v>24.8368</v>
      </c>
      <c r="P68" s="5" t="s">
        <v>194</v>
      </c>
      <c r="Q68" s="5" t="s">
        <v>195</v>
      </c>
      <c r="R68" s="5" t="s">
        <v>428</v>
      </c>
      <c r="S68" s="5" t="s">
        <v>263</v>
      </c>
      <c r="T68" s="5" t="s">
        <v>208</v>
      </c>
      <c r="U68" s="5" t="s">
        <v>204</v>
      </c>
      <c r="V68" s="5" t="s">
        <v>199</v>
      </c>
      <c r="W68" s="5" t="s">
        <v>200</v>
      </c>
      <c r="X68" s="5" t="s">
        <v>203</v>
      </c>
      <c r="Y68" s="5" t="s">
        <v>208</v>
      </c>
      <c r="Z68" s="5" t="s">
        <v>208</v>
      </c>
      <c r="AA68" s="5" t="s">
        <v>202</v>
      </c>
      <c r="AB68" s="5" t="s">
        <v>200</v>
      </c>
      <c r="AC68" s="5" t="s">
        <v>202</v>
      </c>
      <c r="AD68" s="5" t="s">
        <v>202</v>
      </c>
      <c r="AE68" s="5" t="s">
        <v>208</v>
      </c>
      <c r="AF68" s="5" t="s">
        <v>202</v>
      </c>
      <c r="AG68" s="5" t="s">
        <v>200</v>
      </c>
      <c r="AH68" s="5" t="s">
        <v>200</v>
      </c>
      <c r="AI68" s="5" t="s">
        <v>492</v>
      </c>
      <c r="AJ68" s="5" t="s">
        <v>206</v>
      </c>
      <c r="AK68" s="5" t="s">
        <v>208</v>
      </c>
      <c r="AL68" s="5" t="s">
        <v>208</v>
      </c>
      <c r="AM68" s="5" t="s">
        <v>208</v>
      </c>
      <c r="AN68" s="5" t="s">
        <v>208</v>
      </c>
      <c r="AO68" s="5" t="s">
        <v>201</v>
      </c>
      <c r="AP68" s="5" t="s">
        <v>204</v>
      </c>
      <c r="AQ68" s="5" t="s">
        <v>493</v>
      </c>
      <c r="AR68" s="5" t="s">
        <v>206</v>
      </c>
      <c r="AS68" s="5" t="s">
        <v>202</v>
      </c>
      <c r="AT68" s="5" t="s">
        <v>208</v>
      </c>
      <c r="AU68" s="5" t="s">
        <v>198</v>
      </c>
      <c r="AV68" s="5" t="s">
        <v>201</v>
      </c>
      <c r="AW68" s="5" t="s">
        <v>201</v>
      </c>
      <c r="AX68" s="5" t="s">
        <v>201</v>
      </c>
      <c r="AY68" s="5" t="s">
        <v>202</v>
      </c>
      <c r="AZ68" s="5" t="s">
        <v>494</v>
      </c>
    </row>
    <row r="69">
      <c r="A69" s="7">
        <v>45868.27916666667</v>
      </c>
      <c r="B69" s="7">
        <v>45868.290972222225</v>
      </c>
      <c r="C69" s="5" t="s">
        <v>99</v>
      </c>
      <c r="D69" s="5" t="s">
        <v>192</v>
      </c>
      <c r="E69" s="8">
        <v>100.0</v>
      </c>
      <c r="F69" s="8">
        <v>1057.0</v>
      </c>
      <c r="G69" s="9" t="b">
        <v>1</v>
      </c>
      <c r="H69" s="7">
        <v>45868.290972222225</v>
      </c>
      <c r="I69" s="5" t="s">
        <v>495</v>
      </c>
      <c r="K69" s="10"/>
      <c r="L69" s="10"/>
      <c r="M69" s="10"/>
      <c r="N69" s="8">
        <v>60.1816</v>
      </c>
      <c r="O69" s="8">
        <v>24.8368</v>
      </c>
      <c r="P69" s="5" t="s">
        <v>194</v>
      </c>
      <c r="Q69" s="5" t="s">
        <v>195</v>
      </c>
      <c r="R69" s="5" t="s">
        <v>496</v>
      </c>
      <c r="S69" s="5" t="s">
        <v>263</v>
      </c>
      <c r="T69" s="5" t="s">
        <v>208</v>
      </c>
      <c r="U69" s="5" t="s">
        <v>198</v>
      </c>
      <c r="V69" s="5" t="s">
        <v>199</v>
      </c>
      <c r="W69" s="5" t="s">
        <v>200</v>
      </c>
      <c r="X69" s="5" t="s">
        <v>202</v>
      </c>
      <c r="Y69" s="5" t="s">
        <v>208</v>
      </c>
      <c r="Z69" s="5" t="s">
        <v>202</v>
      </c>
      <c r="AA69" s="5" t="s">
        <v>198</v>
      </c>
      <c r="AB69" s="5" t="s">
        <v>202</v>
      </c>
      <c r="AC69" s="5" t="s">
        <v>201</v>
      </c>
      <c r="AD69" s="5" t="s">
        <v>201</v>
      </c>
      <c r="AE69" s="5" t="s">
        <v>203</v>
      </c>
      <c r="AF69" s="5" t="s">
        <v>198</v>
      </c>
      <c r="AG69" s="5" t="s">
        <v>200</v>
      </c>
      <c r="AH69" s="5" t="s">
        <v>208</v>
      </c>
      <c r="AI69" s="11" t="s">
        <v>497</v>
      </c>
      <c r="AJ69" s="5" t="s">
        <v>206</v>
      </c>
      <c r="AK69" s="5" t="s">
        <v>198</v>
      </c>
      <c r="AL69" s="5" t="s">
        <v>202</v>
      </c>
      <c r="AM69" s="5" t="s">
        <v>200</v>
      </c>
      <c r="AN69" s="5" t="s">
        <v>203</v>
      </c>
      <c r="AO69" s="5" t="s">
        <v>208</v>
      </c>
      <c r="AP69" s="5" t="s">
        <v>203</v>
      </c>
      <c r="AQ69" s="11" t="s">
        <v>498</v>
      </c>
      <c r="AR69" s="5" t="s">
        <v>206</v>
      </c>
      <c r="AS69" s="5" t="s">
        <v>200</v>
      </c>
      <c r="AT69" s="5" t="s">
        <v>204</v>
      </c>
      <c r="AU69" s="5" t="s">
        <v>202</v>
      </c>
      <c r="AV69" s="5" t="s">
        <v>203</v>
      </c>
      <c r="AW69" s="5" t="s">
        <v>204</v>
      </c>
      <c r="AX69" s="5" t="s">
        <v>208</v>
      </c>
      <c r="AY69" s="5" t="s">
        <v>208</v>
      </c>
      <c r="AZ69" s="5" t="s">
        <v>499</v>
      </c>
    </row>
    <row r="70">
      <c r="A70" s="7">
        <v>45868.28194444445</v>
      </c>
      <c r="B70" s="7">
        <v>45868.294444444444</v>
      </c>
      <c r="C70" s="5" t="s">
        <v>99</v>
      </c>
      <c r="D70" s="5" t="s">
        <v>389</v>
      </c>
      <c r="E70" s="8">
        <v>100.0</v>
      </c>
      <c r="F70" s="8">
        <v>1105.0</v>
      </c>
      <c r="G70" s="9" t="b">
        <v>1</v>
      </c>
      <c r="H70" s="7">
        <v>45868.294444444444</v>
      </c>
      <c r="I70" s="5" t="s">
        <v>500</v>
      </c>
      <c r="K70" s="10"/>
      <c r="L70" s="10"/>
      <c r="M70" s="10"/>
      <c r="N70" s="8">
        <v>60.1816</v>
      </c>
      <c r="O70" s="8">
        <v>24.8368</v>
      </c>
      <c r="P70" s="5" t="s">
        <v>194</v>
      </c>
      <c r="Q70" s="5" t="s">
        <v>195</v>
      </c>
      <c r="R70" s="5" t="s">
        <v>501</v>
      </c>
      <c r="S70" s="5" t="s">
        <v>211</v>
      </c>
      <c r="T70" s="5" t="s">
        <v>200</v>
      </c>
      <c r="U70" s="5" t="s">
        <v>202</v>
      </c>
      <c r="V70" s="5" t="s">
        <v>199</v>
      </c>
      <c r="W70" s="5" t="s">
        <v>202</v>
      </c>
      <c r="X70" s="5" t="s">
        <v>202</v>
      </c>
      <c r="Y70" s="5" t="s">
        <v>203</v>
      </c>
      <c r="Z70" s="5" t="s">
        <v>200</v>
      </c>
      <c r="AA70" s="5" t="s">
        <v>202</v>
      </c>
      <c r="AB70" s="5" t="s">
        <v>202</v>
      </c>
      <c r="AC70" s="5" t="s">
        <v>202</v>
      </c>
      <c r="AD70" s="5" t="s">
        <v>202</v>
      </c>
      <c r="AE70" s="5" t="s">
        <v>202</v>
      </c>
      <c r="AF70" s="5" t="s">
        <v>203</v>
      </c>
      <c r="AG70" s="5" t="s">
        <v>202</v>
      </c>
      <c r="AH70" s="5" t="s">
        <v>204</v>
      </c>
      <c r="AI70" s="5" t="s">
        <v>502</v>
      </c>
      <c r="AJ70" s="5" t="s">
        <v>206</v>
      </c>
      <c r="AK70" s="5" t="s">
        <v>202</v>
      </c>
      <c r="AL70" s="5" t="s">
        <v>201</v>
      </c>
      <c r="AM70" s="5" t="s">
        <v>201</v>
      </c>
      <c r="AN70" s="5" t="s">
        <v>201</v>
      </c>
      <c r="AO70" s="5" t="s">
        <v>202</v>
      </c>
      <c r="AP70" s="5" t="s">
        <v>201</v>
      </c>
      <c r="AQ70" s="5" t="s">
        <v>503</v>
      </c>
      <c r="AR70" s="5" t="s">
        <v>206</v>
      </c>
      <c r="AS70" s="5" t="s">
        <v>201</v>
      </c>
      <c r="AT70" s="5" t="s">
        <v>202</v>
      </c>
      <c r="AU70" s="5" t="s">
        <v>201</v>
      </c>
      <c r="AV70" s="5" t="s">
        <v>204</v>
      </c>
      <c r="AW70" s="5" t="s">
        <v>204</v>
      </c>
      <c r="AX70" s="5" t="s">
        <v>204</v>
      </c>
      <c r="AY70" s="5" t="s">
        <v>204</v>
      </c>
      <c r="AZ70" s="5" t="s">
        <v>504</v>
      </c>
    </row>
    <row r="71">
      <c r="A71" s="7">
        <v>45868.30069444444</v>
      </c>
      <c r="B71" s="7">
        <v>45868.30763888889</v>
      </c>
      <c r="C71" s="5" t="s">
        <v>99</v>
      </c>
      <c r="D71" s="5" t="s">
        <v>389</v>
      </c>
      <c r="E71" s="8">
        <v>100.0</v>
      </c>
      <c r="F71" s="8">
        <v>553.0</v>
      </c>
      <c r="G71" s="9" t="b">
        <v>1</v>
      </c>
      <c r="H71" s="7">
        <v>45868.30763888889</v>
      </c>
      <c r="I71" s="5" t="s">
        <v>505</v>
      </c>
      <c r="K71" s="10"/>
      <c r="L71" s="10"/>
      <c r="M71" s="10"/>
      <c r="N71" s="8">
        <v>60.1816</v>
      </c>
      <c r="O71" s="8">
        <v>24.8368</v>
      </c>
      <c r="P71" s="5" t="s">
        <v>194</v>
      </c>
      <c r="Q71" s="5" t="s">
        <v>195</v>
      </c>
      <c r="R71" s="5" t="s">
        <v>496</v>
      </c>
      <c r="S71" s="5" t="s">
        <v>216</v>
      </c>
      <c r="T71" s="5" t="s">
        <v>203</v>
      </c>
      <c r="U71" s="5" t="s">
        <v>203</v>
      </c>
      <c r="V71" s="5" t="s">
        <v>199</v>
      </c>
      <c r="W71" s="5" t="s">
        <v>201</v>
      </c>
      <c r="X71" s="5" t="s">
        <v>201</v>
      </c>
      <c r="Y71" s="5" t="s">
        <v>200</v>
      </c>
      <c r="Z71" s="5" t="s">
        <v>198</v>
      </c>
      <c r="AA71" s="5" t="s">
        <v>200</v>
      </c>
      <c r="AB71" s="5" t="s">
        <v>201</v>
      </c>
      <c r="AC71" s="5" t="s">
        <v>201</v>
      </c>
      <c r="AD71" s="5" t="s">
        <v>201</v>
      </c>
      <c r="AE71" s="5" t="s">
        <v>203</v>
      </c>
      <c r="AF71" s="5" t="s">
        <v>208</v>
      </c>
      <c r="AG71" s="5" t="s">
        <v>201</v>
      </c>
      <c r="AH71" s="5" t="s">
        <v>204</v>
      </c>
      <c r="AI71" s="5" t="s">
        <v>506</v>
      </c>
      <c r="AJ71" s="5" t="s">
        <v>206</v>
      </c>
      <c r="AK71" s="5" t="s">
        <v>201</v>
      </c>
      <c r="AL71" s="5" t="s">
        <v>202</v>
      </c>
      <c r="AM71" s="5" t="s">
        <v>202</v>
      </c>
      <c r="AN71" s="5" t="s">
        <v>201</v>
      </c>
      <c r="AO71" s="5" t="s">
        <v>201</v>
      </c>
      <c r="AP71" s="5" t="s">
        <v>201</v>
      </c>
      <c r="AQ71" s="5" t="s">
        <v>507</v>
      </c>
      <c r="AR71" s="5" t="s">
        <v>206</v>
      </c>
      <c r="AS71" s="5" t="s">
        <v>201</v>
      </c>
      <c r="AT71" s="5" t="s">
        <v>201</v>
      </c>
      <c r="AU71" s="5" t="s">
        <v>201</v>
      </c>
      <c r="AV71" s="5" t="s">
        <v>204</v>
      </c>
      <c r="AW71" s="5" t="s">
        <v>204</v>
      </c>
      <c r="AX71" s="5" t="s">
        <v>204</v>
      </c>
      <c r="AY71" s="5" t="s">
        <v>204</v>
      </c>
      <c r="AZ71" s="5" t="s">
        <v>508</v>
      </c>
    </row>
    <row r="72">
      <c r="A72" s="7">
        <v>45868.30138888889</v>
      </c>
      <c r="B72" s="7">
        <v>45868.30972222222</v>
      </c>
      <c r="C72" s="5" t="s">
        <v>99</v>
      </c>
      <c r="D72" s="5" t="s">
        <v>192</v>
      </c>
      <c r="E72" s="8">
        <v>100.0</v>
      </c>
      <c r="F72" s="8">
        <v>729.0</v>
      </c>
      <c r="G72" s="9" t="b">
        <v>1</v>
      </c>
      <c r="H72" s="7">
        <v>45868.30972222222</v>
      </c>
      <c r="I72" s="5" t="s">
        <v>509</v>
      </c>
      <c r="K72" s="10"/>
      <c r="L72" s="10"/>
      <c r="M72" s="10"/>
      <c r="N72" s="8">
        <v>60.1816</v>
      </c>
      <c r="O72" s="8">
        <v>24.8368</v>
      </c>
      <c r="P72" s="5" t="s">
        <v>194</v>
      </c>
      <c r="Q72" s="5" t="s">
        <v>195</v>
      </c>
      <c r="R72" s="5" t="s">
        <v>501</v>
      </c>
      <c r="S72" s="5" t="s">
        <v>263</v>
      </c>
      <c r="T72" s="5" t="s">
        <v>202</v>
      </c>
      <c r="U72" s="5" t="s">
        <v>202</v>
      </c>
      <c r="V72" s="5" t="s">
        <v>199</v>
      </c>
      <c r="W72" s="5" t="s">
        <v>201</v>
      </c>
      <c r="X72" s="5" t="s">
        <v>201</v>
      </c>
      <c r="Y72" s="5" t="s">
        <v>202</v>
      </c>
      <c r="Z72" s="5" t="s">
        <v>202</v>
      </c>
      <c r="AA72" s="5" t="s">
        <v>201</v>
      </c>
      <c r="AB72" s="5" t="s">
        <v>201</v>
      </c>
      <c r="AC72" s="5" t="s">
        <v>201</v>
      </c>
      <c r="AD72" s="5" t="s">
        <v>201</v>
      </c>
      <c r="AE72" s="5" t="s">
        <v>202</v>
      </c>
      <c r="AF72" s="5" t="s">
        <v>202</v>
      </c>
      <c r="AG72" s="5" t="s">
        <v>202</v>
      </c>
      <c r="AH72" s="5" t="s">
        <v>203</v>
      </c>
      <c r="AI72" s="5" t="s">
        <v>510</v>
      </c>
      <c r="AJ72" s="5" t="s">
        <v>206</v>
      </c>
      <c r="AK72" s="5" t="s">
        <v>202</v>
      </c>
      <c r="AL72" s="5" t="s">
        <v>201</v>
      </c>
      <c r="AM72" s="5" t="s">
        <v>201</v>
      </c>
      <c r="AN72" s="5" t="s">
        <v>201</v>
      </c>
      <c r="AO72" s="5" t="s">
        <v>201</v>
      </c>
      <c r="AP72" s="5" t="s">
        <v>201</v>
      </c>
      <c r="AQ72" s="5" t="s">
        <v>511</v>
      </c>
      <c r="AR72" s="5" t="s">
        <v>206</v>
      </c>
      <c r="AS72" s="5" t="s">
        <v>201</v>
      </c>
      <c r="AT72" s="5" t="s">
        <v>202</v>
      </c>
      <c r="AU72" s="5" t="s">
        <v>201</v>
      </c>
      <c r="AV72" s="5" t="s">
        <v>204</v>
      </c>
      <c r="AW72" s="5" t="s">
        <v>204</v>
      </c>
      <c r="AX72" s="5" t="s">
        <v>208</v>
      </c>
      <c r="AY72" s="5" t="s">
        <v>204</v>
      </c>
      <c r="AZ72" s="5" t="s">
        <v>512</v>
      </c>
    </row>
    <row r="73">
      <c r="A73" s="7">
        <v>45868.31319444445</v>
      </c>
      <c r="B73" s="7">
        <v>45868.322222222225</v>
      </c>
      <c r="C73" s="5" t="s">
        <v>99</v>
      </c>
      <c r="D73" s="5" t="s">
        <v>389</v>
      </c>
      <c r="E73" s="8">
        <v>100.0</v>
      </c>
      <c r="F73" s="8">
        <v>806.0</v>
      </c>
      <c r="G73" s="9" t="b">
        <v>1</v>
      </c>
      <c r="H73" s="7">
        <v>45868.322222222225</v>
      </c>
      <c r="I73" s="5" t="s">
        <v>513</v>
      </c>
      <c r="K73" s="10"/>
      <c r="L73" s="10"/>
      <c r="M73" s="10"/>
      <c r="N73" s="8">
        <v>60.1816</v>
      </c>
      <c r="O73" s="8">
        <v>24.8368</v>
      </c>
      <c r="P73" s="5" t="s">
        <v>194</v>
      </c>
      <c r="Q73" s="5" t="s">
        <v>195</v>
      </c>
      <c r="R73" s="5" t="s">
        <v>496</v>
      </c>
      <c r="S73" s="5" t="s">
        <v>211</v>
      </c>
      <c r="T73" s="5" t="s">
        <v>203</v>
      </c>
      <c r="U73" s="5" t="s">
        <v>203</v>
      </c>
      <c r="V73" s="5" t="s">
        <v>199</v>
      </c>
      <c r="W73" s="5" t="s">
        <v>203</v>
      </c>
      <c r="X73" s="5" t="s">
        <v>201</v>
      </c>
      <c r="Y73" s="5" t="s">
        <v>198</v>
      </c>
      <c r="Z73" s="5" t="s">
        <v>203</v>
      </c>
      <c r="AA73" s="5" t="s">
        <v>201</v>
      </c>
      <c r="AB73" s="5" t="s">
        <v>201</v>
      </c>
      <c r="AC73" s="5" t="s">
        <v>201</v>
      </c>
      <c r="AD73" s="5" t="s">
        <v>201</v>
      </c>
      <c r="AE73" s="5" t="s">
        <v>208</v>
      </c>
      <c r="AF73" s="5" t="s">
        <v>204</v>
      </c>
      <c r="AG73" s="5" t="s">
        <v>201</v>
      </c>
      <c r="AH73" s="5" t="s">
        <v>204</v>
      </c>
      <c r="AI73" s="5" t="s">
        <v>514</v>
      </c>
      <c r="AJ73" s="5" t="s">
        <v>206</v>
      </c>
      <c r="AK73" s="5" t="s">
        <v>202</v>
      </c>
      <c r="AL73" s="5" t="s">
        <v>201</v>
      </c>
      <c r="AM73" s="5" t="s">
        <v>202</v>
      </c>
      <c r="AN73" s="5" t="s">
        <v>202</v>
      </c>
      <c r="AO73" s="5" t="s">
        <v>200</v>
      </c>
      <c r="AP73" s="5" t="s">
        <v>200</v>
      </c>
      <c r="AQ73" s="5" t="s">
        <v>515</v>
      </c>
      <c r="AR73" s="5" t="s">
        <v>206</v>
      </c>
      <c r="AS73" s="5" t="s">
        <v>201</v>
      </c>
      <c r="AT73" s="5" t="s">
        <v>201</v>
      </c>
      <c r="AU73" s="5" t="s">
        <v>201</v>
      </c>
      <c r="AV73" s="5" t="s">
        <v>204</v>
      </c>
      <c r="AW73" s="5" t="s">
        <v>204</v>
      </c>
      <c r="AX73" s="5" t="s">
        <v>204</v>
      </c>
      <c r="AY73" s="5" t="s">
        <v>204</v>
      </c>
      <c r="AZ73" s="5" t="s">
        <v>516</v>
      </c>
    </row>
    <row r="74">
      <c r="A74" s="7">
        <v>45868.31597222222</v>
      </c>
      <c r="B74" s="7">
        <v>45868.32361111111</v>
      </c>
      <c r="C74" s="5" t="s">
        <v>99</v>
      </c>
      <c r="D74" s="5" t="s">
        <v>192</v>
      </c>
      <c r="E74" s="8">
        <v>100.0</v>
      </c>
      <c r="F74" s="8">
        <v>612.0</v>
      </c>
      <c r="G74" s="9" t="b">
        <v>1</v>
      </c>
      <c r="H74" s="7">
        <v>45868.32361111111</v>
      </c>
      <c r="I74" s="5" t="s">
        <v>517</v>
      </c>
      <c r="K74" s="10"/>
      <c r="L74" s="10"/>
      <c r="M74" s="10"/>
      <c r="N74" s="8">
        <v>60.1816</v>
      </c>
      <c r="O74" s="8">
        <v>24.8368</v>
      </c>
      <c r="P74" s="5" t="s">
        <v>194</v>
      </c>
      <c r="Q74" s="5" t="s">
        <v>195</v>
      </c>
      <c r="R74" s="5" t="s">
        <v>501</v>
      </c>
      <c r="S74" s="5" t="s">
        <v>197</v>
      </c>
      <c r="T74" s="5" t="s">
        <v>202</v>
      </c>
      <c r="U74" s="5" t="s">
        <v>202</v>
      </c>
      <c r="V74" s="5" t="s">
        <v>199</v>
      </c>
      <c r="W74" s="5" t="s">
        <v>201</v>
      </c>
      <c r="X74" s="5" t="s">
        <v>201</v>
      </c>
      <c r="Y74" s="5" t="s">
        <v>201</v>
      </c>
      <c r="Z74" s="5" t="s">
        <v>202</v>
      </c>
      <c r="AA74" s="5" t="s">
        <v>201</v>
      </c>
      <c r="AB74" s="5" t="s">
        <v>201</v>
      </c>
      <c r="AC74" s="5" t="s">
        <v>201</v>
      </c>
      <c r="AD74" s="5" t="s">
        <v>201</v>
      </c>
      <c r="AE74" s="5" t="s">
        <v>202</v>
      </c>
      <c r="AF74" s="5" t="s">
        <v>202</v>
      </c>
      <c r="AG74" s="5" t="s">
        <v>201</v>
      </c>
      <c r="AH74" s="5" t="s">
        <v>208</v>
      </c>
      <c r="AI74" s="5" t="s">
        <v>518</v>
      </c>
      <c r="AJ74" s="5" t="s">
        <v>206</v>
      </c>
      <c r="AK74" s="5" t="s">
        <v>201</v>
      </c>
      <c r="AL74" s="5" t="s">
        <v>201</v>
      </c>
      <c r="AM74" s="5" t="s">
        <v>201</v>
      </c>
      <c r="AN74" s="5" t="s">
        <v>201</v>
      </c>
      <c r="AO74" s="5" t="s">
        <v>201</v>
      </c>
      <c r="AP74" s="5" t="s">
        <v>201</v>
      </c>
      <c r="AQ74" s="5" t="s">
        <v>519</v>
      </c>
      <c r="AR74" s="5" t="s">
        <v>206</v>
      </c>
      <c r="AS74" s="5" t="s">
        <v>201</v>
      </c>
      <c r="AT74" s="5" t="s">
        <v>202</v>
      </c>
      <c r="AU74" s="5" t="s">
        <v>201</v>
      </c>
      <c r="AV74" s="5" t="s">
        <v>204</v>
      </c>
      <c r="AW74" s="5" t="s">
        <v>204</v>
      </c>
      <c r="AX74" s="5" t="s">
        <v>204</v>
      </c>
      <c r="AY74" s="5" t="s">
        <v>204</v>
      </c>
      <c r="AZ74" s="5" t="s">
        <v>520</v>
      </c>
    </row>
    <row r="75">
      <c r="A75" s="7">
        <v>45868.32777777778</v>
      </c>
      <c r="B75" s="7">
        <v>45868.334027777775</v>
      </c>
      <c r="C75" s="5" t="s">
        <v>99</v>
      </c>
      <c r="D75" s="5" t="s">
        <v>192</v>
      </c>
      <c r="E75" s="8">
        <v>100.0</v>
      </c>
      <c r="F75" s="8">
        <v>561.0</v>
      </c>
      <c r="G75" s="9" t="b">
        <v>1</v>
      </c>
      <c r="H75" s="7">
        <v>45868.334027777775</v>
      </c>
      <c r="I75" s="5" t="s">
        <v>521</v>
      </c>
      <c r="K75" s="10"/>
      <c r="L75" s="10"/>
      <c r="M75" s="10"/>
      <c r="N75" s="8">
        <v>60.1816</v>
      </c>
      <c r="O75" s="8">
        <v>24.8368</v>
      </c>
      <c r="P75" s="5" t="s">
        <v>194</v>
      </c>
      <c r="Q75" s="5" t="s">
        <v>195</v>
      </c>
      <c r="R75" s="5" t="s">
        <v>496</v>
      </c>
      <c r="S75" s="5" t="s">
        <v>197</v>
      </c>
      <c r="T75" s="5" t="s">
        <v>208</v>
      </c>
      <c r="U75" s="5" t="s">
        <v>208</v>
      </c>
      <c r="V75" s="5" t="s">
        <v>199</v>
      </c>
      <c r="W75" s="5" t="s">
        <v>198</v>
      </c>
      <c r="X75" s="5" t="s">
        <v>203</v>
      </c>
      <c r="Y75" s="5" t="s">
        <v>208</v>
      </c>
      <c r="Z75" s="5" t="s">
        <v>203</v>
      </c>
      <c r="AA75" s="5" t="s">
        <v>202</v>
      </c>
      <c r="AB75" s="5" t="s">
        <v>203</v>
      </c>
      <c r="AC75" s="5" t="s">
        <v>202</v>
      </c>
      <c r="AD75" s="5" t="s">
        <v>208</v>
      </c>
      <c r="AE75" s="5" t="s">
        <v>202</v>
      </c>
      <c r="AF75" s="5" t="s">
        <v>204</v>
      </c>
      <c r="AG75" s="5" t="s">
        <v>203</v>
      </c>
      <c r="AH75" s="5" t="s">
        <v>204</v>
      </c>
      <c r="AI75" s="5" t="s">
        <v>522</v>
      </c>
      <c r="AJ75" s="5" t="s">
        <v>206</v>
      </c>
      <c r="AK75" s="5" t="s">
        <v>208</v>
      </c>
      <c r="AL75" s="5" t="s">
        <v>203</v>
      </c>
      <c r="AM75" s="5" t="s">
        <v>203</v>
      </c>
      <c r="AN75" s="5" t="s">
        <v>202</v>
      </c>
      <c r="AO75" s="5" t="s">
        <v>202</v>
      </c>
      <c r="AP75" s="5" t="s">
        <v>208</v>
      </c>
      <c r="AQ75" s="5" t="s">
        <v>523</v>
      </c>
      <c r="AR75" s="5" t="s">
        <v>206</v>
      </c>
      <c r="AS75" s="5" t="s">
        <v>204</v>
      </c>
      <c r="AT75" s="5" t="s">
        <v>204</v>
      </c>
      <c r="AU75" s="5" t="s">
        <v>200</v>
      </c>
      <c r="AV75" s="5" t="s">
        <v>201</v>
      </c>
      <c r="AW75" s="5" t="s">
        <v>200</v>
      </c>
      <c r="AX75" s="5" t="s">
        <v>201</v>
      </c>
      <c r="AY75" s="5" t="s">
        <v>201</v>
      </c>
      <c r="AZ75" s="5" t="s">
        <v>524</v>
      </c>
    </row>
    <row r="76">
      <c r="A76" s="7">
        <v>45868.325694444444</v>
      </c>
      <c r="B76" s="7">
        <v>45868.33611111111</v>
      </c>
      <c r="C76" s="5" t="s">
        <v>99</v>
      </c>
      <c r="D76" s="5" t="s">
        <v>389</v>
      </c>
      <c r="E76" s="8">
        <v>100.0</v>
      </c>
      <c r="F76" s="8">
        <v>862.0</v>
      </c>
      <c r="G76" s="9" t="b">
        <v>1</v>
      </c>
      <c r="H76" s="7">
        <v>45868.33611111111</v>
      </c>
      <c r="I76" s="5" t="s">
        <v>525</v>
      </c>
      <c r="K76" s="10"/>
      <c r="L76" s="10"/>
      <c r="M76" s="10"/>
      <c r="N76" s="8">
        <v>60.1816</v>
      </c>
      <c r="O76" s="8">
        <v>24.8368</v>
      </c>
      <c r="P76" s="5" t="s">
        <v>194</v>
      </c>
      <c r="Q76" s="5" t="s">
        <v>195</v>
      </c>
      <c r="R76" s="5" t="s">
        <v>501</v>
      </c>
      <c r="S76" s="5" t="s">
        <v>216</v>
      </c>
      <c r="T76" s="5" t="s">
        <v>200</v>
      </c>
      <c r="U76" s="5" t="s">
        <v>202</v>
      </c>
      <c r="V76" s="5" t="s">
        <v>199</v>
      </c>
      <c r="W76" s="5" t="s">
        <v>201</v>
      </c>
      <c r="X76" s="5" t="s">
        <v>202</v>
      </c>
      <c r="Y76" s="5" t="s">
        <v>202</v>
      </c>
      <c r="Z76" s="5" t="s">
        <v>200</v>
      </c>
      <c r="AA76" s="5" t="s">
        <v>201</v>
      </c>
      <c r="AB76" s="5" t="s">
        <v>201</v>
      </c>
      <c r="AC76" s="5" t="s">
        <v>201</v>
      </c>
      <c r="AD76" s="5" t="s">
        <v>201</v>
      </c>
      <c r="AE76" s="5" t="s">
        <v>202</v>
      </c>
      <c r="AF76" s="5" t="s">
        <v>202</v>
      </c>
      <c r="AG76" s="5" t="s">
        <v>201</v>
      </c>
      <c r="AH76" s="5" t="s">
        <v>208</v>
      </c>
      <c r="AI76" s="5" t="s">
        <v>526</v>
      </c>
      <c r="AJ76" s="5" t="s">
        <v>206</v>
      </c>
      <c r="AK76" s="5" t="s">
        <v>201</v>
      </c>
      <c r="AL76" s="5" t="s">
        <v>201</v>
      </c>
      <c r="AM76" s="5" t="s">
        <v>201</v>
      </c>
      <c r="AN76" s="5" t="s">
        <v>201</v>
      </c>
      <c r="AO76" s="5" t="s">
        <v>202</v>
      </c>
      <c r="AP76" s="5" t="s">
        <v>201</v>
      </c>
      <c r="AQ76" s="5" t="s">
        <v>527</v>
      </c>
      <c r="AR76" s="5" t="s">
        <v>206</v>
      </c>
      <c r="AS76" s="5" t="s">
        <v>201</v>
      </c>
      <c r="AT76" s="5" t="s">
        <v>202</v>
      </c>
      <c r="AU76" s="5" t="s">
        <v>201</v>
      </c>
      <c r="AV76" s="5" t="s">
        <v>204</v>
      </c>
      <c r="AW76" s="5" t="s">
        <v>204</v>
      </c>
      <c r="AX76" s="5" t="s">
        <v>204</v>
      </c>
      <c r="AY76" s="5" t="s">
        <v>204</v>
      </c>
      <c r="AZ76" s="5" t="s">
        <v>528</v>
      </c>
    </row>
    <row r="77">
      <c r="A77" s="7">
        <v>45869.010416666664</v>
      </c>
      <c r="B77" s="7">
        <v>45869.02222222222</v>
      </c>
      <c r="C77" s="5" t="s">
        <v>99</v>
      </c>
      <c r="D77" s="5" t="s">
        <v>529</v>
      </c>
      <c r="E77" s="8">
        <v>100.0</v>
      </c>
      <c r="F77" s="8">
        <v>1029.0</v>
      </c>
      <c r="G77" s="9" t="b">
        <v>1</v>
      </c>
      <c r="H77" s="7">
        <v>45869.02222222222</v>
      </c>
      <c r="I77" s="5" t="s">
        <v>530</v>
      </c>
      <c r="K77" s="10"/>
      <c r="L77" s="10"/>
      <c r="M77" s="10"/>
      <c r="N77" s="8">
        <v>60.1816</v>
      </c>
      <c r="O77" s="8">
        <v>24.8368</v>
      </c>
      <c r="P77" s="5" t="s">
        <v>194</v>
      </c>
      <c r="Q77" s="5" t="s">
        <v>195</v>
      </c>
      <c r="R77" s="5" t="s">
        <v>531</v>
      </c>
      <c r="S77" s="5" t="s">
        <v>216</v>
      </c>
      <c r="T77" s="5" t="s">
        <v>200</v>
      </c>
      <c r="U77" s="5" t="s">
        <v>198</v>
      </c>
      <c r="V77" s="5" t="s">
        <v>199</v>
      </c>
      <c r="W77" s="5" t="s">
        <v>208</v>
      </c>
      <c r="X77" s="5" t="s">
        <v>200</v>
      </c>
      <c r="Y77" s="5" t="s">
        <v>200</v>
      </c>
      <c r="Z77" s="5" t="s">
        <v>200</v>
      </c>
      <c r="AA77" s="5" t="s">
        <v>202</v>
      </c>
      <c r="AB77" s="5" t="s">
        <v>202</v>
      </c>
      <c r="AC77" s="5" t="s">
        <v>202</v>
      </c>
      <c r="AD77" s="5" t="s">
        <v>208</v>
      </c>
      <c r="AE77" s="5" t="s">
        <v>198</v>
      </c>
      <c r="AF77" s="5" t="s">
        <v>208</v>
      </c>
      <c r="AG77" s="5" t="s">
        <v>202</v>
      </c>
      <c r="AH77" s="5" t="s">
        <v>202</v>
      </c>
      <c r="AI77" s="5" t="s">
        <v>532</v>
      </c>
      <c r="AJ77" s="5" t="s">
        <v>206</v>
      </c>
      <c r="AK77" s="5" t="s">
        <v>202</v>
      </c>
      <c r="AL77" s="5" t="s">
        <v>200</v>
      </c>
      <c r="AM77" s="5" t="s">
        <v>200</v>
      </c>
      <c r="AN77" s="5" t="s">
        <v>200</v>
      </c>
      <c r="AO77" s="5" t="s">
        <v>202</v>
      </c>
      <c r="AP77" s="5" t="s">
        <v>208</v>
      </c>
      <c r="AQ77" s="5" t="s">
        <v>533</v>
      </c>
      <c r="AR77" s="5" t="s">
        <v>206</v>
      </c>
      <c r="AS77" s="5" t="s">
        <v>208</v>
      </c>
      <c r="AT77" s="5" t="s">
        <v>201</v>
      </c>
      <c r="AU77" s="5" t="s">
        <v>200</v>
      </c>
      <c r="AV77" s="5" t="s">
        <v>198</v>
      </c>
      <c r="AW77" s="5" t="s">
        <v>204</v>
      </c>
      <c r="AX77" s="5" t="s">
        <v>204</v>
      </c>
      <c r="AY77" s="5" t="s">
        <v>204</v>
      </c>
      <c r="AZ77" s="5" t="s">
        <v>534</v>
      </c>
    </row>
    <row r="78">
      <c r="A78" s="7">
        <v>45869.01527777778</v>
      </c>
      <c r="B78" s="7">
        <v>45869.02847222222</v>
      </c>
      <c r="C78" s="5" t="s">
        <v>99</v>
      </c>
      <c r="D78" s="5" t="s">
        <v>192</v>
      </c>
      <c r="E78" s="8">
        <v>100.0</v>
      </c>
      <c r="F78" s="8">
        <v>1118.0</v>
      </c>
      <c r="G78" s="9" t="b">
        <v>1</v>
      </c>
      <c r="H78" s="7">
        <v>45869.02847222222</v>
      </c>
      <c r="I78" s="5" t="s">
        <v>535</v>
      </c>
      <c r="K78" s="10"/>
      <c r="L78" s="10"/>
      <c r="M78" s="10"/>
      <c r="N78" s="8">
        <v>60.1816</v>
      </c>
      <c r="O78" s="8">
        <v>24.8368</v>
      </c>
      <c r="P78" s="5" t="s">
        <v>194</v>
      </c>
      <c r="Q78" s="5" t="s">
        <v>195</v>
      </c>
      <c r="R78" s="5" t="s">
        <v>536</v>
      </c>
      <c r="S78" s="5" t="s">
        <v>197</v>
      </c>
      <c r="T78" s="5" t="s">
        <v>200</v>
      </c>
      <c r="U78" s="5" t="s">
        <v>198</v>
      </c>
      <c r="V78" s="5" t="s">
        <v>199</v>
      </c>
      <c r="W78" s="5" t="s">
        <v>201</v>
      </c>
      <c r="X78" s="5" t="s">
        <v>201</v>
      </c>
      <c r="Y78" s="5" t="s">
        <v>200</v>
      </c>
      <c r="Z78" s="5" t="s">
        <v>200</v>
      </c>
      <c r="AA78" s="5" t="s">
        <v>202</v>
      </c>
      <c r="AB78" s="5" t="s">
        <v>202</v>
      </c>
      <c r="AC78" s="5" t="s">
        <v>201</v>
      </c>
      <c r="AD78" s="5" t="s">
        <v>201</v>
      </c>
      <c r="AE78" s="5" t="s">
        <v>202</v>
      </c>
      <c r="AF78" s="5" t="s">
        <v>208</v>
      </c>
      <c r="AG78" s="5" t="s">
        <v>201</v>
      </c>
      <c r="AH78" s="5" t="s">
        <v>202</v>
      </c>
      <c r="AI78" s="5" t="s">
        <v>537</v>
      </c>
      <c r="AJ78" s="5" t="s">
        <v>206</v>
      </c>
      <c r="AK78" s="5" t="s">
        <v>203</v>
      </c>
      <c r="AL78" s="5" t="s">
        <v>201</v>
      </c>
      <c r="AM78" s="5" t="s">
        <v>201</v>
      </c>
      <c r="AN78" s="5" t="s">
        <v>198</v>
      </c>
      <c r="AO78" s="5" t="s">
        <v>200</v>
      </c>
      <c r="AP78" s="5" t="s">
        <v>203</v>
      </c>
      <c r="AQ78" s="5" t="s">
        <v>538</v>
      </c>
      <c r="AS78" s="5" t="s">
        <v>201</v>
      </c>
      <c r="AT78" s="5" t="s">
        <v>201</v>
      </c>
      <c r="AU78" s="5" t="s">
        <v>201</v>
      </c>
      <c r="AV78" s="5" t="s">
        <v>204</v>
      </c>
      <c r="AW78" s="5" t="s">
        <v>204</v>
      </c>
      <c r="AX78" s="5" t="s">
        <v>204</v>
      </c>
      <c r="AY78" s="5" t="s">
        <v>204</v>
      </c>
      <c r="AZ78" s="11" t="s">
        <v>539</v>
      </c>
    </row>
    <row r="79">
      <c r="A79" s="7">
        <v>45869.03611111111</v>
      </c>
      <c r="B79" s="7">
        <v>45869.041666666664</v>
      </c>
      <c r="C79" s="5" t="s">
        <v>99</v>
      </c>
      <c r="D79" s="5" t="s">
        <v>192</v>
      </c>
      <c r="E79" s="8">
        <v>100.0</v>
      </c>
      <c r="F79" s="8">
        <v>497.0</v>
      </c>
      <c r="G79" s="9" t="b">
        <v>1</v>
      </c>
      <c r="H79" s="7">
        <v>45869.041666666664</v>
      </c>
      <c r="I79" s="5" t="s">
        <v>540</v>
      </c>
      <c r="K79" s="10"/>
      <c r="L79" s="10"/>
      <c r="M79" s="10"/>
      <c r="N79" s="8">
        <v>60.1816</v>
      </c>
      <c r="O79" s="8">
        <v>24.8368</v>
      </c>
      <c r="P79" s="5" t="s">
        <v>194</v>
      </c>
      <c r="Q79" s="5" t="s">
        <v>195</v>
      </c>
      <c r="R79" s="5" t="s">
        <v>531</v>
      </c>
      <c r="S79" s="5" t="s">
        <v>197</v>
      </c>
      <c r="T79" s="5" t="s">
        <v>202</v>
      </c>
      <c r="U79" s="5" t="s">
        <v>208</v>
      </c>
      <c r="V79" s="5" t="s">
        <v>199</v>
      </c>
      <c r="W79" s="5" t="s">
        <v>198</v>
      </c>
      <c r="X79" s="5" t="s">
        <v>200</v>
      </c>
      <c r="Y79" s="5" t="s">
        <v>202</v>
      </c>
      <c r="Z79" s="5" t="s">
        <v>198</v>
      </c>
      <c r="AA79" s="5" t="s">
        <v>200</v>
      </c>
      <c r="AB79" s="5" t="s">
        <v>202</v>
      </c>
      <c r="AC79" s="5" t="s">
        <v>200</v>
      </c>
      <c r="AD79" s="5" t="s">
        <v>208</v>
      </c>
      <c r="AE79" s="5" t="s">
        <v>208</v>
      </c>
      <c r="AF79" s="5" t="s">
        <v>208</v>
      </c>
      <c r="AG79" s="5" t="s">
        <v>200</v>
      </c>
      <c r="AH79" s="5" t="s">
        <v>200</v>
      </c>
      <c r="AI79" s="5" t="s">
        <v>541</v>
      </c>
      <c r="AJ79" s="5" t="s">
        <v>206</v>
      </c>
      <c r="AK79" s="5" t="s">
        <v>200</v>
      </c>
      <c r="AL79" s="5" t="s">
        <v>202</v>
      </c>
      <c r="AM79" s="5" t="s">
        <v>200</v>
      </c>
      <c r="AN79" s="5" t="s">
        <v>198</v>
      </c>
      <c r="AO79" s="5" t="s">
        <v>200</v>
      </c>
      <c r="AP79" s="5" t="s">
        <v>202</v>
      </c>
      <c r="AQ79" s="5" t="s">
        <v>542</v>
      </c>
      <c r="AS79" s="5" t="s">
        <v>200</v>
      </c>
      <c r="AT79" s="5" t="s">
        <v>208</v>
      </c>
      <c r="AU79" s="5" t="s">
        <v>202</v>
      </c>
      <c r="AV79" s="5" t="s">
        <v>208</v>
      </c>
      <c r="AW79" s="5" t="s">
        <v>208</v>
      </c>
      <c r="AX79" s="5" t="s">
        <v>200</v>
      </c>
      <c r="AY79" s="5" t="s">
        <v>200</v>
      </c>
      <c r="AZ79" s="5" t="s">
        <v>543</v>
      </c>
    </row>
    <row r="80">
      <c r="A80" s="7">
        <v>45869.029861111114</v>
      </c>
      <c r="B80" s="7">
        <v>45869.04722222222</v>
      </c>
      <c r="C80" s="5" t="s">
        <v>99</v>
      </c>
      <c r="D80" s="5" t="s">
        <v>389</v>
      </c>
      <c r="E80" s="8">
        <v>100.0</v>
      </c>
      <c r="F80" s="8">
        <v>1473.0</v>
      </c>
      <c r="G80" s="9" t="b">
        <v>1</v>
      </c>
      <c r="H80" s="7">
        <v>45869.04722222222</v>
      </c>
      <c r="I80" s="5" t="s">
        <v>544</v>
      </c>
      <c r="K80" s="10"/>
      <c r="L80" s="10"/>
      <c r="M80" s="10"/>
      <c r="N80" s="8">
        <v>60.1816</v>
      </c>
      <c r="O80" s="8">
        <v>24.8368</v>
      </c>
      <c r="P80" s="5" t="s">
        <v>194</v>
      </c>
      <c r="Q80" s="5" t="s">
        <v>195</v>
      </c>
      <c r="R80" s="5" t="s">
        <v>536</v>
      </c>
      <c r="S80" s="5" t="s">
        <v>211</v>
      </c>
      <c r="T80" s="5" t="s">
        <v>200</v>
      </c>
      <c r="U80" s="5" t="s">
        <v>200</v>
      </c>
      <c r="V80" s="5" t="s">
        <v>199</v>
      </c>
      <c r="W80" s="5" t="s">
        <v>201</v>
      </c>
      <c r="X80" s="5" t="s">
        <v>201</v>
      </c>
      <c r="Y80" s="5" t="s">
        <v>200</v>
      </c>
      <c r="Z80" s="5" t="s">
        <v>200</v>
      </c>
      <c r="AA80" s="5" t="s">
        <v>202</v>
      </c>
      <c r="AB80" s="5" t="s">
        <v>202</v>
      </c>
      <c r="AC80" s="5" t="s">
        <v>201</v>
      </c>
      <c r="AD80" s="5" t="s">
        <v>201</v>
      </c>
      <c r="AE80" s="5" t="s">
        <v>202</v>
      </c>
      <c r="AF80" s="5" t="s">
        <v>208</v>
      </c>
      <c r="AG80" s="5" t="s">
        <v>202</v>
      </c>
      <c r="AH80" s="5" t="s">
        <v>203</v>
      </c>
      <c r="AI80" s="5" t="s">
        <v>545</v>
      </c>
      <c r="AJ80" s="5" t="s">
        <v>206</v>
      </c>
      <c r="AK80" s="5" t="s">
        <v>203</v>
      </c>
      <c r="AL80" s="5" t="s">
        <v>198</v>
      </c>
      <c r="AM80" s="5" t="s">
        <v>202</v>
      </c>
      <c r="AN80" s="5" t="s">
        <v>202</v>
      </c>
      <c r="AO80" s="5" t="s">
        <v>200</v>
      </c>
      <c r="AP80" s="5" t="s">
        <v>203</v>
      </c>
      <c r="AQ80" s="5" t="s">
        <v>546</v>
      </c>
      <c r="AR80" s="5" t="s">
        <v>206</v>
      </c>
      <c r="AS80" s="5" t="s">
        <v>202</v>
      </c>
      <c r="AT80" s="5" t="s">
        <v>201</v>
      </c>
      <c r="AU80" s="5" t="s">
        <v>201</v>
      </c>
      <c r="AV80" s="5" t="s">
        <v>204</v>
      </c>
      <c r="AW80" s="5" t="s">
        <v>204</v>
      </c>
      <c r="AX80" s="5" t="s">
        <v>204</v>
      </c>
      <c r="AY80" s="5" t="s">
        <v>204</v>
      </c>
      <c r="AZ80" s="5" t="s">
        <v>547</v>
      </c>
    </row>
    <row r="81">
      <c r="A81" s="7">
        <v>45869.04652777778</v>
      </c>
      <c r="B81" s="7">
        <v>45869.052777777775</v>
      </c>
      <c r="C81" s="5" t="s">
        <v>99</v>
      </c>
      <c r="D81" s="5" t="s">
        <v>383</v>
      </c>
      <c r="E81" s="8">
        <v>100.0</v>
      </c>
      <c r="F81" s="8">
        <v>554.0</v>
      </c>
      <c r="G81" s="9" t="b">
        <v>1</v>
      </c>
      <c r="H81" s="7">
        <v>45869.052777777775</v>
      </c>
      <c r="I81" s="5" t="s">
        <v>548</v>
      </c>
      <c r="K81" s="10"/>
      <c r="L81" s="10"/>
      <c r="M81" s="10"/>
      <c r="N81" s="8">
        <v>60.1816</v>
      </c>
      <c r="O81" s="8">
        <v>24.8368</v>
      </c>
      <c r="P81" s="5" t="s">
        <v>194</v>
      </c>
      <c r="Q81" s="5" t="s">
        <v>195</v>
      </c>
      <c r="R81" s="5" t="s">
        <v>531</v>
      </c>
      <c r="S81" s="5" t="s">
        <v>263</v>
      </c>
      <c r="T81" s="5" t="s">
        <v>200</v>
      </c>
      <c r="U81" s="5" t="s">
        <v>208</v>
      </c>
      <c r="V81" s="5" t="s">
        <v>199</v>
      </c>
      <c r="W81" s="5" t="s">
        <v>203</v>
      </c>
      <c r="X81" s="5" t="s">
        <v>198</v>
      </c>
      <c r="Y81" s="5" t="s">
        <v>203</v>
      </c>
      <c r="Z81" s="5" t="s">
        <v>198</v>
      </c>
      <c r="AA81" s="5" t="s">
        <v>200</v>
      </c>
      <c r="AB81" s="5" t="s">
        <v>200</v>
      </c>
      <c r="AC81" s="5" t="s">
        <v>202</v>
      </c>
      <c r="AD81" s="5" t="s">
        <v>198</v>
      </c>
      <c r="AE81" s="5" t="s">
        <v>198</v>
      </c>
      <c r="AF81" s="5" t="s">
        <v>203</v>
      </c>
      <c r="AG81" s="5" t="s">
        <v>200</v>
      </c>
      <c r="AH81" s="5" t="s">
        <v>200</v>
      </c>
      <c r="AI81" s="5" t="s">
        <v>549</v>
      </c>
      <c r="AJ81" s="5" t="s">
        <v>206</v>
      </c>
      <c r="AK81" s="5" t="s">
        <v>198</v>
      </c>
      <c r="AL81" s="5" t="s">
        <v>200</v>
      </c>
      <c r="AM81" s="5" t="s">
        <v>198</v>
      </c>
      <c r="AN81" s="5" t="s">
        <v>198</v>
      </c>
      <c r="AO81" s="5" t="s">
        <v>198</v>
      </c>
      <c r="AP81" s="5" t="s">
        <v>198</v>
      </c>
      <c r="AQ81" s="5" t="s">
        <v>550</v>
      </c>
      <c r="AS81" s="5" t="s">
        <v>200</v>
      </c>
      <c r="AT81" s="5" t="s">
        <v>208</v>
      </c>
      <c r="AU81" s="5" t="s">
        <v>198</v>
      </c>
      <c r="AV81" s="5" t="s">
        <v>208</v>
      </c>
      <c r="AW81" s="5" t="s">
        <v>198</v>
      </c>
      <c r="AX81" s="5" t="s">
        <v>200</v>
      </c>
      <c r="AY81" s="5" t="s">
        <v>198</v>
      </c>
      <c r="AZ81" s="5" t="s">
        <v>551</v>
      </c>
    </row>
    <row r="82">
      <c r="A82" s="7">
        <v>45869.05347222222</v>
      </c>
      <c r="B82" s="7">
        <v>45869.0625</v>
      </c>
      <c r="C82" s="5" t="s">
        <v>99</v>
      </c>
      <c r="D82" s="5" t="s">
        <v>383</v>
      </c>
      <c r="E82" s="8">
        <v>100.0</v>
      </c>
      <c r="F82" s="8">
        <v>794.0</v>
      </c>
      <c r="G82" s="9" t="b">
        <v>1</v>
      </c>
      <c r="H82" s="7">
        <v>45869.0625</v>
      </c>
      <c r="I82" s="5" t="s">
        <v>552</v>
      </c>
      <c r="K82" s="10"/>
      <c r="L82" s="10"/>
      <c r="M82" s="10"/>
      <c r="N82" s="8">
        <v>60.1816</v>
      </c>
      <c r="O82" s="8">
        <v>24.8368</v>
      </c>
      <c r="P82" s="5" t="s">
        <v>194</v>
      </c>
      <c r="Q82" s="5" t="s">
        <v>195</v>
      </c>
      <c r="R82" s="5" t="s">
        <v>244</v>
      </c>
      <c r="S82" s="5" t="s">
        <v>197</v>
      </c>
      <c r="T82" s="5" t="s">
        <v>200</v>
      </c>
      <c r="U82" s="5" t="s">
        <v>208</v>
      </c>
      <c r="V82" s="5" t="s">
        <v>199</v>
      </c>
      <c r="W82" s="5" t="s">
        <v>202</v>
      </c>
      <c r="X82" s="5" t="s">
        <v>204</v>
      </c>
      <c r="Y82" s="5" t="s">
        <v>201</v>
      </c>
      <c r="Z82" s="5" t="s">
        <v>204</v>
      </c>
      <c r="AA82" s="5" t="s">
        <v>208</v>
      </c>
      <c r="AB82" s="5" t="s">
        <v>200</v>
      </c>
      <c r="AC82" s="5" t="s">
        <v>200</v>
      </c>
      <c r="AD82" s="5" t="s">
        <v>208</v>
      </c>
      <c r="AE82" s="5" t="s">
        <v>204</v>
      </c>
      <c r="AF82" s="5" t="s">
        <v>200</v>
      </c>
      <c r="AG82" s="5" t="s">
        <v>203</v>
      </c>
      <c r="AH82" s="5" t="s">
        <v>201</v>
      </c>
      <c r="AI82" s="5" t="s">
        <v>553</v>
      </c>
      <c r="AJ82" s="5" t="s">
        <v>206</v>
      </c>
      <c r="AK82" s="5" t="s">
        <v>202</v>
      </c>
      <c r="AL82" s="5" t="s">
        <v>202</v>
      </c>
      <c r="AM82" s="5" t="s">
        <v>201</v>
      </c>
      <c r="AN82" s="5" t="s">
        <v>201</v>
      </c>
      <c r="AO82" s="5" t="s">
        <v>200</v>
      </c>
      <c r="AP82" s="5" t="s">
        <v>202</v>
      </c>
      <c r="AQ82" s="5" t="s">
        <v>554</v>
      </c>
      <c r="AR82" s="5" t="s">
        <v>206</v>
      </c>
      <c r="AS82" s="5" t="s">
        <v>201</v>
      </c>
      <c r="AT82" s="5" t="s">
        <v>202</v>
      </c>
      <c r="AU82" s="5" t="s">
        <v>201</v>
      </c>
      <c r="AV82" s="5" t="s">
        <v>204</v>
      </c>
      <c r="AW82" s="5" t="s">
        <v>204</v>
      </c>
      <c r="AX82" s="5" t="s">
        <v>200</v>
      </c>
      <c r="AY82" s="5" t="s">
        <v>204</v>
      </c>
      <c r="AZ82" s="5" t="s">
        <v>555</v>
      </c>
    </row>
    <row r="83">
      <c r="A83" s="7">
        <v>45869.05694444444</v>
      </c>
      <c r="B83" s="7">
        <v>45869.06458333333</v>
      </c>
      <c r="C83" s="5" t="s">
        <v>99</v>
      </c>
      <c r="D83" s="5" t="s">
        <v>389</v>
      </c>
      <c r="E83" s="8">
        <v>100.0</v>
      </c>
      <c r="F83" s="8">
        <v>680.0</v>
      </c>
      <c r="G83" s="9" t="b">
        <v>1</v>
      </c>
      <c r="H83" s="7">
        <v>45869.06458333333</v>
      </c>
      <c r="I83" s="5" t="s">
        <v>556</v>
      </c>
      <c r="K83" s="10"/>
      <c r="L83" s="10"/>
      <c r="M83" s="10"/>
      <c r="N83" s="8">
        <v>60.1816</v>
      </c>
      <c r="O83" s="8">
        <v>24.8368</v>
      </c>
      <c r="P83" s="5" t="s">
        <v>194</v>
      </c>
      <c r="Q83" s="5" t="s">
        <v>195</v>
      </c>
      <c r="R83" s="5" t="s">
        <v>531</v>
      </c>
      <c r="S83" s="5" t="s">
        <v>211</v>
      </c>
      <c r="T83" s="5" t="s">
        <v>198</v>
      </c>
      <c r="U83" s="5" t="s">
        <v>198</v>
      </c>
      <c r="V83" s="5" t="s">
        <v>199</v>
      </c>
      <c r="W83" s="5" t="s">
        <v>198</v>
      </c>
      <c r="X83" s="5" t="s">
        <v>200</v>
      </c>
      <c r="Y83" s="5" t="s">
        <v>200</v>
      </c>
      <c r="Z83" s="5" t="s">
        <v>198</v>
      </c>
      <c r="AA83" s="5" t="s">
        <v>200</v>
      </c>
      <c r="AB83" s="5" t="s">
        <v>202</v>
      </c>
      <c r="AC83" s="5" t="s">
        <v>200</v>
      </c>
      <c r="AD83" s="5" t="s">
        <v>202</v>
      </c>
      <c r="AE83" s="5" t="s">
        <v>208</v>
      </c>
      <c r="AF83" s="5" t="s">
        <v>200</v>
      </c>
      <c r="AG83" s="5" t="s">
        <v>202</v>
      </c>
      <c r="AH83" s="5" t="s">
        <v>200</v>
      </c>
      <c r="AI83" s="5" t="s">
        <v>557</v>
      </c>
      <c r="AJ83" s="5" t="s">
        <v>206</v>
      </c>
      <c r="AK83" s="5" t="s">
        <v>203</v>
      </c>
      <c r="AL83" s="5" t="s">
        <v>200</v>
      </c>
      <c r="AM83" s="5" t="s">
        <v>200</v>
      </c>
      <c r="AN83" s="5" t="s">
        <v>202</v>
      </c>
      <c r="AO83" s="5" t="s">
        <v>200</v>
      </c>
      <c r="AP83" s="5" t="s">
        <v>200</v>
      </c>
      <c r="AQ83" s="5" t="s">
        <v>558</v>
      </c>
      <c r="AR83" s="5" t="s">
        <v>206</v>
      </c>
      <c r="AS83" s="5" t="s">
        <v>198</v>
      </c>
      <c r="AT83" s="5" t="s">
        <v>200</v>
      </c>
      <c r="AU83" s="5" t="s">
        <v>200</v>
      </c>
      <c r="AV83" s="5" t="s">
        <v>204</v>
      </c>
      <c r="AW83" s="5" t="s">
        <v>204</v>
      </c>
      <c r="AX83" s="5" t="s">
        <v>208</v>
      </c>
      <c r="AY83" s="5" t="s">
        <v>204</v>
      </c>
      <c r="AZ83" s="5" t="s">
        <v>559</v>
      </c>
    </row>
    <row r="84">
      <c r="A84" s="7">
        <v>45869.05625</v>
      </c>
      <c r="B84" s="7">
        <v>45869.06805555556</v>
      </c>
      <c r="C84" s="5" t="s">
        <v>99</v>
      </c>
      <c r="D84" s="5" t="s">
        <v>192</v>
      </c>
      <c r="E84" s="8">
        <v>100.0</v>
      </c>
      <c r="F84" s="8">
        <v>1077.0</v>
      </c>
      <c r="G84" s="9" t="b">
        <v>1</v>
      </c>
      <c r="H84" s="7">
        <v>45869.06875</v>
      </c>
      <c r="I84" s="5" t="s">
        <v>560</v>
      </c>
      <c r="K84" s="10"/>
      <c r="L84" s="10"/>
      <c r="M84" s="10"/>
      <c r="N84" s="8">
        <v>60.1816</v>
      </c>
      <c r="O84" s="8">
        <v>24.8368</v>
      </c>
      <c r="P84" s="5" t="s">
        <v>194</v>
      </c>
      <c r="Q84" s="5" t="s">
        <v>195</v>
      </c>
      <c r="R84" s="5" t="s">
        <v>536</v>
      </c>
      <c r="S84" s="5" t="s">
        <v>216</v>
      </c>
      <c r="T84" s="5" t="s">
        <v>200</v>
      </c>
      <c r="U84" s="5" t="s">
        <v>200</v>
      </c>
      <c r="V84" s="5" t="s">
        <v>199</v>
      </c>
      <c r="W84" s="5" t="s">
        <v>201</v>
      </c>
      <c r="X84" s="5" t="s">
        <v>201</v>
      </c>
      <c r="Y84" s="5" t="s">
        <v>200</v>
      </c>
      <c r="Z84" s="5" t="s">
        <v>200</v>
      </c>
      <c r="AA84" s="5" t="s">
        <v>202</v>
      </c>
      <c r="AB84" s="5" t="s">
        <v>202</v>
      </c>
      <c r="AC84" s="5" t="s">
        <v>201</v>
      </c>
      <c r="AD84" s="5" t="s">
        <v>201</v>
      </c>
      <c r="AE84" s="5" t="s">
        <v>200</v>
      </c>
      <c r="AF84" s="5" t="s">
        <v>198</v>
      </c>
      <c r="AG84" s="5" t="s">
        <v>202</v>
      </c>
      <c r="AH84" s="5" t="s">
        <v>198</v>
      </c>
      <c r="AI84" s="5" t="s">
        <v>561</v>
      </c>
      <c r="AJ84" s="5" t="s">
        <v>206</v>
      </c>
      <c r="AK84" s="5" t="s">
        <v>202</v>
      </c>
      <c r="AL84" s="5" t="s">
        <v>201</v>
      </c>
      <c r="AM84" s="5" t="s">
        <v>201</v>
      </c>
      <c r="AN84" s="5" t="s">
        <v>201</v>
      </c>
      <c r="AO84" s="5" t="s">
        <v>200</v>
      </c>
      <c r="AP84" s="5" t="s">
        <v>203</v>
      </c>
      <c r="AQ84" s="5" t="s">
        <v>562</v>
      </c>
      <c r="AR84" s="5" t="s">
        <v>206</v>
      </c>
      <c r="AS84" s="5" t="s">
        <v>202</v>
      </c>
      <c r="AT84" s="5" t="s">
        <v>201</v>
      </c>
      <c r="AU84" s="5" t="s">
        <v>201</v>
      </c>
      <c r="AV84" s="5" t="s">
        <v>204</v>
      </c>
      <c r="AW84" s="5" t="s">
        <v>204</v>
      </c>
      <c r="AX84" s="5" t="s">
        <v>204</v>
      </c>
      <c r="AY84" s="5" t="s">
        <v>204</v>
      </c>
      <c r="AZ84" s="5" t="s">
        <v>563</v>
      </c>
    </row>
    <row r="85">
      <c r="A85" s="7">
        <v>45869.066666666666</v>
      </c>
      <c r="B85" s="7">
        <v>45869.07986111111</v>
      </c>
      <c r="C85" s="5" t="s">
        <v>99</v>
      </c>
      <c r="D85" s="5" t="s">
        <v>389</v>
      </c>
      <c r="E85" s="8">
        <v>100.0</v>
      </c>
      <c r="F85" s="8">
        <v>1145.0</v>
      </c>
      <c r="G85" s="9" t="b">
        <v>1</v>
      </c>
      <c r="H85" s="7">
        <v>45869.07986111111</v>
      </c>
      <c r="I85" s="5" t="s">
        <v>564</v>
      </c>
      <c r="K85" s="10"/>
      <c r="L85" s="10"/>
      <c r="M85" s="10"/>
      <c r="N85" s="8">
        <v>60.1816</v>
      </c>
      <c r="O85" s="8">
        <v>24.8368</v>
      </c>
      <c r="P85" s="5" t="s">
        <v>194</v>
      </c>
      <c r="Q85" s="5" t="s">
        <v>195</v>
      </c>
      <c r="R85" s="5" t="s">
        <v>244</v>
      </c>
      <c r="S85" s="5" t="s">
        <v>211</v>
      </c>
      <c r="T85" s="5" t="s">
        <v>203</v>
      </c>
      <c r="U85" s="5" t="s">
        <v>208</v>
      </c>
      <c r="V85" s="5" t="s">
        <v>199</v>
      </c>
      <c r="W85" s="5" t="s">
        <v>202</v>
      </c>
      <c r="X85" s="5" t="s">
        <v>208</v>
      </c>
      <c r="Y85" s="5" t="s">
        <v>208</v>
      </c>
      <c r="Z85" s="5" t="s">
        <v>208</v>
      </c>
      <c r="AA85" s="5" t="s">
        <v>204</v>
      </c>
      <c r="AB85" s="5" t="s">
        <v>208</v>
      </c>
      <c r="AC85" s="5" t="s">
        <v>208</v>
      </c>
      <c r="AD85" s="5" t="s">
        <v>198</v>
      </c>
      <c r="AE85" s="5" t="s">
        <v>204</v>
      </c>
      <c r="AF85" s="5" t="s">
        <v>208</v>
      </c>
      <c r="AG85" s="5" t="s">
        <v>208</v>
      </c>
      <c r="AH85" s="5" t="s">
        <v>201</v>
      </c>
      <c r="AI85" s="5" t="s">
        <v>565</v>
      </c>
      <c r="AJ85" s="5" t="s">
        <v>206</v>
      </c>
      <c r="AK85" s="5" t="s">
        <v>200</v>
      </c>
      <c r="AL85" s="5" t="s">
        <v>208</v>
      </c>
      <c r="AM85" s="5" t="s">
        <v>208</v>
      </c>
      <c r="AN85" s="5" t="s">
        <v>208</v>
      </c>
      <c r="AO85" s="5" t="s">
        <v>208</v>
      </c>
      <c r="AP85" s="5" t="s">
        <v>203</v>
      </c>
      <c r="AQ85" s="5" t="s">
        <v>566</v>
      </c>
      <c r="AR85" s="5" t="s">
        <v>206</v>
      </c>
      <c r="AS85" s="5" t="s">
        <v>202</v>
      </c>
      <c r="AT85" s="5" t="s">
        <v>202</v>
      </c>
      <c r="AU85" s="5" t="s">
        <v>204</v>
      </c>
      <c r="AV85" s="5" t="s">
        <v>204</v>
      </c>
      <c r="AW85" s="5" t="s">
        <v>204</v>
      </c>
      <c r="AX85" s="5" t="s">
        <v>204</v>
      </c>
      <c r="AY85" s="5" t="s">
        <v>204</v>
      </c>
      <c r="AZ85" s="5" t="s">
        <v>567</v>
      </c>
    </row>
    <row r="86">
      <c r="A86" s="7">
        <v>45869.072916666664</v>
      </c>
      <c r="B86" s="7">
        <v>45869.08611111111</v>
      </c>
      <c r="C86" s="5" t="s">
        <v>99</v>
      </c>
      <c r="D86" s="5" t="s">
        <v>192</v>
      </c>
      <c r="E86" s="8">
        <v>100.0</v>
      </c>
      <c r="F86" s="8">
        <v>1139.0</v>
      </c>
      <c r="G86" s="9" t="b">
        <v>1</v>
      </c>
      <c r="H86" s="7">
        <v>45869.08611111111</v>
      </c>
      <c r="I86" s="5" t="s">
        <v>568</v>
      </c>
      <c r="K86" s="10"/>
      <c r="L86" s="10"/>
      <c r="M86" s="10"/>
      <c r="N86" s="8">
        <v>60.1816</v>
      </c>
      <c r="O86" s="8">
        <v>24.8368</v>
      </c>
      <c r="P86" s="5" t="s">
        <v>194</v>
      </c>
      <c r="Q86" s="5" t="s">
        <v>195</v>
      </c>
      <c r="R86" s="5" t="s">
        <v>536</v>
      </c>
      <c r="S86" s="5" t="s">
        <v>263</v>
      </c>
      <c r="T86" s="5" t="s">
        <v>202</v>
      </c>
      <c r="U86" s="5" t="s">
        <v>198</v>
      </c>
      <c r="V86" s="5" t="s">
        <v>199</v>
      </c>
      <c r="W86" s="5" t="s">
        <v>201</v>
      </c>
      <c r="X86" s="5" t="s">
        <v>201</v>
      </c>
      <c r="Y86" s="5" t="s">
        <v>202</v>
      </c>
      <c r="Z86" s="5" t="s">
        <v>200</v>
      </c>
      <c r="AA86" s="5" t="s">
        <v>202</v>
      </c>
      <c r="AB86" s="5" t="s">
        <v>200</v>
      </c>
      <c r="AC86" s="5" t="s">
        <v>200</v>
      </c>
      <c r="AD86" s="5" t="s">
        <v>201</v>
      </c>
      <c r="AE86" s="5" t="s">
        <v>200</v>
      </c>
      <c r="AF86" s="5" t="s">
        <v>198</v>
      </c>
      <c r="AG86" s="5" t="s">
        <v>200</v>
      </c>
      <c r="AH86" s="5" t="s">
        <v>203</v>
      </c>
      <c r="AI86" s="5" t="s">
        <v>569</v>
      </c>
      <c r="AJ86" s="5" t="s">
        <v>206</v>
      </c>
      <c r="AK86" s="5" t="s">
        <v>202</v>
      </c>
      <c r="AL86" s="5" t="s">
        <v>202</v>
      </c>
      <c r="AM86" s="5" t="s">
        <v>201</v>
      </c>
      <c r="AN86" s="5" t="s">
        <v>201</v>
      </c>
      <c r="AO86" s="5" t="s">
        <v>202</v>
      </c>
      <c r="AP86" s="5" t="s">
        <v>203</v>
      </c>
      <c r="AQ86" s="5" t="s">
        <v>570</v>
      </c>
      <c r="AR86" s="5" t="s">
        <v>206</v>
      </c>
      <c r="AS86" s="5" t="s">
        <v>201</v>
      </c>
      <c r="AT86" s="5" t="s">
        <v>201</v>
      </c>
      <c r="AU86" s="5" t="s">
        <v>201</v>
      </c>
      <c r="AV86" s="5" t="s">
        <v>204</v>
      </c>
      <c r="AW86" s="5" t="s">
        <v>204</v>
      </c>
      <c r="AX86" s="5" t="s">
        <v>204</v>
      </c>
      <c r="AY86" s="5" t="s">
        <v>204</v>
      </c>
      <c r="AZ86" s="5" t="s">
        <v>571</v>
      </c>
    </row>
    <row r="87">
      <c r="A87" s="7">
        <v>45869.080555555556</v>
      </c>
      <c r="B87" s="7">
        <v>45869.092361111114</v>
      </c>
      <c r="C87" s="5" t="s">
        <v>99</v>
      </c>
      <c r="D87" s="5" t="s">
        <v>389</v>
      </c>
      <c r="E87" s="8">
        <v>100.0</v>
      </c>
      <c r="F87" s="8">
        <v>1024.0</v>
      </c>
      <c r="G87" s="9" t="b">
        <v>1</v>
      </c>
      <c r="H87" s="7">
        <v>45869.092361111114</v>
      </c>
      <c r="I87" s="5" t="s">
        <v>572</v>
      </c>
      <c r="K87" s="10"/>
      <c r="L87" s="10"/>
      <c r="M87" s="10"/>
      <c r="N87" s="8">
        <v>60.1816</v>
      </c>
      <c r="O87" s="8">
        <v>24.8368</v>
      </c>
      <c r="P87" s="5" t="s">
        <v>194</v>
      </c>
      <c r="Q87" s="5" t="s">
        <v>195</v>
      </c>
      <c r="R87" s="5" t="s">
        <v>573</v>
      </c>
      <c r="S87" s="5" t="s">
        <v>211</v>
      </c>
      <c r="T87" s="5" t="s">
        <v>202</v>
      </c>
      <c r="U87" s="5" t="s">
        <v>200</v>
      </c>
      <c r="V87" s="5" t="s">
        <v>199</v>
      </c>
      <c r="W87" s="5" t="s">
        <v>203</v>
      </c>
      <c r="X87" s="5" t="s">
        <v>201</v>
      </c>
      <c r="Y87" s="5" t="s">
        <v>202</v>
      </c>
      <c r="Z87" s="5" t="s">
        <v>202</v>
      </c>
      <c r="AA87" s="5" t="s">
        <v>201</v>
      </c>
      <c r="AB87" s="5" t="s">
        <v>201</v>
      </c>
      <c r="AC87" s="5" t="s">
        <v>200</v>
      </c>
      <c r="AD87" s="5" t="s">
        <v>202</v>
      </c>
      <c r="AE87" s="5" t="s">
        <v>203</v>
      </c>
      <c r="AF87" s="5" t="s">
        <v>198</v>
      </c>
      <c r="AG87" s="5" t="s">
        <v>201</v>
      </c>
      <c r="AH87" s="5" t="s">
        <v>200</v>
      </c>
      <c r="AI87" s="5" t="s">
        <v>574</v>
      </c>
      <c r="AJ87" s="5" t="s">
        <v>206</v>
      </c>
      <c r="AK87" s="5" t="s">
        <v>198</v>
      </c>
      <c r="AL87" s="5" t="s">
        <v>201</v>
      </c>
      <c r="AM87" s="5" t="s">
        <v>201</v>
      </c>
      <c r="AN87" s="5" t="s">
        <v>198</v>
      </c>
      <c r="AO87" s="5" t="s">
        <v>202</v>
      </c>
      <c r="AP87" s="5" t="s">
        <v>201</v>
      </c>
      <c r="AQ87" s="5" t="s">
        <v>575</v>
      </c>
      <c r="AR87" s="5" t="s">
        <v>206</v>
      </c>
      <c r="AS87" s="5" t="s">
        <v>200</v>
      </c>
      <c r="AT87" s="5" t="s">
        <v>200</v>
      </c>
      <c r="AU87" s="5" t="s">
        <v>201</v>
      </c>
      <c r="AV87" s="5" t="s">
        <v>204</v>
      </c>
      <c r="AW87" s="5" t="s">
        <v>204</v>
      </c>
      <c r="AX87" s="5" t="s">
        <v>204</v>
      </c>
      <c r="AY87" s="5" t="s">
        <v>204</v>
      </c>
      <c r="AZ87" s="5" t="s">
        <v>576</v>
      </c>
    </row>
    <row r="88">
      <c r="A88" s="7">
        <v>45869.09722222222</v>
      </c>
      <c r="B88" s="7">
        <v>45869.10486111111</v>
      </c>
      <c r="C88" s="5" t="s">
        <v>99</v>
      </c>
      <c r="D88" s="5" t="s">
        <v>192</v>
      </c>
      <c r="E88" s="8">
        <v>100.0</v>
      </c>
      <c r="F88" s="8">
        <v>646.0</v>
      </c>
      <c r="G88" s="9" t="b">
        <v>1</v>
      </c>
      <c r="H88" s="7">
        <v>45869.10486111111</v>
      </c>
      <c r="I88" s="5" t="s">
        <v>577</v>
      </c>
      <c r="K88" s="10"/>
      <c r="L88" s="10"/>
      <c r="M88" s="10"/>
      <c r="N88" s="8">
        <v>60.1816</v>
      </c>
      <c r="O88" s="8">
        <v>24.8368</v>
      </c>
      <c r="P88" s="5" t="s">
        <v>194</v>
      </c>
      <c r="Q88" s="5" t="s">
        <v>195</v>
      </c>
      <c r="R88" s="5" t="s">
        <v>573</v>
      </c>
      <c r="S88" s="5" t="s">
        <v>263</v>
      </c>
      <c r="T88" s="5" t="s">
        <v>201</v>
      </c>
      <c r="U88" s="5" t="s">
        <v>202</v>
      </c>
      <c r="V88" s="5" t="s">
        <v>199</v>
      </c>
      <c r="W88" s="5" t="s">
        <v>202</v>
      </c>
      <c r="X88" s="5" t="s">
        <v>201</v>
      </c>
      <c r="Y88" s="5" t="s">
        <v>201</v>
      </c>
      <c r="Z88" s="5" t="s">
        <v>198</v>
      </c>
      <c r="AA88" s="5" t="s">
        <v>201</v>
      </c>
      <c r="AB88" s="5" t="s">
        <v>201</v>
      </c>
      <c r="AC88" s="5" t="s">
        <v>201</v>
      </c>
      <c r="AD88" s="5" t="s">
        <v>202</v>
      </c>
      <c r="AE88" s="5" t="s">
        <v>202</v>
      </c>
      <c r="AF88" s="5" t="s">
        <v>202</v>
      </c>
      <c r="AG88" s="5" t="s">
        <v>201</v>
      </c>
      <c r="AH88" s="5" t="s">
        <v>198</v>
      </c>
      <c r="AI88" s="5" t="s">
        <v>578</v>
      </c>
      <c r="AJ88" s="5" t="s">
        <v>206</v>
      </c>
      <c r="AK88" s="5" t="s">
        <v>200</v>
      </c>
      <c r="AL88" s="5" t="s">
        <v>201</v>
      </c>
      <c r="AM88" s="5" t="s">
        <v>201</v>
      </c>
      <c r="AN88" s="5" t="s">
        <v>201</v>
      </c>
      <c r="AO88" s="5" t="s">
        <v>201</v>
      </c>
      <c r="AP88" s="5" t="s">
        <v>201</v>
      </c>
      <c r="AQ88" s="5" t="s">
        <v>579</v>
      </c>
      <c r="AR88" s="5" t="s">
        <v>206</v>
      </c>
      <c r="AS88" s="5" t="s">
        <v>201</v>
      </c>
      <c r="AT88" s="5" t="s">
        <v>198</v>
      </c>
      <c r="AU88" s="5" t="s">
        <v>201</v>
      </c>
      <c r="AV88" s="5" t="s">
        <v>200</v>
      </c>
      <c r="AW88" s="5" t="s">
        <v>202</v>
      </c>
      <c r="AX88" s="5" t="s">
        <v>204</v>
      </c>
      <c r="AY88" s="5" t="s">
        <v>204</v>
      </c>
      <c r="AZ88" s="5" t="s">
        <v>580</v>
      </c>
    </row>
    <row r="89">
      <c r="A89" s="7">
        <v>45869.092361111114</v>
      </c>
      <c r="B89" s="7">
        <v>45869.10902777778</v>
      </c>
      <c r="C89" s="5" t="s">
        <v>99</v>
      </c>
      <c r="D89" s="5" t="s">
        <v>389</v>
      </c>
      <c r="E89" s="8">
        <v>100.0</v>
      </c>
      <c r="F89" s="8">
        <v>1424.0</v>
      </c>
      <c r="G89" s="9" t="b">
        <v>1</v>
      </c>
      <c r="H89" s="7">
        <v>45869.10902777778</v>
      </c>
      <c r="I89" s="5" t="s">
        <v>581</v>
      </c>
      <c r="K89" s="10"/>
      <c r="L89" s="10"/>
      <c r="M89" s="10"/>
      <c r="N89" s="8">
        <v>60.1816</v>
      </c>
      <c r="O89" s="8">
        <v>24.8368</v>
      </c>
      <c r="P89" s="5" t="s">
        <v>194</v>
      </c>
      <c r="Q89" s="5" t="s">
        <v>195</v>
      </c>
      <c r="R89" s="5" t="s">
        <v>582</v>
      </c>
      <c r="S89" s="5" t="s">
        <v>197</v>
      </c>
      <c r="T89" s="5" t="s">
        <v>202</v>
      </c>
      <c r="U89" s="5" t="s">
        <v>202</v>
      </c>
      <c r="V89" s="5" t="s">
        <v>199</v>
      </c>
      <c r="W89" s="5" t="s">
        <v>201</v>
      </c>
      <c r="X89" s="5" t="s">
        <v>201</v>
      </c>
      <c r="Y89" s="5" t="s">
        <v>200</v>
      </c>
      <c r="Z89" s="5" t="s">
        <v>202</v>
      </c>
      <c r="AA89" s="5" t="s">
        <v>201</v>
      </c>
      <c r="AB89" s="5" t="s">
        <v>202</v>
      </c>
      <c r="AC89" s="5" t="s">
        <v>202</v>
      </c>
      <c r="AD89" s="5" t="s">
        <v>201</v>
      </c>
      <c r="AE89" s="5" t="s">
        <v>202</v>
      </c>
      <c r="AF89" s="5" t="s">
        <v>200</v>
      </c>
      <c r="AG89" s="5" t="s">
        <v>201</v>
      </c>
      <c r="AH89" s="5" t="s">
        <v>202</v>
      </c>
      <c r="AI89" s="5" t="s">
        <v>583</v>
      </c>
      <c r="AJ89" s="5" t="s">
        <v>206</v>
      </c>
      <c r="AK89" s="5" t="s">
        <v>202</v>
      </c>
      <c r="AL89" s="5" t="s">
        <v>202</v>
      </c>
      <c r="AM89" s="5" t="s">
        <v>201</v>
      </c>
      <c r="AN89" s="5" t="s">
        <v>202</v>
      </c>
      <c r="AO89" s="5" t="s">
        <v>201</v>
      </c>
      <c r="AP89" s="5" t="s">
        <v>201</v>
      </c>
      <c r="AQ89" s="11" t="s">
        <v>584</v>
      </c>
      <c r="AR89" s="5" t="s">
        <v>206</v>
      </c>
      <c r="AS89" s="5" t="s">
        <v>202</v>
      </c>
      <c r="AT89" s="5" t="s">
        <v>202</v>
      </c>
      <c r="AU89" s="5" t="s">
        <v>201</v>
      </c>
      <c r="AV89" s="5" t="s">
        <v>204</v>
      </c>
      <c r="AW89" s="5" t="s">
        <v>204</v>
      </c>
      <c r="AX89" s="5" t="s">
        <v>204</v>
      </c>
      <c r="AY89" s="5" t="s">
        <v>204</v>
      </c>
      <c r="AZ89" s="5" t="s">
        <v>585</v>
      </c>
    </row>
    <row r="90">
      <c r="A90" s="7">
        <v>45869.10902777778</v>
      </c>
      <c r="B90" s="7">
        <v>45869.114583333336</v>
      </c>
      <c r="C90" s="5" t="s">
        <v>99</v>
      </c>
      <c r="D90" s="5" t="s">
        <v>192</v>
      </c>
      <c r="E90" s="8">
        <v>100.0</v>
      </c>
      <c r="F90" s="8">
        <v>484.0</v>
      </c>
      <c r="G90" s="9" t="b">
        <v>1</v>
      </c>
      <c r="H90" s="7">
        <v>45869.114583333336</v>
      </c>
      <c r="I90" s="5" t="s">
        <v>586</v>
      </c>
      <c r="K90" s="10"/>
      <c r="L90" s="10"/>
      <c r="M90" s="10"/>
      <c r="N90" s="8">
        <v>60.1816</v>
      </c>
      <c r="O90" s="8">
        <v>24.8368</v>
      </c>
      <c r="P90" s="5" t="s">
        <v>194</v>
      </c>
      <c r="Q90" s="5" t="s">
        <v>195</v>
      </c>
      <c r="R90" s="5" t="s">
        <v>573</v>
      </c>
      <c r="S90" s="5" t="s">
        <v>197</v>
      </c>
      <c r="T90" s="5" t="s">
        <v>201</v>
      </c>
      <c r="U90" s="5" t="s">
        <v>202</v>
      </c>
      <c r="V90" s="5" t="s">
        <v>199</v>
      </c>
      <c r="W90" s="5" t="s">
        <v>202</v>
      </c>
      <c r="X90" s="5" t="s">
        <v>201</v>
      </c>
      <c r="Y90" s="5" t="s">
        <v>201</v>
      </c>
      <c r="Z90" s="5" t="s">
        <v>202</v>
      </c>
      <c r="AA90" s="5" t="s">
        <v>201</v>
      </c>
      <c r="AB90" s="5" t="s">
        <v>201</v>
      </c>
      <c r="AC90" s="5" t="s">
        <v>201</v>
      </c>
      <c r="AD90" s="5" t="s">
        <v>201</v>
      </c>
      <c r="AE90" s="5" t="s">
        <v>198</v>
      </c>
      <c r="AF90" s="5" t="s">
        <v>198</v>
      </c>
      <c r="AG90" s="5" t="s">
        <v>201</v>
      </c>
      <c r="AH90" s="5" t="s">
        <v>198</v>
      </c>
      <c r="AI90" s="5" t="s">
        <v>587</v>
      </c>
      <c r="AJ90" s="5" t="s">
        <v>206</v>
      </c>
      <c r="AK90" s="5" t="s">
        <v>202</v>
      </c>
      <c r="AL90" s="5" t="s">
        <v>201</v>
      </c>
      <c r="AM90" s="5" t="s">
        <v>201</v>
      </c>
      <c r="AN90" s="5" t="s">
        <v>201</v>
      </c>
      <c r="AO90" s="5" t="s">
        <v>201</v>
      </c>
      <c r="AP90" s="5" t="s">
        <v>201</v>
      </c>
      <c r="AQ90" s="5" t="s">
        <v>588</v>
      </c>
      <c r="AR90" s="5" t="s">
        <v>206</v>
      </c>
      <c r="AS90" s="5" t="s">
        <v>201</v>
      </c>
      <c r="AT90" s="5" t="s">
        <v>201</v>
      </c>
      <c r="AU90" s="5" t="s">
        <v>201</v>
      </c>
      <c r="AV90" s="5" t="s">
        <v>201</v>
      </c>
      <c r="AW90" s="5" t="s">
        <v>201</v>
      </c>
      <c r="AX90" s="5" t="s">
        <v>200</v>
      </c>
      <c r="AY90" s="5" t="s">
        <v>208</v>
      </c>
      <c r="AZ90" s="5" t="s">
        <v>589</v>
      </c>
    </row>
    <row r="91">
      <c r="A91" s="7">
        <v>45869.11666666667</v>
      </c>
      <c r="B91" s="7">
        <v>45869.12569444445</v>
      </c>
      <c r="C91" s="5" t="s">
        <v>99</v>
      </c>
      <c r="D91" s="5" t="s">
        <v>389</v>
      </c>
      <c r="E91" s="8">
        <v>100.0</v>
      </c>
      <c r="F91" s="8">
        <v>768.0</v>
      </c>
      <c r="G91" s="9" t="b">
        <v>1</v>
      </c>
      <c r="H91" s="7">
        <v>45869.12569444445</v>
      </c>
      <c r="I91" s="5" t="s">
        <v>590</v>
      </c>
      <c r="K91" s="10"/>
      <c r="L91" s="10"/>
      <c r="M91" s="10"/>
      <c r="N91" s="8">
        <v>60.1816</v>
      </c>
      <c r="O91" s="8">
        <v>24.8368</v>
      </c>
      <c r="P91" s="5" t="s">
        <v>194</v>
      </c>
      <c r="Q91" s="5" t="s">
        <v>195</v>
      </c>
      <c r="R91" s="5" t="s">
        <v>573</v>
      </c>
      <c r="S91" s="5" t="s">
        <v>216</v>
      </c>
      <c r="T91" s="5" t="s">
        <v>201</v>
      </c>
      <c r="U91" s="5" t="s">
        <v>200</v>
      </c>
      <c r="V91" s="5" t="s">
        <v>199</v>
      </c>
      <c r="W91" s="5" t="s">
        <v>200</v>
      </c>
      <c r="X91" s="5" t="s">
        <v>201</v>
      </c>
      <c r="Y91" s="5" t="s">
        <v>202</v>
      </c>
      <c r="Z91" s="5" t="s">
        <v>203</v>
      </c>
      <c r="AA91" s="5" t="s">
        <v>200</v>
      </c>
      <c r="AB91" s="5" t="s">
        <v>200</v>
      </c>
      <c r="AC91" s="5" t="s">
        <v>203</v>
      </c>
      <c r="AD91" s="5" t="s">
        <v>200</v>
      </c>
      <c r="AE91" s="5" t="s">
        <v>200</v>
      </c>
      <c r="AF91" s="5" t="s">
        <v>200</v>
      </c>
      <c r="AG91" s="5" t="s">
        <v>200</v>
      </c>
      <c r="AH91" s="5" t="s">
        <v>200</v>
      </c>
      <c r="AI91" s="5" t="s">
        <v>591</v>
      </c>
      <c r="AJ91" s="5" t="s">
        <v>206</v>
      </c>
      <c r="AK91" s="5" t="s">
        <v>202</v>
      </c>
      <c r="AL91" s="5" t="s">
        <v>201</v>
      </c>
      <c r="AM91" s="5" t="s">
        <v>201</v>
      </c>
      <c r="AN91" s="5" t="s">
        <v>200</v>
      </c>
      <c r="AO91" s="5" t="s">
        <v>202</v>
      </c>
      <c r="AP91" s="5" t="s">
        <v>201</v>
      </c>
      <c r="AQ91" s="5" t="s">
        <v>592</v>
      </c>
      <c r="AR91" s="5" t="s">
        <v>206</v>
      </c>
      <c r="AS91" s="5" t="s">
        <v>201</v>
      </c>
      <c r="AT91" s="5" t="s">
        <v>200</v>
      </c>
      <c r="AU91" s="5" t="s">
        <v>201</v>
      </c>
      <c r="AV91" s="5" t="s">
        <v>204</v>
      </c>
      <c r="AW91" s="5" t="s">
        <v>204</v>
      </c>
      <c r="AX91" s="5" t="s">
        <v>204</v>
      </c>
      <c r="AY91" s="5" t="s">
        <v>204</v>
      </c>
      <c r="AZ91" s="5" t="s">
        <v>593</v>
      </c>
    </row>
    <row r="92">
      <c r="A92" s="7">
        <v>45869.15902777778</v>
      </c>
      <c r="B92" s="7">
        <v>45869.165972222225</v>
      </c>
      <c r="C92" s="5" t="s">
        <v>99</v>
      </c>
      <c r="D92" s="5" t="s">
        <v>383</v>
      </c>
      <c r="E92" s="8">
        <v>100.0</v>
      </c>
      <c r="F92" s="8">
        <v>644.0</v>
      </c>
      <c r="G92" s="9" t="b">
        <v>1</v>
      </c>
      <c r="H92" s="7">
        <v>45869.165972222225</v>
      </c>
      <c r="I92" s="5" t="s">
        <v>594</v>
      </c>
      <c r="K92" s="10"/>
      <c r="L92" s="10"/>
      <c r="M92" s="10"/>
      <c r="N92" s="8">
        <v>60.1816</v>
      </c>
      <c r="O92" s="8">
        <v>24.8368</v>
      </c>
      <c r="P92" s="5" t="s">
        <v>194</v>
      </c>
      <c r="Q92" s="5" t="s">
        <v>195</v>
      </c>
      <c r="R92" s="5" t="s">
        <v>595</v>
      </c>
      <c r="S92" s="5" t="s">
        <v>216</v>
      </c>
      <c r="T92" s="5" t="s">
        <v>202</v>
      </c>
      <c r="U92" s="5" t="s">
        <v>200</v>
      </c>
      <c r="V92" s="5" t="s">
        <v>199</v>
      </c>
      <c r="W92" s="5" t="s">
        <v>202</v>
      </c>
      <c r="X92" s="5" t="s">
        <v>203</v>
      </c>
      <c r="Y92" s="5" t="s">
        <v>202</v>
      </c>
      <c r="Z92" s="5" t="s">
        <v>200</v>
      </c>
      <c r="AA92" s="5" t="s">
        <v>200</v>
      </c>
      <c r="AB92" s="5" t="s">
        <v>203</v>
      </c>
      <c r="AC92" s="5" t="s">
        <v>200</v>
      </c>
      <c r="AD92" s="5" t="s">
        <v>200</v>
      </c>
      <c r="AE92" s="5" t="s">
        <v>200</v>
      </c>
      <c r="AF92" s="5" t="s">
        <v>198</v>
      </c>
      <c r="AG92" s="5" t="s">
        <v>200</v>
      </c>
      <c r="AH92" s="5" t="s">
        <v>203</v>
      </c>
      <c r="AI92" s="5" t="s">
        <v>413</v>
      </c>
      <c r="AJ92" s="5" t="s">
        <v>206</v>
      </c>
      <c r="AK92" s="5" t="s">
        <v>200</v>
      </c>
      <c r="AL92" s="5" t="s">
        <v>198</v>
      </c>
      <c r="AM92" s="5" t="s">
        <v>203</v>
      </c>
      <c r="AN92" s="5" t="s">
        <v>198</v>
      </c>
      <c r="AO92" s="5" t="s">
        <v>198</v>
      </c>
      <c r="AP92" s="5" t="s">
        <v>198</v>
      </c>
      <c r="AQ92" s="5" t="s">
        <v>413</v>
      </c>
      <c r="AR92" s="5" t="s">
        <v>206</v>
      </c>
      <c r="AS92" s="5" t="s">
        <v>200</v>
      </c>
      <c r="AT92" s="5" t="s">
        <v>202</v>
      </c>
      <c r="AU92" s="5" t="s">
        <v>200</v>
      </c>
      <c r="AV92" s="5" t="s">
        <v>198</v>
      </c>
      <c r="AW92" s="5" t="s">
        <v>198</v>
      </c>
      <c r="AX92" s="5" t="s">
        <v>198</v>
      </c>
      <c r="AY92" s="5" t="s">
        <v>198</v>
      </c>
      <c r="AZ92" s="5" t="s">
        <v>413</v>
      </c>
    </row>
    <row r="93">
      <c r="A93" s="7">
        <v>45869.16388888889</v>
      </c>
      <c r="B93" s="7">
        <v>45869.17638888889</v>
      </c>
      <c r="C93" s="5" t="s">
        <v>99</v>
      </c>
      <c r="D93" s="5" t="s">
        <v>389</v>
      </c>
      <c r="E93" s="8">
        <v>100.0</v>
      </c>
      <c r="F93" s="8">
        <v>1117.0</v>
      </c>
      <c r="G93" s="9" t="b">
        <v>1</v>
      </c>
      <c r="H93" s="7">
        <v>45869.17638888889</v>
      </c>
      <c r="I93" s="5" t="s">
        <v>596</v>
      </c>
      <c r="K93" s="10"/>
      <c r="L93" s="10"/>
      <c r="M93" s="10"/>
      <c r="N93" s="8">
        <v>60.1816</v>
      </c>
      <c r="O93" s="8">
        <v>24.8368</v>
      </c>
      <c r="P93" s="5" t="s">
        <v>194</v>
      </c>
      <c r="Q93" s="5" t="s">
        <v>195</v>
      </c>
      <c r="R93" s="5" t="s">
        <v>582</v>
      </c>
      <c r="S93" s="5" t="s">
        <v>211</v>
      </c>
      <c r="T93" s="5" t="s">
        <v>202</v>
      </c>
      <c r="U93" s="5" t="s">
        <v>200</v>
      </c>
      <c r="V93" s="5" t="s">
        <v>199</v>
      </c>
      <c r="W93" s="5" t="s">
        <v>201</v>
      </c>
      <c r="X93" s="5" t="s">
        <v>201</v>
      </c>
      <c r="Y93" s="5" t="s">
        <v>200</v>
      </c>
      <c r="Z93" s="5" t="s">
        <v>200</v>
      </c>
      <c r="AA93" s="5" t="s">
        <v>202</v>
      </c>
      <c r="AB93" s="5" t="s">
        <v>202</v>
      </c>
      <c r="AC93" s="5" t="s">
        <v>202</v>
      </c>
      <c r="AD93" s="5" t="s">
        <v>201</v>
      </c>
      <c r="AE93" s="5" t="s">
        <v>200</v>
      </c>
      <c r="AF93" s="5" t="s">
        <v>203</v>
      </c>
      <c r="AG93" s="5" t="s">
        <v>202</v>
      </c>
      <c r="AH93" s="5" t="s">
        <v>203</v>
      </c>
      <c r="AI93" s="5" t="s">
        <v>597</v>
      </c>
      <c r="AJ93" s="5" t="s">
        <v>206</v>
      </c>
      <c r="AK93" s="5" t="s">
        <v>202</v>
      </c>
      <c r="AL93" s="5" t="s">
        <v>201</v>
      </c>
      <c r="AM93" s="5" t="s">
        <v>201</v>
      </c>
      <c r="AN93" s="5" t="s">
        <v>201</v>
      </c>
      <c r="AO93" s="5" t="s">
        <v>201</v>
      </c>
      <c r="AP93" s="5" t="s">
        <v>201</v>
      </c>
      <c r="AQ93" s="5" t="s">
        <v>598</v>
      </c>
      <c r="AR93" s="5" t="s">
        <v>206</v>
      </c>
      <c r="AS93" s="5" t="s">
        <v>202</v>
      </c>
      <c r="AT93" s="5" t="s">
        <v>202</v>
      </c>
      <c r="AU93" s="5" t="s">
        <v>201</v>
      </c>
      <c r="AV93" s="5" t="s">
        <v>204</v>
      </c>
      <c r="AW93" s="5" t="s">
        <v>204</v>
      </c>
      <c r="AX93" s="5" t="s">
        <v>204</v>
      </c>
      <c r="AY93" s="5" t="s">
        <v>204</v>
      </c>
      <c r="AZ93" s="5" t="s">
        <v>599</v>
      </c>
    </row>
    <row r="94">
      <c r="A94" s="7">
        <v>45869.177083333336</v>
      </c>
      <c r="B94" s="7">
        <v>45869.18194444444</v>
      </c>
      <c r="C94" s="5" t="s">
        <v>99</v>
      </c>
      <c r="D94" s="5" t="s">
        <v>347</v>
      </c>
      <c r="E94" s="8">
        <v>100.0</v>
      </c>
      <c r="F94" s="8">
        <v>447.0</v>
      </c>
      <c r="G94" s="9" t="b">
        <v>1</v>
      </c>
      <c r="H94" s="7">
        <v>45869.18194444444</v>
      </c>
      <c r="I94" s="5" t="s">
        <v>600</v>
      </c>
      <c r="K94" s="10"/>
      <c r="L94" s="10"/>
      <c r="M94" s="10"/>
      <c r="N94" s="8">
        <v>60.2141</v>
      </c>
      <c r="O94" s="8">
        <v>24.896</v>
      </c>
      <c r="P94" s="5" t="s">
        <v>194</v>
      </c>
      <c r="Q94" s="5" t="s">
        <v>195</v>
      </c>
      <c r="R94" s="5" t="s">
        <v>595</v>
      </c>
      <c r="S94" s="5" t="s">
        <v>263</v>
      </c>
      <c r="T94" s="5" t="s">
        <v>202</v>
      </c>
      <c r="U94" s="5" t="s">
        <v>200</v>
      </c>
      <c r="V94" s="5" t="s">
        <v>199</v>
      </c>
      <c r="W94" s="5" t="s">
        <v>202</v>
      </c>
      <c r="X94" s="5" t="s">
        <v>200</v>
      </c>
      <c r="Y94" s="5" t="s">
        <v>202</v>
      </c>
      <c r="Z94" s="5" t="s">
        <v>202</v>
      </c>
      <c r="AA94" s="5" t="s">
        <v>202</v>
      </c>
      <c r="AB94" s="5" t="s">
        <v>202</v>
      </c>
      <c r="AC94" s="5" t="s">
        <v>202</v>
      </c>
      <c r="AD94" s="5" t="s">
        <v>202</v>
      </c>
      <c r="AE94" s="5" t="s">
        <v>202</v>
      </c>
      <c r="AF94" s="5" t="s">
        <v>198</v>
      </c>
      <c r="AG94" s="5" t="s">
        <v>202</v>
      </c>
      <c r="AH94" s="5" t="s">
        <v>200</v>
      </c>
      <c r="AI94" s="5" t="s">
        <v>413</v>
      </c>
      <c r="AJ94" s="5" t="s">
        <v>206</v>
      </c>
      <c r="AK94" s="5" t="s">
        <v>202</v>
      </c>
      <c r="AL94" s="5" t="s">
        <v>202</v>
      </c>
      <c r="AM94" s="5" t="s">
        <v>202</v>
      </c>
      <c r="AN94" s="5" t="s">
        <v>202</v>
      </c>
      <c r="AO94" s="5" t="s">
        <v>202</v>
      </c>
      <c r="AP94" s="5" t="s">
        <v>200</v>
      </c>
      <c r="AQ94" s="5" t="s">
        <v>413</v>
      </c>
      <c r="AR94" s="5" t="s">
        <v>206</v>
      </c>
      <c r="AS94" s="5" t="s">
        <v>202</v>
      </c>
      <c r="AT94" s="5" t="s">
        <v>202</v>
      </c>
      <c r="AU94" s="5" t="s">
        <v>200</v>
      </c>
      <c r="AV94" s="5" t="s">
        <v>198</v>
      </c>
      <c r="AW94" s="5" t="s">
        <v>208</v>
      </c>
      <c r="AX94" s="5" t="s">
        <v>198</v>
      </c>
      <c r="AY94" s="5" t="s">
        <v>208</v>
      </c>
      <c r="AZ94" s="5" t="s">
        <v>413</v>
      </c>
    </row>
    <row r="95">
      <c r="A95" s="7">
        <v>45869.17013888889</v>
      </c>
      <c r="B95" s="7">
        <v>45869.18402777778</v>
      </c>
      <c r="C95" s="5" t="s">
        <v>99</v>
      </c>
      <c r="D95" s="5" t="s">
        <v>383</v>
      </c>
      <c r="E95" s="8">
        <v>100.0</v>
      </c>
      <c r="F95" s="8">
        <v>1215.0</v>
      </c>
      <c r="G95" s="9" t="b">
        <v>1</v>
      </c>
      <c r="H95" s="7">
        <v>45869.18402777778</v>
      </c>
      <c r="I95" s="5" t="s">
        <v>601</v>
      </c>
      <c r="K95" s="10"/>
      <c r="L95" s="10"/>
      <c r="M95" s="10"/>
      <c r="N95" s="8">
        <v>60.1816</v>
      </c>
      <c r="O95" s="8">
        <v>24.8368</v>
      </c>
      <c r="P95" s="5" t="s">
        <v>194</v>
      </c>
      <c r="Q95" s="5" t="s">
        <v>195</v>
      </c>
      <c r="R95" s="5" t="s">
        <v>602</v>
      </c>
      <c r="S95" s="5" t="s">
        <v>197</v>
      </c>
      <c r="T95" s="5" t="s">
        <v>202</v>
      </c>
      <c r="U95" s="5" t="s">
        <v>200</v>
      </c>
      <c r="V95" s="5" t="s">
        <v>199</v>
      </c>
      <c r="W95" s="5" t="s">
        <v>202</v>
      </c>
      <c r="X95" s="5" t="s">
        <v>202</v>
      </c>
      <c r="Y95" s="5" t="s">
        <v>201</v>
      </c>
      <c r="Z95" s="5" t="s">
        <v>200</v>
      </c>
      <c r="AA95" s="5" t="s">
        <v>200</v>
      </c>
      <c r="AB95" s="5" t="s">
        <v>202</v>
      </c>
      <c r="AC95" s="5" t="s">
        <v>202</v>
      </c>
      <c r="AD95" s="5" t="s">
        <v>201</v>
      </c>
      <c r="AE95" s="5" t="s">
        <v>200</v>
      </c>
      <c r="AF95" s="5" t="s">
        <v>202</v>
      </c>
      <c r="AG95" s="5" t="s">
        <v>202</v>
      </c>
      <c r="AH95" s="5" t="s">
        <v>200</v>
      </c>
      <c r="AI95" s="5" t="s">
        <v>603</v>
      </c>
      <c r="AJ95" s="5" t="s">
        <v>206</v>
      </c>
      <c r="AK95" s="5" t="s">
        <v>202</v>
      </c>
      <c r="AL95" s="5" t="s">
        <v>202</v>
      </c>
      <c r="AM95" s="5" t="s">
        <v>202</v>
      </c>
      <c r="AN95" s="5" t="s">
        <v>201</v>
      </c>
      <c r="AO95" s="5" t="s">
        <v>202</v>
      </c>
      <c r="AP95" s="5" t="s">
        <v>202</v>
      </c>
      <c r="AQ95" s="5" t="s">
        <v>604</v>
      </c>
      <c r="AR95" s="5" t="s">
        <v>206</v>
      </c>
      <c r="AS95" s="5" t="s">
        <v>202</v>
      </c>
      <c r="AT95" s="5" t="s">
        <v>202</v>
      </c>
      <c r="AU95" s="5" t="s">
        <v>201</v>
      </c>
      <c r="AV95" s="5" t="s">
        <v>204</v>
      </c>
      <c r="AW95" s="5" t="s">
        <v>204</v>
      </c>
      <c r="AX95" s="5" t="s">
        <v>204</v>
      </c>
      <c r="AY95" s="5" t="s">
        <v>204</v>
      </c>
      <c r="AZ95" s="5" t="s">
        <v>605</v>
      </c>
    </row>
    <row r="96">
      <c r="A96" s="7">
        <v>45869.177083333336</v>
      </c>
      <c r="B96" s="7">
        <v>45869.18819444445</v>
      </c>
      <c r="C96" s="5" t="s">
        <v>99</v>
      </c>
      <c r="D96" s="5" t="s">
        <v>529</v>
      </c>
      <c r="E96" s="8">
        <v>100.0</v>
      </c>
      <c r="F96" s="8">
        <v>973.0</v>
      </c>
      <c r="G96" s="9" t="b">
        <v>1</v>
      </c>
      <c r="H96" s="7">
        <v>45869.18819444445</v>
      </c>
      <c r="I96" s="5" t="s">
        <v>606</v>
      </c>
      <c r="K96" s="10"/>
      <c r="L96" s="10"/>
      <c r="M96" s="10"/>
      <c r="N96" s="8">
        <v>60.1816</v>
      </c>
      <c r="O96" s="8">
        <v>24.8368</v>
      </c>
      <c r="P96" s="5" t="s">
        <v>194</v>
      </c>
      <c r="Q96" s="5" t="s">
        <v>195</v>
      </c>
      <c r="R96" s="5" t="s">
        <v>607</v>
      </c>
      <c r="S96" s="5" t="s">
        <v>211</v>
      </c>
      <c r="T96" s="5" t="s">
        <v>208</v>
      </c>
      <c r="U96" s="5" t="s">
        <v>204</v>
      </c>
      <c r="V96" s="5" t="s">
        <v>199</v>
      </c>
      <c r="W96" s="5" t="s">
        <v>204</v>
      </c>
      <c r="X96" s="5" t="s">
        <v>204</v>
      </c>
      <c r="Y96" s="5" t="s">
        <v>204</v>
      </c>
      <c r="Z96" s="5" t="s">
        <v>208</v>
      </c>
      <c r="AA96" s="5" t="s">
        <v>204</v>
      </c>
      <c r="AB96" s="5" t="s">
        <v>200</v>
      </c>
      <c r="AC96" s="5" t="s">
        <v>203</v>
      </c>
      <c r="AD96" s="5" t="s">
        <v>198</v>
      </c>
      <c r="AE96" s="5" t="s">
        <v>204</v>
      </c>
      <c r="AF96" s="5" t="s">
        <v>204</v>
      </c>
      <c r="AG96" s="5" t="s">
        <v>204</v>
      </c>
      <c r="AH96" s="5" t="s">
        <v>201</v>
      </c>
      <c r="AI96" s="5" t="s">
        <v>608</v>
      </c>
      <c r="AJ96" s="5" t="s">
        <v>206</v>
      </c>
      <c r="AK96" s="5" t="s">
        <v>208</v>
      </c>
      <c r="AL96" s="5" t="s">
        <v>203</v>
      </c>
      <c r="AM96" s="5" t="s">
        <v>208</v>
      </c>
      <c r="AN96" s="5" t="s">
        <v>202</v>
      </c>
      <c r="AO96" s="5" t="s">
        <v>202</v>
      </c>
      <c r="AP96" s="5" t="s">
        <v>203</v>
      </c>
      <c r="AQ96" s="5" t="s">
        <v>609</v>
      </c>
      <c r="AR96" s="5" t="s">
        <v>206</v>
      </c>
      <c r="AS96" s="5" t="s">
        <v>204</v>
      </c>
      <c r="AT96" s="5" t="s">
        <v>200</v>
      </c>
      <c r="AU96" s="5" t="s">
        <v>202</v>
      </c>
      <c r="AV96" s="5" t="s">
        <v>204</v>
      </c>
      <c r="AW96" s="5" t="s">
        <v>204</v>
      </c>
      <c r="AX96" s="5" t="s">
        <v>208</v>
      </c>
      <c r="AY96" s="5" t="s">
        <v>204</v>
      </c>
      <c r="AZ96" s="5" t="s">
        <v>610</v>
      </c>
    </row>
    <row r="97">
      <c r="A97" s="7">
        <v>45869.1875</v>
      </c>
      <c r="B97" s="7">
        <v>45869.19097222222</v>
      </c>
      <c r="C97" s="5" t="s">
        <v>99</v>
      </c>
      <c r="D97" s="5" t="s">
        <v>347</v>
      </c>
      <c r="E97" s="8">
        <v>100.0</v>
      </c>
      <c r="F97" s="8">
        <v>300.0</v>
      </c>
      <c r="G97" s="9" t="b">
        <v>1</v>
      </c>
      <c r="H97" s="7">
        <v>45869.19097222222</v>
      </c>
      <c r="I97" s="5" t="s">
        <v>611</v>
      </c>
      <c r="K97" s="10"/>
      <c r="L97" s="10"/>
      <c r="M97" s="10"/>
      <c r="N97" s="8">
        <v>60.2141</v>
      </c>
      <c r="O97" s="8">
        <v>24.896</v>
      </c>
      <c r="P97" s="5" t="s">
        <v>194</v>
      </c>
      <c r="Q97" s="5" t="s">
        <v>195</v>
      </c>
      <c r="R97" s="5" t="s">
        <v>595</v>
      </c>
      <c r="S97" s="5" t="s">
        <v>211</v>
      </c>
      <c r="T97" s="5" t="s">
        <v>200</v>
      </c>
      <c r="U97" s="5" t="s">
        <v>202</v>
      </c>
      <c r="V97" s="5" t="s">
        <v>199</v>
      </c>
      <c r="W97" s="5" t="s">
        <v>202</v>
      </c>
      <c r="X97" s="5" t="s">
        <v>202</v>
      </c>
      <c r="Y97" s="5" t="s">
        <v>202</v>
      </c>
      <c r="Z97" s="5" t="s">
        <v>202</v>
      </c>
      <c r="AA97" s="5" t="s">
        <v>202</v>
      </c>
      <c r="AB97" s="5" t="s">
        <v>202</v>
      </c>
      <c r="AC97" s="5" t="s">
        <v>202</v>
      </c>
      <c r="AD97" s="5" t="s">
        <v>202</v>
      </c>
      <c r="AE97" s="5" t="s">
        <v>202</v>
      </c>
      <c r="AF97" s="5" t="s">
        <v>198</v>
      </c>
      <c r="AG97" s="5" t="s">
        <v>202</v>
      </c>
      <c r="AH97" s="5" t="s">
        <v>200</v>
      </c>
      <c r="AI97" s="5" t="s">
        <v>413</v>
      </c>
      <c r="AJ97" s="5" t="s">
        <v>206</v>
      </c>
      <c r="AK97" s="5" t="s">
        <v>202</v>
      </c>
      <c r="AL97" s="5" t="s">
        <v>202</v>
      </c>
      <c r="AM97" s="5" t="s">
        <v>202</v>
      </c>
      <c r="AN97" s="5" t="s">
        <v>202</v>
      </c>
      <c r="AO97" s="5" t="s">
        <v>202</v>
      </c>
      <c r="AP97" s="5" t="s">
        <v>202</v>
      </c>
      <c r="AQ97" s="5" t="s">
        <v>413</v>
      </c>
      <c r="AR97" s="5" t="s">
        <v>206</v>
      </c>
      <c r="AS97" s="5" t="s">
        <v>202</v>
      </c>
      <c r="AT97" s="5" t="s">
        <v>202</v>
      </c>
      <c r="AU97" s="5" t="s">
        <v>200</v>
      </c>
      <c r="AV97" s="5" t="s">
        <v>208</v>
      </c>
      <c r="AW97" s="5" t="s">
        <v>208</v>
      </c>
      <c r="AX97" s="5" t="s">
        <v>208</v>
      </c>
      <c r="AY97" s="5" t="s">
        <v>208</v>
      </c>
      <c r="AZ97" s="5" t="s">
        <v>413</v>
      </c>
    </row>
    <row r="98">
      <c r="A98" s="7">
        <v>45869.18263888889</v>
      </c>
      <c r="B98" s="7">
        <v>45869.19236111111</v>
      </c>
      <c r="C98" s="5" t="s">
        <v>99</v>
      </c>
      <c r="D98" s="5" t="s">
        <v>192</v>
      </c>
      <c r="E98" s="8">
        <v>100.0</v>
      </c>
      <c r="F98" s="8">
        <v>808.0</v>
      </c>
      <c r="G98" s="9" t="b">
        <v>1</v>
      </c>
      <c r="H98" s="7">
        <v>45869.19236111111</v>
      </c>
      <c r="I98" s="5" t="s">
        <v>612</v>
      </c>
      <c r="K98" s="10"/>
      <c r="L98" s="10"/>
      <c r="M98" s="10"/>
      <c r="N98" s="8">
        <v>60.1816</v>
      </c>
      <c r="O98" s="8">
        <v>24.8368</v>
      </c>
      <c r="P98" s="5" t="s">
        <v>194</v>
      </c>
      <c r="Q98" s="5" t="s">
        <v>195</v>
      </c>
      <c r="R98" s="5" t="s">
        <v>582</v>
      </c>
      <c r="S98" s="5" t="s">
        <v>263</v>
      </c>
      <c r="T98" s="5" t="s">
        <v>201</v>
      </c>
      <c r="U98" s="5" t="s">
        <v>200</v>
      </c>
      <c r="V98" s="5" t="s">
        <v>199</v>
      </c>
      <c r="W98" s="5" t="s">
        <v>201</v>
      </c>
      <c r="X98" s="5" t="s">
        <v>201</v>
      </c>
      <c r="Y98" s="5" t="s">
        <v>200</v>
      </c>
      <c r="Z98" s="5" t="s">
        <v>200</v>
      </c>
      <c r="AA98" s="5" t="s">
        <v>202</v>
      </c>
      <c r="AB98" s="5" t="s">
        <v>202</v>
      </c>
      <c r="AC98" s="5" t="s">
        <v>200</v>
      </c>
      <c r="AD98" s="5" t="s">
        <v>202</v>
      </c>
      <c r="AE98" s="5" t="s">
        <v>200</v>
      </c>
      <c r="AF98" s="5" t="s">
        <v>208</v>
      </c>
      <c r="AG98" s="5" t="s">
        <v>202</v>
      </c>
      <c r="AH98" s="5" t="s">
        <v>200</v>
      </c>
      <c r="AI98" s="5" t="s">
        <v>613</v>
      </c>
      <c r="AJ98" s="5" t="s">
        <v>206</v>
      </c>
      <c r="AK98" s="5" t="s">
        <v>201</v>
      </c>
      <c r="AL98" s="5" t="s">
        <v>201</v>
      </c>
      <c r="AM98" s="5" t="s">
        <v>201</v>
      </c>
      <c r="AN98" s="5" t="s">
        <v>201</v>
      </c>
      <c r="AO98" s="5" t="s">
        <v>201</v>
      </c>
      <c r="AP98" s="5" t="s">
        <v>201</v>
      </c>
      <c r="AQ98" s="5" t="s">
        <v>614</v>
      </c>
      <c r="AR98" s="5" t="s">
        <v>206</v>
      </c>
      <c r="AS98" s="5" t="s">
        <v>201</v>
      </c>
      <c r="AT98" s="5" t="s">
        <v>202</v>
      </c>
      <c r="AU98" s="5" t="s">
        <v>201</v>
      </c>
      <c r="AV98" s="5" t="s">
        <v>204</v>
      </c>
      <c r="AW98" s="5" t="s">
        <v>204</v>
      </c>
      <c r="AX98" s="5" t="s">
        <v>204</v>
      </c>
      <c r="AY98" s="5" t="s">
        <v>204</v>
      </c>
      <c r="AZ98" s="5" t="s">
        <v>615</v>
      </c>
    </row>
    <row r="99">
      <c r="A99" s="7">
        <v>45869.18819444445</v>
      </c>
      <c r="B99" s="7">
        <v>45869.20347222222</v>
      </c>
      <c r="C99" s="5" t="s">
        <v>99</v>
      </c>
      <c r="D99" s="5" t="s">
        <v>389</v>
      </c>
      <c r="E99" s="8">
        <v>100.0</v>
      </c>
      <c r="F99" s="8">
        <v>1307.0</v>
      </c>
      <c r="G99" s="9" t="b">
        <v>1</v>
      </c>
      <c r="H99" s="7">
        <v>45869.20347222222</v>
      </c>
      <c r="I99" s="5" t="s">
        <v>616</v>
      </c>
      <c r="K99" s="10"/>
      <c r="L99" s="10"/>
      <c r="M99" s="10"/>
      <c r="N99" s="8">
        <v>60.1816</v>
      </c>
      <c r="O99" s="8">
        <v>24.8368</v>
      </c>
      <c r="P99" s="5" t="s">
        <v>194</v>
      </c>
      <c r="Q99" s="5" t="s">
        <v>195</v>
      </c>
      <c r="R99" s="5" t="s">
        <v>602</v>
      </c>
      <c r="S99" s="5" t="s">
        <v>211</v>
      </c>
      <c r="T99" s="5" t="s">
        <v>198</v>
      </c>
      <c r="U99" s="5" t="s">
        <v>198</v>
      </c>
      <c r="V99" s="5" t="s">
        <v>199</v>
      </c>
      <c r="W99" s="5" t="s">
        <v>202</v>
      </c>
      <c r="X99" s="5" t="s">
        <v>200</v>
      </c>
      <c r="Y99" s="5" t="s">
        <v>198</v>
      </c>
      <c r="Z99" s="5" t="s">
        <v>198</v>
      </c>
      <c r="AA99" s="5" t="s">
        <v>198</v>
      </c>
      <c r="AB99" s="5" t="s">
        <v>200</v>
      </c>
      <c r="AC99" s="5" t="s">
        <v>200</v>
      </c>
      <c r="AD99" s="5" t="s">
        <v>202</v>
      </c>
      <c r="AE99" s="5" t="s">
        <v>198</v>
      </c>
      <c r="AF99" s="5" t="s">
        <v>198</v>
      </c>
      <c r="AG99" s="5" t="s">
        <v>200</v>
      </c>
      <c r="AH99" s="5" t="s">
        <v>202</v>
      </c>
      <c r="AI99" s="5" t="s">
        <v>617</v>
      </c>
      <c r="AJ99" s="5" t="s">
        <v>206</v>
      </c>
      <c r="AK99" s="5" t="s">
        <v>202</v>
      </c>
      <c r="AL99" s="5" t="s">
        <v>200</v>
      </c>
      <c r="AM99" s="5" t="s">
        <v>198</v>
      </c>
      <c r="AN99" s="5" t="s">
        <v>198</v>
      </c>
      <c r="AO99" s="5" t="s">
        <v>198</v>
      </c>
      <c r="AP99" s="5" t="s">
        <v>198</v>
      </c>
      <c r="AQ99" s="5" t="s">
        <v>618</v>
      </c>
      <c r="AR99" s="5" t="s">
        <v>206</v>
      </c>
      <c r="AS99" s="5" t="s">
        <v>200</v>
      </c>
      <c r="AT99" s="5" t="s">
        <v>202</v>
      </c>
      <c r="AU99" s="5" t="s">
        <v>200</v>
      </c>
      <c r="AV99" s="5" t="s">
        <v>204</v>
      </c>
      <c r="AW99" s="5" t="s">
        <v>204</v>
      </c>
      <c r="AX99" s="5" t="s">
        <v>204</v>
      </c>
      <c r="AY99" s="5" t="s">
        <v>204</v>
      </c>
      <c r="AZ99" s="5" t="s">
        <v>619</v>
      </c>
    </row>
    <row r="100">
      <c r="A100" s="7">
        <v>45869.19652777778</v>
      </c>
      <c r="B100" s="7">
        <v>45869.20416666667</v>
      </c>
      <c r="C100" s="5" t="s">
        <v>99</v>
      </c>
      <c r="D100" s="5" t="s">
        <v>490</v>
      </c>
      <c r="E100" s="8">
        <v>100.0</v>
      </c>
      <c r="F100" s="8">
        <v>677.0</v>
      </c>
      <c r="G100" s="9" t="b">
        <v>1</v>
      </c>
      <c r="H100" s="7">
        <v>45869.20416666667</v>
      </c>
      <c r="I100" s="5" t="s">
        <v>620</v>
      </c>
      <c r="K100" s="10"/>
      <c r="L100" s="10"/>
      <c r="M100" s="10"/>
      <c r="N100" s="8">
        <v>60.1816</v>
      </c>
      <c r="O100" s="8">
        <v>24.8368</v>
      </c>
      <c r="P100" s="5" t="s">
        <v>194</v>
      </c>
      <c r="Q100" s="5" t="s">
        <v>195</v>
      </c>
      <c r="R100" s="5" t="s">
        <v>582</v>
      </c>
      <c r="S100" s="5" t="s">
        <v>216</v>
      </c>
      <c r="T100" s="5" t="s">
        <v>201</v>
      </c>
      <c r="U100" s="5" t="s">
        <v>203</v>
      </c>
      <c r="V100" s="5" t="s">
        <v>199</v>
      </c>
      <c r="W100" s="5" t="s">
        <v>201</v>
      </c>
      <c r="X100" s="5" t="s">
        <v>201</v>
      </c>
      <c r="Y100" s="5" t="s">
        <v>198</v>
      </c>
      <c r="Z100" s="5" t="s">
        <v>202</v>
      </c>
      <c r="AA100" s="5" t="s">
        <v>202</v>
      </c>
      <c r="AB100" s="5" t="s">
        <v>202</v>
      </c>
      <c r="AC100" s="5" t="s">
        <v>202</v>
      </c>
      <c r="AD100" s="5" t="s">
        <v>202</v>
      </c>
      <c r="AE100" s="5" t="s">
        <v>198</v>
      </c>
      <c r="AF100" s="5" t="s">
        <v>204</v>
      </c>
      <c r="AG100" s="5" t="s">
        <v>202</v>
      </c>
      <c r="AH100" s="5" t="s">
        <v>203</v>
      </c>
      <c r="AI100" s="5" t="s">
        <v>621</v>
      </c>
      <c r="AJ100" s="5" t="s">
        <v>206</v>
      </c>
      <c r="AK100" s="5" t="s">
        <v>202</v>
      </c>
      <c r="AL100" s="5" t="s">
        <v>202</v>
      </c>
      <c r="AM100" s="5" t="s">
        <v>201</v>
      </c>
      <c r="AN100" s="5" t="s">
        <v>202</v>
      </c>
      <c r="AO100" s="5" t="s">
        <v>201</v>
      </c>
      <c r="AP100" s="5" t="s">
        <v>201</v>
      </c>
      <c r="AQ100" s="5" t="s">
        <v>622</v>
      </c>
      <c r="AR100" s="5" t="s">
        <v>206</v>
      </c>
      <c r="AS100" s="5" t="s">
        <v>201</v>
      </c>
      <c r="AT100" s="5" t="s">
        <v>201</v>
      </c>
      <c r="AU100" s="5" t="s">
        <v>201</v>
      </c>
      <c r="AV100" s="5" t="s">
        <v>204</v>
      </c>
      <c r="AW100" s="5" t="s">
        <v>204</v>
      </c>
      <c r="AX100" s="5" t="s">
        <v>204</v>
      </c>
      <c r="AY100" s="5" t="s">
        <v>204</v>
      </c>
      <c r="AZ100" s="5" t="s">
        <v>623</v>
      </c>
    </row>
    <row r="101">
      <c r="A101" s="7">
        <v>45869.19930555556</v>
      </c>
      <c r="B101" s="7">
        <v>45869.20763888889</v>
      </c>
      <c r="C101" s="5" t="s">
        <v>99</v>
      </c>
      <c r="D101" s="5" t="s">
        <v>529</v>
      </c>
      <c r="E101" s="8">
        <v>100.0</v>
      </c>
      <c r="F101" s="8">
        <v>726.0</v>
      </c>
      <c r="G101" s="9" t="b">
        <v>1</v>
      </c>
      <c r="H101" s="7">
        <v>45869.20763888889</v>
      </c>
      <c r="I101" s="5" t="s">
        <v>624</v>
      </c>
      <c r="L101" s="10"/>
      <c r="M101" s="10"/>
      <c r="N101" s="8">
        <v>60.1816</v>
      </c>
      <c r="O101" s="8">
        <v>24.8368</v>
      </c>
      <c r="P101" s="5" t="s">
        <v>194</v>
      </c>
      <c r="Q101" s="5" t="s">
        <v>195</v>
      </c>
      <c r="R101" s="5" t="s">
        <v>607</v>
      </c>
      <c r="S101" s="5" t="s">
        <v>263</v>
      </c>
      <c r="T101" s="5" t="s">
        <v>200</v>
      </c>
      <c r="U101" s="5" t="s">
        <v>200</v>
      </c>
      <c r="V101" s="5" t="s">
        <v>199</v>
      </c>
      <c r="W101" s="5" t="s">
        <v>208</v>
      </c>
      <c r="X101" s="5" t="s">
        <v>200</v>
      </c>
      <c r="Y101" s="5" t="s">
        <v>203</v>
      </c>
      <c r="Z101" s="5" t="s">
        <v>200</v>
      </c>
      <c r="AA101" s="5" t="s">
        <v>200</v>
      </c>
      <c r="AB101" s="5" t="s">
        <v>200</v>
      </c>
      <c r="AC101" s="5" t="s">
        <v>200</v>
      </c>
      <c r="AD101" s="5" t="s">
        <v>208</v>
      </c>
      <c r="AE101" s="5" t="s">
        <v>200</v>
      </c>
      <c r="AF101" s="5" t="s">
        <v>200</v>
      </c>
      <c r="AG101" s="5" t="s">
        <v>200</v>
      </c>
      <c r="AH101" s="5" t="s">
        <v>201</v>
      </c>
      <c r="AI101" s="5" t="s">
        <v>625</v>
      </c>
      <c r="AJ101" s="5" t="s">
        <v>206</v>
      </c>
      <c r="AK101" s="5" t="s">
        <v>198</v>
      </c>
      <c r="AL101" s="5" t="s">
        <v>200</v>
      </c>
      <c r="AM101" s="5" t="s">
        <v>198</v>
      </c>
      <c r="AN101" s="5" t="s">
        <v>201</v>
      </c>
      <c r="AO101" s="5" t="s">
        <v>202</v>
      </c>
      <c r="AP101" s="5" t="s">
        <v>202</v>
      </c>
      <c r="AQ101" s="5" t="s">
        <v>626</v>
      </c>
      <c r="AR101" s="5" t="s">
        <v>206</v>
      </c>
      <c r="AS101" s="5" t="s">
        <v>200</v>
      </c>
      <c r="AT101" s="5" t="s">
        <v>200</v>
      </c>
      <c r="AU101" s="5" t="s">
        <v>208</v>
      </c>
      <c r="AV101" s="5" t="s">
        <v>202</v>
      </c>
      <c r="AW101" s="5" t="s">
        <v>208</v>
      </c>
      <c r="AX101" s="5" t="s">
        <v>201</v>
      </c>
      <c r="AY101" s="5" t="s">
        <v>198</v>
      </c>
      <c r="AZ101" s="5" t="s">
        <v>627</v>
      </c>
    </row>
    <row r="102">
      <c r="A102" s="7">
        <v>45869.209027777775</v>
      </c>
      <c r="B102" s="7">
        <v>45869.21388888889</v>
      </c>
      <c r="C102" s="5" t="s">
        <v>99</v>
      </c>
      <c r="D102" s="5" t="s">
        <v>383</v>
      </c>
      <c r="E102" s="8">
        <v>100.0</v>
      </c>
      <c r="F102" s="8">
        <v>417.0</v>
      </c>
      <c r="G102" s="9" t="b">
        <v>1</v>
      </c>
      <c r="H102" s="7">
        <v>45869.21388888889</v>
      </c>
      <c r="I102" s="5" t="s">
        <v>628</v>
      </c>
      <c r="K102" s="10"/>
      <c r="L102" s="10"/>
      <c r="M102" s="10"/>
      <c r="N102" s="8">
        <v>60.1816</v>
      </c>
      <c r="O102" s="8">
        <v>24.8368</v>
      </c>
      <c r="P102" s="5" t="s">
        <v>194</v>
      </c>
      <c r="Q102" s="5" t="s">
        <v>195</v>
      </c>
      <c r="R102" s="5" t="s">
        <v>595</v>
      </c>
      <c r="S102" s="5" t="s">
        <v>197</v>
      </c>
      <c r="T102" s="5" t="s">
        <v>202</v>
      </c>
      <c r="U102" s="5" t="s">
        <v>202</v>
      </c>
      <c r="V102" s="5" t="s">
        <v>199</v>
      </c>
      <c r="W102" s="5" t="s">
        <v>200</v>
      </c>
      <c r="X102" s="5" t="s">
        <v>200</v>
      </c>
      <c r="Y102" s="5" t="s">
        <v>198</v>
      </c>
      <c r="Z102" s="5" t="s">
        <v>202</v>
      </c>
      <c r="AA102" s="5" t="s">
        <v>202</v>
      </c>
      <c r="AB102" s="5" t="s">
        <v>202</v>
      </c>
      <c r="AC102" s="5" t="s">
        <v>198</v>
      </c>
      <c r="AD102" s="5" t="s">
        <v>202</v>
      </c>
      <c r="AE102" s="5" t="s">
        <v>202</v>
      </c>
      <c r="AF102" s="5" t="s">
        <v>198</v>
      </c>
      <c r="AG102" s="5" t="s">
        <v>200</v>
      </c>
      <c r="AH102" s="5" t="s">
        <v>198</v>
      </c>
      <c r="AI102" s="5" t="s">
        <v>413</v>
      </c>
      <c r="AJ102" s="5" t="s">
        <v>206</v>
      </c>
      <c r="AK102" s="5" t="s">
        <v>202</v>
      </c>
      <c r="AL102" s="5" t="s">
        <v>202</v>
      </c>
      <c r="AM102" s="5" t="s">
        <v>202</v>
      </c>
      <c r="AN102" s="5" t="s">
        <v>202</v>
      </c>
      <c r="AO102" s="5" t="s">
        <v>202</v>
      </c>
      <c r="AP102" s="5" t="s">
        <v>202</v>
      </c>
      <c r="AQ102" s="5" t="s">
        <v>413</v>
      </c>
      <c r="AR102" s="5" t="s">
        <v>206</v>
      </c>
      <c r="AS102" s="5" t="s">
        <v>202</v>
      </c>
      <c r="AT102" s="5" t="s">
        <v>200</v>
      </c>
      <c r="AU102" s="5" t="s">
        <v>200</v>
      </c>
      <c r="AV102" s="5" t="s">
        <v>198</v>
      </c>
      <c r="AW102" s="5" t="s">
        <v>198</v>
      </c>
      <c r="AX102" s="5" t="s">
        <v>200</v>
      </c>
      <c r="AY102" s="5" t="s">
        <v>203</v>
      </c>
      <c r="AZ102" s="5" t="s">
        <v>413</v>
      </c>
    </row>
    <row r="103">
      <c r="A103" s="7">
        <v>45869.205555555556</v>
      </c>
      <c r="B103" s="7">
        <v>45869.217361111114</v>
      </c>
      <c r="C103" s="5" t="s">
        <v>99</v>
      </c>
      <c r="D103" s="5" t="s">
        <v>389</v>
      </c>
      <c r="E103" s="8">
        <v>100.0</v>
      </c>
      <c r="F103" s="8">
        <v>1053.0</v>
      </c>
      <c r="G103" s="9" t="b">
        <v>1</v>
      </c>
      <c r="H103" s="7">
        <v>45869.217361111114</v>
      </c>
      <c r="I103" s="5" t="s">
        <v>629</v>
      </c>
      <c r="K103" s="10"/>
      <c r="L103" s="10"/>
      <c r="M103" s="10"/>
      <c r="N103" s="8">
        <v>60.1816</v>
      </c>
      <c r="O103" s="8">
        <v>24.8368</v>
      </c>
      <c r="P103" s="5" t="s">
        <v>194</v>
      </c>
      <c r="Q103" s="5" t="s">
        <v>195</v>
      </c>
      <c r="R103" s="5" t="s">
        <v>602</v>
      </c>
      <c r="S103" s="5" t="s">
        <v>216</v>
      </c>
      <c r="T103" s="5" t="s">
        <v>198</v>
      </c>
      <c r="U103" s="5" t="s">
        <v>208</v>
      </c>
      <c r="V103" s="5" t="s">
        <v>199</v>
      </c>
      <c r="W103" s="5" t="s">
        <v>202</v>
      </c>
      <c r="X103" s="5" t="s">
        <v>200</v>
      </c>
      <c r="Y103" s="5" t="s">
        <v>208</v>
      </c>
      <c r="Z103" s="5" t="s">
        <v>208</v>
      </c>
      <c r="AA103" s="5" t="s">
        <v>200</v>
      </c>
      <c r="AB103" s="5" t="s">
        <v>200</v>
      </c>
      <c r="AC103" s="5" t="s">
        <v>200</v>
      </c>
      <c r="AD103" s="5" t="s">
        <v>202</v>
      </c>
      <c r="AE103" s="5" t="s">
        <v>208</v>
      </c>
      <c r="AF103" s="5" t="s">
        <v>208</v>
      </c>
      <c r="AG103" s="5" t="s">
        <v>198</v>
      </c>
      <c r="AH103" s="5" t="s">
        <v>202</v>
      </c>
      <c r="AI103" s="5" t="s">
        <v>630</v>
      </c>
      <c r="AJ103" s="5" t="s">
        <v>206</v>
      </c>
      <c r="AK103" s="5" t="s">
        <v>200</v>
      </c>
      <c r="AL103" s="5" t="s">
        <v>198</v>
      </c>
      <c r="AM103" s="5" t="s">
        <v>198</v>
      </c>
      <c r="AN103" s="5" t="s">
        <v>208</v>
      </c>
      <c r="AO103" s="5" t="s">
        <v>208</v>
      </c>
      <c r="AP103" s="5" t="s">
        <v>208</v>
      </c>
      <c r="AQ103" s="5" t="s">
        <v>631</v>
      </c>
      <c r="AR103" s="5" t="s">
        <v>206</v>
      </c>
      <c r="AS103" s="5" t="s">
        <v>200</v>
      </c>
      <c r="AT103" s="5" t="s">
        <v>202</v>
      </c>
      <c r="AU103" s="5" t="s">
        <v>198</v>
      </c>
      <c r="AV103" s="5" t="s">
        <v>204</v>
      </c>
      <c r="AW103" s="5" t="s">
        <v>204</v>
      </c>
      <c r="AX103" s="5" t="s">
        <v>204</v>
      </c>
      <c r="AY103" s="5" t="s">
        <v>204</v>
      </c>
      <c r="AZ103" s="5" t="s">
        <v>632</v>
      </c>
    </row>
    <row r="104">
      <c r="A104" s="7">
        <v>45869.21388888889</v>
      </c>
      <c r="B104" s="7">
        <v>45869.21805555555</v>
      </c>
      <c r="C104" s="5" t="s">
        <v>99</v>
      </c>
      <c r="D104" s="5" t="s">
        <v>490</v>
      </c>
      <c r="E104" s="8">
        <v>100.0</v>
      </c>
      <c r="F104" s="8">
        <v>315.0</v>
      </c>
      <c r="G104" s="9" t="b">
        <v>1</v>
      </c>
      <c r="H104" s="7">
        <v>45869.21805555555</v>
      </c>
      <c r="I104" s="5" t="s">
        <v>633</v>
      </c>
      <c r="K104" s="10"/>
      <c r="L104" s="10"/>
      <c r="M104" s="10"/>
      <c r="N104" s="8">
        <v>60.1816</v>
      </c>
      <c r="O104" s="8">
        <v>24.8368</v>
      </c>
      <c r="P104" s="5" t="s">
        <v>194</v>
      </c>
      <c r="Q104" s="5" t="s">
        <v>195</v>
      </c>
      <c r="R104" s="5" t="s">
        <v>634</v>
      </c>
      <c r="S104" s="5" t="s">
        <v>216</v>
      </c>
      <c r="T104" s="5" t="s">
        <v>208</v>
      </c>
      <c r="U104" s="5" t="s">
        <v>204</v>
      </c>
      <c r="V104" s="5" t="s">
        <v>199</v>
      </c>
      <c r="W104" s="5" t="s">
        <v>203</v>
      </c>
      <c r="X104" s="5" t="s">
        <v>203</v>
      </c>
      <c r="Y104" s="5" t="s">
        <v>204</v>
      </c>
      <c r="Z104" s="5" t="s">
        <v>204</v>
      </c>
      <c r="AA104" s="5" t="s">
        <v>204</v>
      </c>
      <c r="AB104" s="5" t="s">
        <v>200</v>
      </c>
      <c r="AC104" s="5" t="s">
        <v>202</v>
      </c>
      <c r="AD104" s="5" t="s">
        <v>202</v>
      </c>
      <c r="AE104" s="5" t="s">
        <v>208</v>
      </c>
      <c r="AF104" s="5" t="s">
        <v>208</v>
      </c>
      <c r="AG104" s="5" t="s">
        <v>203</v>
      </c>
      <c r="AH104" s="5" t="s">
        <v>201</v>
      </c>
      <c r="AI104" s="5" t="s">
        <v>635</v>
      </c>
      <c r="AJ104" s="5" t="s">
        <v>206</v>
      </c>
      <c r="AK104" s="5" t="s">
        <v>203</v>
      </c>
      <c r="AL104" s="5" t="s">
        <v>200</v>
      </c>
      <c r="AM104" s="5" t="s">
        <v>200</v>
      </c>
      <c r="AN104" s="5" t="s">
        <v>200</v>
      </c>
      <c r="AO104" s="5" t="s">
        <v>203</v>
      </c>
      <c r="AP104" s="5" t="s">
        <v>200</v>
      </c>
      <c r="AQ104" s="5" t="s">
        <v>636</v>
      </c>
      <c r="AR104" s="5" t="s">
        <v>206</v>
      </c>
      <c r="AS104" s="5" t="s">
        <v>202</v>
      </c>
      <c r="AT104" s="5" t="s">
        <v>202</v>
      </c>
      <c r="AU104" s="5" t="s">
        <v>202</v>
      </c>
      <c r="AV104" s="5" t="s">
        <v>200</v>
      </c>
      <c r="AW104" s="5" t="s">
        <v>208</v>
      </c>
      <c r="AX104" s="5" t="s">
        <v>198</v>
      </c>
      <c r="AY104" s="5" t="s">
        <v>208</v>
      </c>
      <c r="AZ104" s="5" t="s">
        <v>637</v>
      </c>
    </row>
    <row r="105">
      <c r="A105" s="7">
        <v>45869.21527777778</v>
      </c>
      <c r="B105" s="7">
        <v>45869.22083333333</v>
      </c>
      <c r="C105" s="5" t="s">
        <v>99</v>
      </c>
      <c r="D105" s="5" t="s">
        <v>529</v>
      </c>
      <c r="E105" s="8">
        <v>100.0</v>
      </c>
      <c r="F105" s="8">
        <v>494.0</v>
      </c>
      <c r="G105" s="9" t="b">
        <v>1</v>
      </c>
      <c r="H105" s="7">
        <v>45869.22083333333</v>
      </c>
      <c r="I105" s="5" t="s">
        <v>638</v>
      </c>
      <c r="K105" s="10"/>
      <c r="L105" s="10"/>
      <c r="M105" s="10"/>
      <c r="N105" s="8">
        <v>60.1816</v>
      </c>
      <c r="O105" s="8">
        <v>24.8368</v>
      </c>
      <c r="P105" s="5" t="s">
        <v>194</v>
      </c>
      <c r="Q105" s="5" t="s">
        <v>195</v>
      </c>
      <c r="R105" s="5" t="s">
        <v>607</v>
      </c>
      <c r="S105" s="5" t="s">
        <v>197</v>
      </c>
      <c r="T105" s="5" t="s">
        <v>203</v>
      </c>
      <c r="U105" s="5" t="s">
        <v>204</v>
      </c>
      <c r="V105" s="5" t="s">
        <v>199</v>
      </c>
      <c r="W105" s="5" t="s">
        <v>204</v>
      </c>
      <c r="X105" s="5" t="s">
        <v>204</v>
      </c>
      <c r="Y105" s="5" t="s">
        <v>204</v>
      </c>
      <c r="Z105" s="5" t="s">
        <v>203</v>
      </c>
      <c r="AA105" s="5" t="s">
        <v>204</v>
      </c>
      <c r="AB105" s="5" t="s">
        <v>203</v>
      </c>
      <c r="AC105" s="5" t="s">
        <v>204</v>
      </c>
      <c r="AD105" s="5" t="s">
        <v>204</v>
      </c>
      <c r="AE105" s="5" t="s">
        <v>203</v>
      </c>
      <c r="AF105" s="5" t="s">
        <v>204</v>
      </c>
      <c r="AG105" s="5" t="s">
        <v>204</v>
      </c>
      <c r="AH105" s="5" t="s">
        <v>204</v>
      </c>
      <c r="AI105" s="5" t="s">
        <v>639</v>
      </c>
      <c r="AJ105" s="5" t="s">
        <v>206</v>
      </c>
      <c r="AK105" s="5" t="s">
        <v>204</v>
      </c>
      <c r="AL105" s="5" t="s">
        <v>204</v>
      </c>
      <c r="AM105" s="5" t="s">
        <v>204</v>
      </c>
      <c r="AN105" s="5" t="s">
        <v>203</v>
      </c>
      <c r="AO105" s="5" t="s">
        <v>200</v>
      </c>
      <c r="AP105" s="5" t="s">
        <v>204</v>
      </c>
      <c r="AQ105" s="5" t="s">
        <v>640</v>
      </c>
      <c r="AR105" s="5" t="s">
        <v>206</v>
      </c>
      <c r="AS105" s="5" t="s">
        <v>204</v>
      </c>
      <c r="AT105" s="5" t="s">
        <v>204</v>
      </c>
      <c r="AU105" s="5" t="s">
        <v>204</v>
      </c>
      <c r="AV105" s="5" t="s">
        <v>200</v>
      </c>
      <c r="AW105" s="5" t="s">
        <v>203</v>
      </c>
      <c r="AX105" s="5" t="s">
        <v>201</v>
      </c>
      <c r="AY105" s="5" t="s">
        <v>200</v>
      </c>
      <c r="AZ105" s="11" t="s">
        <v>641</v>
      </c>
    </row>
    <row r="106">
      <c r="A106" s="7">
        <v>45869.22361111111</v>
      </c>
      <c r="B106" s="7">
        <v>45869.22777777778</v>
      </c>
      <c r="C106" s="5" t="s">
        <v>99</v>
      </c>
      <c r="D106" s="5" t="s">
        <v>490</v>
      </c>
      <c r="E106" s="8">
        <v>100.0</v>
      </c>
      <c r="F106" s="8">
        <v>359.0</v>
      </c>
      <c r="G106" s="9" t="b">
        <v>1</v>
      </c>
      <c r="H106" s="7">
        <v>45869.22777777778</v>
      </c>
      <c r="I106" s="5" t="s">
        <v>642</v>
      </c>
      <c r="L106" s="10"/>
      <c r="M106" s="10"/>
      <c r="N106" s="8">
        <v>60.1816</v>
      </c>
      <c r="O106" s="8">
        <v>24.8368</v>
      </c>
      <c r="P106" s="5" t="s">
        <v>194</v>
      </c>
      <c r="Q106" s="5" t="s">
        <v>195</v>
      </c>
      <c r="R106" s="5" t="s">
        <v>634</v>
      </c>
      <c r="S106" s="5" t="s">
        <v>211</v>
      </c>
      <c r="T106" s="5" t="s">
        <v>208</v>
      </c>
      <c r="U106" s="5" t="s">
        <v>208</v>
      </c>
      <c r="V106" s="5" t="s">
        <v>199</v>
      </c>
      <c r="W106" s="5" t="s">
        <v>202</v>
      </c>
      <c r="X106" s="5" t="s">
        <v>202</v>
      </c>
      <c r="Y106" s="5" t="s">
        <v>208</v>
      </c>
      <c r="Z106" s="5" t="s">
        <v>208</v>
      </c>
      <c r="AA106" s="5" t="s">
        <v>198</v>
      </c>
      <c r="AB106" s="5" t="s">
        <v>202</v>
      </c>
      <c r="AC106" s="5" t="s">
        <v>202</v>
      </c>
      <c r="AD106" s="5" t="s">
        <v>202</v>
      </c>
      <c r="AE106" s="5" t="s">
        <v>208</v>
      </c>
      <c r="AF106" s="5" t="s">
        <v>200</v>
      </c>
      <c r="AG106" s="5" t="s">
        <v>202</v>
      </c>
      <c r="AH106" s="5" t="s">
        <v>202</v>
      </c>
      <c r="AI106" s="5" t="s">
        <v>643</v>
      </c>
      <c r="AJ106" s="5" t="s">
        <v>206</v>
      </c>
      <c r="AK106" s="5" t="s">
        <v>202</v>
      </c>
      <c r="AL106" s="5" t="s">
        <v>201</v>
      </c>
      <c r="AM106" s="5" t="s">
        <v>201</v>
      </c>
      <c r="AN106" s="5" t="s">
        <v>202</v>
      </c>
      <c r="AO106" s="5" t="s">
        <v>203</v>
      </c>
      <c r="AP106" s="5" t="s">
        <v>202</v>
      </c>
      <c r="AQ106" s="5" t="s">
        <v>644</v>
      </c>
      <c r="AR106" s="5" t="s">
        <v>206</v>
      </c>
      <c r="AS106" s="5" t="s">
        <v>202</v>
      </c>
      <c r="AT106" s="5" t="s">
        <v>202</v>
      </c>
      <c r="AU106" s="5" t="s">
        <v>202</v>
      </c>
      <c r="AV106" s="5" t="s">
        <v>208</v>
      </c>
      <c r="AW106" s="5" t="s">
        <v>208</v>
      </c>
      <c r="AX106" s="5" t="s">
        <v>208</v>
      </c>
      <c r="AY106" s="5" t="s">
        <v>208</v>
      </c>
      <c r="AZ106" s="5" t="s">
        <v>645</v>
      </c>
    </row>
    <row r="107">
      <c r="A107" s="7">
        <v>45869.222916666666</v>
      </c>
      <c r="B107" s="7">
        <v>45869.23263888889</v>
      </c>
      <c r="C107" s="5" t="s">
        <v>99</v>
      </c>
      <c r="D107" s="5" t="s">
        <v>389</v>
      </c>
      <c r="E107" s="8">
        <v>100.0</v>
      </c>
      <c r="F107" s="8">
        <v>824.0</v>
      </c>
      <c r="G107" s="9" t="b">
        <v>1</v>
      </c>
      <c r="H107" s="7">
        <v>45869.23263888889</v>
      </c>
      <c r="I107" s="5" t="s">
        <v>646</v>
      </c>
      <c r="K107" s="10"/>
      <c r="L107" s="10"/>
      <c r="M107" s="10"/>
      <c r="N107" s="8">
        <v>60.1816</v>
      </c>
      <c r="O107" s="8">
        <v>24.8368</v>
      </c>
      <c r="P107" s="5" t="s">
        <v>194</v>
      </c>
      <c r="Q107" s="5" t="s">
        <v>195</v>
      </c>
      <c r="R107" s="5" t="s">
        <v>602</v>
      </c>
      <c r="S107" s="5" t="s">
        <v>263</v>
      </c>
      <c r="T107" s="5" t="s">
        <v>202</v>
      </c>
      <c r="U107" s="5" t="s">
        <v>200</v>
      </c>
      <c r="V107" s="5" t="s">
        <v>199</v>
      </c>
      <c r="W107" s="5" t="s">
        <v>202</v>
      </c>
      <c r="X107" s="5" t="s">
        <v>200</v>
      </c>
      <c r="Y107" s="5" t="s">
        <v>202</v>
      </c>
      <c r="Z107" s="5" t="s">
        <v>208</v>
      </c>
      <c r="AA107" s="5" t="s">
        <v>198</v>
      </c>
      <c r="AB107" s="5" t="s">
        <v>200</v>
      </c>
      <c r="AC107" s="5" t="s">
        <v>200</v>
      </c>
      <c r="AD107" s="5" t="s">
        <v>202</v>
      </c>
      <c r="AE107" s="5" t="s">
        <v>208</v>
      </c>
      <c r="AF107" s="5" t="s">
        <v>200</v>
      </c>
      <c r="AG107" s="5" t="s">
        <v>200</v>
      </c>
      <c r="AH107" s="5" t="s">
        <v>202</v>
      </c>
      <c r="AI107" s="5" t="s">
        <v>647</v>
      </c>
      <c r="AJ107" s="5" t="s">
        <v>206</v>
      </c>
      <c r="AK107" s="5" t="s">
        <v>202</v>
      </c>
      <c r="AL107" s="5" t="s">
        <v>202</v>
      </c>
      <c r="AM107" s="5" t="s">
        <v>202</v>
      </c>
      <c r="AN107" s="5" t="s">
        <v>200</v>
      </c>
      <c r="AO107" s="5" t="s">
        <v>202</v>
      </c>
      <c r="AP107" s="5" t="s">
        <v>202</v>
      </c>
      <c r="AQ107" s="5" t="s">
        <v>648</v>
      </c>
      <c r="AR107" s="5" t="s">
        <v>206</v>
      </c>
      <c r="AS107" s="5" t="s">
        <v>202</v>
      </c>
      <c r="AT107" s="5" t="s">
        <v>202</v>
      </c>
      <c r="AU107" s="5" t="s">
        <v>202</v>
      </c>
      <c r="AV107" s="5" t="s">
        <v>204</v>
      </c>
      <c r="AW107" s="5" t="s">
        <v>204</v>
      </c>
      <c r="AX107" s="5" t="s">
        <v>204</v>
      </c>
      <c r="AY107" s="5" t="s">
        <v>204</v>
      </c>
      <c r="AZ107" s="5" t="s">
        <v>649</v>
      </c>
    </row>
    <row r="108">
      <c r="A108" s="7">
        <v>45869.22708333333</v>
      </c>
      <c r="B108" s="7">
        <v>45869.23402777778</v>
      </c>
      <c r="C108" s="5" t="s">
        <v>99</v>
      </c>
      <c r="D108" s="5" t="s">
        <v>529</v>
      </c>
      <c r="E108" s="8">
        <v>100.0</v>
      </c>
      <c r="F108" s="8">
        <v>567.0</v>
      </c>
      <c r="G108" s="9" t="b">
        <v>1</v>
      </c>
      <c r="H108" s="7">
        <v>45869.23402777778</v>
      </c>
      <c r="I108" s="5" t="s">
        <v>650</v>
      </c>
      <c r="K108" s="10"/>
      <c r="L108" s="10"/>
      <c r="M108" s="10"/>
      <c r="N108" s="8">
        <v>60.1816</v>
      </c>
      <c r="O108" s="8">
        <v>24.8368</v>
      </c>
      <c r="P108" s="5" t="s">
        <v>194</v>
      </c>
      <c r="Q108" s="5" t="s">
        <v>195</v>
      </c>
      <c r="R108" s="5" t="s">
        <v>607</v>
      </c>
      <c r="S108" s="5" t="s">
        <v>216</v>
      </c>
      <c r="T108" s="5" t="s">
        <v>198</v>
      </c>
      <c r="U108" s="5" t="s">
        <v>208</v>
      </c>
      <c r="V108" s="5" t="s">
        <v>199</v>
      </c>
      <c r="W108" s="5" t="s">
        <v>203</v>
      </c>
      <c r="X108" s="5" t="s">
        <v>204</v>
      </c>
      <c r="Y108" s="5" t="s">
        <v>204</v>
      </c>
      <c r="Z108" s="5" t="s">
        <v>208</v>
      </c>
      <c r="AA108" s="5" t="s">
        <v>208</v>
      </c>
      <c r="AB108" s="5" t="s">
        <v>200</v>
      </c>
      <c r="AC108" s="5" t="s">
        <v>202</v>
      </c>
      <c r="AD108" s="5" t="s">
        <v>204</v>
      </c>
      <c r="AE108" s="5" t="s">
        <v>200</v>
      </c>
      <c r="AF108" s="5" t="s">
        <v>208</v>
      </c>
      <c r="AG108" s="5" t="s">
        <v>208</v>
      </c>
      <c r="AH108" s="5" t="s">
        <v>204</v>
      </c>
      <c r="AI108" s="5" t="s">
        <v>651</v>
      </c>
      <c r="AJ108" s="5" t="s">
        <v>206</v>
      </c>
      <c r="AK108" s="5" t="s">
        <v>200</v>
      </c>
      <c r="AL108" s="5" t="s">
        <v>200</v>
      </c>
      <c r="AM108" s="5" t="s">
        <v>208</v>
      </c>
      <c r="AN108" s="5" t="s">
        <v>200</v>
      </c>
      <c r="AO108" s="5" t="s">
        <v>208</v>
      </c>
      <c r="AP108" s="5" t="s">
        <v>202</v>
      </c>
      <c r="AQ108" s="5" t="s">
        <v>652</v>
      </c>
      <c r="AR108" s="5" t="s">
        <v>206</v>
      </c>
      <c r="AS108" s="5" t="s">
        <v>208</v>
      </c>
      <c r="AT108" s="5" t="s">
        <v>198</v>
      </c>
      <c r="AU108" s="5" t="s">
        <v>204</v>
      </c>
      <c r="AV108" s="5" t="s">
        <v>204</v>
      </c>
      <c r="AW108" s="5" t="s">
        <v>204</v>
      </c>
      <c r="AX108" s="5" t="s">
        <v>208</v>
      </c>
      <c r="AY108" s="5" t="s">
        <v>204</v>
      </c>
      <c r="AZ108" s="5" t="s">
        <v>653</v>
      </c>
    </row>
    <row r="109">
      <c r="A109" s="7">
        <v>45869.23125</v>
      </c>
      <c r="B109" s="7">
        <v>45869.236805555556</v>
      </c>
      <c r="C109" s="5" t="s">
        <v>99</v>
      </c>
      <c r="D109" s="5" t="s">
        <v>490</v>
      </c>
      <c r="E109" s="8">
        <v>100.0</v>
      </c>
      <c r="F109" s="8">
        <v>480.0</v>
      </c>
      <c r="G109" s="9" t="b">
        <v>1</v>
      </c>
      <c r="H109" s="7">
        <v>45869.236805555556</v>
      </c>
      <c r="I109" s="5" t="s">
        <v>654</v>
      </c>
      <c r="K109" s="10"/>
      <c r="L109" s="10"/>
      <c r="M109" s="10"/>
      <c r="N109" s="8">
        <v>60.1816</v>
      </c>
      <c r="O109" s="8">
        <v>24.8368</v>
      </c>
      <c r="P109" s="5" t="s">
        <v>194</v>
      </c>
      <c r="Q109" s="5" t="s">
        <v>195</v>
      </c>
      <c r="R109" s="5" t="s">
        <v>655</v>
      </c>
      <c r="S109" s="5" t="s">
        <v>197</v>
      </c>
      <c r="T109" s="5" t="s">
        <v>200</v>
      </c>
      <c r="U109" s="5" t="s">
        <v>208</v>
      </c>
      <c r="V109" s="5" t="s">
        <v>199</v>
      </c>
      <c r="W109" s="5" t="s">
        <v>203</v>
      </c>
      <c r="X109" s="5" t="s">
        <v>202</v>
      </c>
      <c r="Y109" s="5" t="s">
        <v>200</v>
      </c>
      <c r="Z109" s="5" t="s">
        <v>208</v>
      </c>
      <c r="AA109" s="5" t="s">
        <v>203</v>
      </c>
      <c r="AB109" s="5" t="s">
        <v>202</v>
      </c>
      <c r="AC109" s="5" t="s">
        <v>202</v>
      </c>
      <c r="AD109" s="5" t="s">
        <v>202</v>
      </c>
      <c r="AE109" s="5" t="s">
        <v>208</v>
      </c>
      <c r="AF109" s="5" t="s">
        <v>208</v>
      </c>
      <c r="AG109" s="5" t="s">
        <v>202</v>
      </c>
      <c r="AH109" s="5" t="s">
        <v>202</v>
      </c>
      <c r="AI109" s="5" t="s">
        <v>656</v>
      </c>
      <c r="AJ109" s="5" t="s">
        <v>206</v>
      </c>
      <c r="AK109" s="5" t="s">
        <v>202</v>
      </c>
      <c r="AL109" s="5" t="s">
        <v>202</v>
      </c>
      <c r="AM109" s="5" t="s">
        <v>202</v>
      </c>
      <c r="AN109" s="5" t="s">
        <v>202</v>
      </c>
      <c r="AO109" s="5" t="s">
        <v>203</v>
      </c>
      <c r="AP109" s="5" t="s">
        <v>202</v>
      </c>
      <c r="AQ109" s="5" t="s">
        <v>657</v>
      </c>
      <c r="AR109" s="5" t="s">
        <v>206</v>
      </c>
      <c r="AS109" s="5" t="s">
        <v>202</v>
      </c>
      <c r="AT109" s="5" t="s">
        <v>201</v>
      </c>
      <c r="AU109" s="5" t="s">
        <v>202</v>
      </c>
      <c r="AV109" s="5" t="s">
        <v>200</v>
      </c>
      <c r="AW109" s="5" t="s">
        <v>200</v>
      </c>
      <c r="AX109" s="5" t="s">
        <v>200</v>
      </c>
      <c r="AY109" s="5" t="s">
        <v>208</v>
      </c>
      <c r="AZ109" s="5" t="s">
        <v>658</v>
      </c>
    </row>
    <row r="110">
      <c r="A110" s="7">
        <v>45869.24444444444</v>
      </c>
      <c r="B110" s="7">
        <v>45869.25069444445</v>
      </c>
      <c r="C110" s="5" t="s">
        <v>99</v>
      </c>
      <c r="D110" s="5" t="s">
        <v>490</v>
      </c>
      <c r="E110" s="8">
        <v>100.0</v>
      </c>
      <c r="F110" s="8">
        <v>539.0</v>
      </c>
      <c r="G110" s="9" t="b">
        <v>1</v>
      </c>
      <c r="H110" s="7">
        <v>45869.25069444445</v>
      </c>
      <c r="I110" s="5" t="s">
        <v>659</v>
      </c>
      <c r="K110" s="10"/>
      <c r="L110" s="10"/>
      <c r="M110" s="10"/>
      <c r="N110" s="8">
        <v>60.1816</v>
      </c>
      <c r="O110" s="8">
        <v>24.8368</v>
      </c>
      <c r="P110" s="5" t="s">
        <v>194</v>
      </c>
      <c r="Q110" s="5" t="s">
        <v>195</v>
      </c>
      <c r="R110" s="5" t="s">
        <v>655</v>
      </c>
      <c r="S110" s="5" t="s">
        <v>263</v>
      </c>
      <c r="T110" s="5" t="s">
        <v>200</v>
      </c>
      <c r="U110" s="5" t="s">
        <v>208</v>
      </c>
      <c r="V110" s="5" t="s">
        <v>199</v>
      </c>
      <c r="W110" s="5" t="s">
        <v>198</v>
      </c>
      <c r="X110" s="5" t="s">
        <v>198</v>
      </c>
      <c r="Y110" s="5" t="s">
        <v>203</v>
      </c>
      <c r="Z110" s="5" t="s">
        <v>204</v>
      </c>
      <c r="AA110" s="5" t="s">
        <v>208</v>
      </c>
      <c r="AB110" s="5" t="s">
        <v>203</v>
      </c>
      <c r="AC110" s="5" t="s">
        <v>198</v>
      </c>
      <c r="AD110" s="5" t="s">
        <v>203</v>
      </c>
      <c r="AE110" s="5" t="s">
        <v>204</v>
      </c>
      <c r="AF110" s="5" t="s">
        <v>208</v>
      </c>
      <c r="AG110" s="5" t="s">
        <v>198</v>
      </c>
      <c r="AH110" s="5" t="s">
        <v>202</v>
      </c>
      <c r="AI110" s="5" t="s">
        <v>660</v>
      </c>
      <c r="AJ110" s="5" t="s">
        <v>206</v>
      </c>
      <c r="AK110" s="5" t="s">
        <v>203</v>
      </c>
      <c r="AL110" s="5" t="s">
        <v>200</v>
      </c>
      <c r="AM110" s="5" t="s">
        <v>200</v>
      </c>
      <c r="AN110" s="5" t="s">
        <v>198</v>
      </c>
      <c r="AO110" s="5" t="s">
        <v>203</v>
      </c>
      <c r="AP110" s="5" t="s">
        <v>200</v>
      </c>
      <c r="AQ110" s="5" t="s">
        <v>661</v>
      </c>
      <c r="AR110" s="5" t="s">
        <v>206</v>
      </c>
      <c r="AS110" s="5" t="s">
        <v>202</v>
      </c>
      <c r="AT110" s="5" t="s">
        <v>202</v>
      </c>
      <c r="AU110" s="5" t="s">
        <v>202</v>
      </c>
      <c r="AV110" s="5" t="s">
        <v>200</v>
      </c>
      <c r="AW110" s="5" t="s">
        <v>200</v>
      </c>
      <c r="AX110" s="5" t="s">
        <v>200</v>
      </c>
      <c r="AY110" s="5" t="s">
        <v>208</v>
      </c>
      <c r="AZ110" s="5" t="s">
        <v>662</v>
      </c>
    </row>
    <row r="111">
      <c r="A111" s="7">
        <v>45869.240277777775</v>
      </c>
      <c r="B111" s="7">
        <v>45869.25347222222</v>
      </c>
      <c r="C111" s="5" t="s">
        <v>99</v>
      </c>
      <c r="D111" s="5" t="s">
        <v>389</v>
      </c>
      <c r="E111" s="8">
        <v>100.0</v>
      </c>
      <c r="F111" s="8">
        <v>1112.0</v>
      </c>
      <c r="G111" s="9" t="b">
        <v>1</v>
      </c>
      <c r="H111" s="7">
        <v>45869.25347222222</v>
      </c>
      <c r="I111" s="5" t="s">
        <v>663</v>
      </c>
      <c r="K111" s="10"/>
      <c r="L111" s="10"/>
      <c r="M111" s="10"/>
      <c r="N111" s="8">
        <v>60.1816</v>
      </c>
      <c r="O111" s="8">
        <v>24.8368</v>
      </c>
      <c r="P111" s="5" t="s">
        <v>194</v>
      </c>
      <c r="Q111" s="5" t="s">
        <v>195</v>
      </c>
      <c r="R111" s="5" t="s">
        <v>664</v>
      </c>
      <c r="S111" s="5" t="s">
        <v>197</v>
      </c>
      <c r="T111" s="5" t="s">
        <v>202</v>
      </c>
      <c r="U111" s="5" t="s">
        <v>202</v>
      </c>
      <c r="V111" s="5" t="s">
        <v>199</v>
      </c>
      <c r="W111" s="5" t="s">
        <v>200</v>
      </c>
      <c r="X111" s="5" t="s">
        <v>200</v>
      </c>
      <c r="Y111" s="5" t="s">
        <v>203</v>
      </c>
      <c r="Z111" s="5" t="s">
        <v>200</v>
      </c>
      <c r="AA111" s="5" t="s">
        <v>198</v>
      </c>
      <c r="AB111" s="5" t="s">
        <v>202</v>
      </c>
      <c r="AC111" s="5" t="s">
        <v>202</v>
      </c>
      <c r="AD111" s="5" t="s">
        <v>200</v>
      </c>
      <c r="AE111" s="5" t="s">
        <v>200</v>
      </c>
      <c r="AF111" s="5" t="s">
        <v>203</v>
      </c>
      <c r="AG111" s="5" t="s">
        <v>202</v>
      </c>
      <c r="AH111" s="5" t="s">
        <v>203</v>
      </c>
      <c r="AI111" s="5" t="s">
        <v>665</v>
      </c>
      <c r="AJ111" s="5" t="s">
        <v>206</v>
      </c>
      <c r="AK111" s="5" t="s">
        <v>203</v>
      </c>
      <c r="AL111" s="5" t="s">
        <v>203</v>
      </c>
      <c r="AM111" s="5" t="s">
        <v>200</v>
      </c>
      <c r="AN111" s="5" t="s">
        <v>198</v>
      </c>
      <c r="AO111" s="5" t="s">
        <v>202</v>
      </c>
      <c r="AP111" s="5" t="s">
        <v>200</v>
      </c>
      <c r="AQ111" s="5" t="s">
        <v>666</v>
      </c>
      <c r="AR111" s="5" t="s">
        <v>206</v>
      </c>
      <c r="AS111" s="5" t="s">
        <v>203</v>
      </c>
      <c r="AT111" s="5" t="s">
        <v>200</v>
      </c>
      <c r="AU111" s="5" t="s">
        <v>201</v>
      </c>
      <c r="AV111" s="5" t="s">
        <v>204</v>
      </c>
      <c r="AW111" s="5" t="s">
        <v>204</v>
      </c>
      <c r="AX111" s="5" t="s">
        <v>208</v>
      </c>
      <c r="AY111" s="5" t="s">
        <v>204</v>
      </c>
      <c r="AZ111" s="5" t="s">
        <v>667</v>
      </c>
    </row>
    <row r="112">
      <c r="A112" s="7">
        <v>45869.245833333334</v>
      </c>
      <c r="B112" s="7">
        <v>45869.263194444444</v>
      </c>
      <c r="C112" s="5" t="s">
        <v>99</v>
      </c>
      <c r="D112" s="5" t="s">
        <v>529</v>
      </c>
      <c r="E112" s="8">
        <v>100.0</v>
      </c>
      <c r="F112" s="8">
        <v>1458.0</v>
      </c>
      <c r="G112" s="9" t="b">
        <v>1</v>
      </c>
      <c r="H112" s="7">
        <v>45869.263194444444</v>
      </c>
      <c r="I112" s="5" t="s">
        <v>668</v>
      </c>
      <c r="K112" s="10"/>
      <c r="L112" s="10"/>
      <c r="M112" s="10"/>
      <c r="N112" s="8">
        <v>60.1816</v>
      </c>
      <c r="O112" s="8">
        <v>24.8368</v>
      </c>
      <c r="P112" s="5" t="s">
        <v>194</v>
      </c>
      <c r="Q112" s="5" t="s">
        <v>195</v>
      </c>
      <c r="R112" s="5" t="s">
        <v>669</v>
      </c>
      <c r="S112" s="5" t="s">
        <v>211</v>
      </c>
      <c r="T112" s="5" t="s">
        <v>200</v>
      </c>
      <c r="U112" s="5" t="s">
        <v>201</v>
      </c>
      <c r="V112" s="5" t="s">
        <v>199</v>
      </c>
      <c r="W112" s="5" t="s">
        <v>202</v>
      </c>
      <c r="X112" s="5" t="s">
        <v>202</v>
      </c>
      <c r="Y112" s="5" t="s">
        <v>208</v>
      </c>
      <c r="Z112" s="5" t="s">
        <v>201</v>
      </c>
      <c r="AA112" s="5" t="s">
        <v>201</v>
      </c>
      <c r="AB112" s="5" t="s">
        <v>202</v>
      </c>
      <c r="AC112" s="5" t="s">
        <v>202</v>
      </c>
      <c r="AD112" s="5" t="s">
        <v>203</v>
      </c>
      <c r="AE112" s="5" t="s">
        <v>198</v>
      </c>
      <c r="AF112" s="5" t="s">
        <v>203</v>
      </c>
      <c r="AG112" s="5" t="s">
        <v>201</v>
      </c>
      <c r="AH112" s="5" t="s">
        <v>200</v>
      </c>
      <c r="AI112" s="5" t="s">
        <v>670</v>
      </c>
      <c r="AJ112" s="5" t="s">
        <v>206</v>
      </c>
      <c r="AK112" s="5" t="s">
        <v>203</v>
      </c>
      <c r="AL112" s="5" t="s">
        <v>201</v>
      </c>
      <c r="AM112" s="5" t="s">
        <v>202</v>
      </c>
      <c r="AN112" s="5" t="s">
        <v>201</v>
      </c>
      <c r="AO112" s="5" t="s">
        <v>202</v>
      </c>
      <c r="AP112" s="5" t="s">
        <v>201</v>
      </c>
      <c r="AQ112" s="5" t="s">
        <v>671</v>
      </c>
      <c r="AR112" s="5" t="s">
        <v>206</v>
      </c>
      <c r="AS112" s="5" t="s">
        <v>201</v>
      </c>
      <c r="AT112" s="5" t="s">
        <v>198</v>
      </c>
      <c r="AU112" s="5" t="s">
        <v>202</v>
      </c>
      <c r="AV112" s="5" t="s">
        <v>204</v>
      </c>
      <c r="AW112" s="5" t="s">
        <v>204</v>
      </c>
      <c r="AX112" s="5" t="s">
        <v>204</v>
      </c>
      <c r="AY112" s="5" t="s">
        <v>204</v>
      </c>
      <c r="AZ112" s="5" t="s">
        <v>672</v>
      </c>
    </row>
    <row r="113">
      <c r="A113" s="7">
        <v>45869.25833333333</v>
      </c>
      <c r="B113" s="7">
        <v>45869.268055555556</v>
      </c>
      <c r="C113" s="5" t="s">
        <v>99</v>
      </c>
      <c r="D113" s="5" t="s">
        <v>389</v>
      </c>
      <c r="E113" s="8">
        <v>100.0</v>
      </c>
      <c r="F113" s="8">
        <v>841.0</v>
      </c>
      <c r="G113" s="9" t="b">
        <v>1</v>
      </c>
      <c r="H113" s="7">
        <v>45869.268055555556</v>
      </c>
      <c r="I113" s="5" t="s">
        <v>673</v>
      </c>
      <c r="K113" s="10"/>
      <c r="L113" s="10"/>
      <c r="M113" s="10"/>
      <c r="N113" s="8">
        <v>60.1816</v>
      </c>
      <c r="O113" s="8">
        <v>24.8368</v>
      </c>
      <c r="P113" s="5" t="s">
        <v>194</v>
      </c>
      <c r="Q113" s="5" t="s">
        <v>195</v>
      </c>
      <c r="R113" s="5" t="s">
        <v>674</v>
      </c>
      <c r="S113" s="5" t="s">
        <v>211</v>
      </c>
      <c r="T113" s="5" t="s">
        <v>198</v>
      </c>
      <c r="U113" s="5" t="s">
        <v>200</v>
      </c>
      <c r="V113" s="5" t="s">
        <v>199</v>
      </c>
      <c r="W113" s="5" t="s">
        <v>202</v>
      </c>
      <c r="X113" s="5" t="s">
        <v>202</v>
      </c>
      <c r="Y113" s="5" t="s">
        <v>203</v>
      </c>
      <c r="Z113" s="5" t="s">
        <v>200</v>
      </c>
      <c r="AA113" s="5" t="s">
        <v>200</v>
      </c>
      <c r="AB113" s="5" t="s">
        <v>202</v>
      </c>
      <c r="AC113" s="5" t="s">
        <v>202</v>
      </c>
      <c r="AD113" s="5" t="s">
        <v>203</v>
      </c>
      <c r="AE113" s="5" t="s">
        <v>203</v>
      </c>
      <c r="AF113" s="5" t="s">
        <v>200</v>
      </c>
      <c r="AG113" s="5" t="s">
        <v>202</v>
      </c>
      <c r="AH113" s="5" t="s">
        <v>200</v>
      </c>
      <c r="AI113" s="5" t="s">
        <v>675</v>
      </c>
      <c r="AJ113" s="5" t="s">
        <v>206</v>
      </c>
      <c r="AK113" s="5" t="s">
        <v>200</v>
      </c>
      <c r="AL113" s="5" t="s">
        <v>202</v>
      </c>
      <c r="AM113" s="5" t="s">
        <v>200</v>
      </c>
      <c r="AN113" s="5" t="s">
        <v>203</v>
      </c>
      <c r="AO113" s="5" t="s">
        <v>200</v>
      </c>
      <c r="AP113" s="5" t="s">
        <v>200</v>
      </c>
      <c r="AQ113" s="5" t="s">
        <v>676</v>
      </c>
      <c r="AR113" s="5" t="s">
        <v>206</v>
      </c>
      <c r="AS113" s="5" t="s">
        <v>202</v>
      </c>
      <c r="AT113" s="5" t="s">
        <v>201</v>
      </c>
      <c r="AU113" s="5" t="s">
        <v>200</v>
      </c>
      <c r="AV113" s="5" t="s">
        <v>204</v>
      </c>
      <c r="AW113" s="5" t="s">
        <v>198</v>
      </c>
      <c r="AX113" s="5" t="s">
        <v>204</v>
      </c>
      <c r="AY113" s="5" t="s">
        <v>204</v>
      </c>
      <c r="AZ113" s="5" t="s">
        <v>677</v>
      </c>
    </row>
    <row r="114">
      <c r="A114" s="7">
        <v>45869.26666666667</v>
      </c>
      <c r="B114" s="7">
        <v>45869.277083333334</v>
      </c>
      <c r="C114" s="5" t="s">
        <v>99</v>
      </c>
      <c r="D114" s="5" t="s">
        <v>383</v>
      </c>
      <c r="E114" s="8">
        <v>100.0</v>
      </c>
      <c r="F114" s="8">
        <v>934.0</v>
      </c>
      <c r="G114" s="9" t="b">
        <v>1</v>
      </c>
      <c r="H114" s="7">
        <v>45869.277083333334</v>
      </c>
      <c r="I114" s="5" t="s">
        <v>678</v>
      </c>
      <c r="K114" s="10"/>
      <c r="L114" s="10"/>
      <c r="M114" s="10"/>
      <c r="N114" s="8">
        <v>60.1816</v>
      </c>
      <c r="O114" s="8">
        <v>24.8368</v>
      </c>
      <c r="P114" s="5" t="s">
        <v>194</v>
      </c>
      <c r="Q114" s="5" t="s">
        <v>195</v>
      </c>
      <c r="R114" s="5" t="s">
        <v>679</v>
      </c>
      <c r="S114" s="5" t="s">
        <v>216</v>
      </c>
      <c r="T114" s="5" t="s">
        <v>208</v>
      </c>
      <c r="U114" s="5" t="s">
        <v>208</v>
      </c>
      <c r="V114" s="5" t="s">
        <v>199</v>
      </c>
      <c r="W114" s="5" t="s">
        <v>203</v>
      </c>
      <c r="X114" s="5" t="s">
        <v>198</v>
      </c>
      <c r="Y114" s="5" t="s">
        <v>198</v>
      </c>
      <c r="Z114" s="5" t="s">
        <v>204</v>
      </c>
      <c r="AA114" s="5" t="s">
        <v>200</v>
      </c>
      <c r="AB114" s="5" t="s">
        <v>202</v>
      </c>
      <c r="AC114" s="5" t="s">
        <v>202</v>
      </c>
      <c r="AD114" s="5" t="s">
        <v>198</v>
      </c>
      <c r="AE114" s="5" t="s">
        <v>204</v>
      </c>
      <c r="AF114" s="5" t="s">
        <v>202</v>
      </c>
      <c r="AG114" s="5" t="s">
        <v>200</v>
      </c>
      <c r="AH114" s="5" t="s">
        <v>208</v>
      </c>
      <c r="AI114" s="5" t="s">
        <v>680</v>
      </c>
      <c r="AJ114" s="5" t="s">
        <v>206</v>
      </c>
      <c r="AK114" s="5" t="s">
        <v>208</v>
      </c>
      <c r="AL114" s="5" t="s">
        <v>208</v>
      </c>
      <c r="AM114" s="5" t="s">
        <v>198</v>
      </c>
      <c r="AN114" s="5" t="s">
        <v>208</v>
      </c>
      <c r="AO114" s="5" t="s">
        <v>204</v>
      </c>
      <c r="AP114" s="5" t="s">
        <v>200</v>
      </c>
      <c r="AQ114" s="5" t="s">
        <v>681</v>
      </c>
      <c r="AR114" s="5" t="s">
        <v>206</v>
      </c>
      <c r="AS114" s="5" t="s">
        <v>198</v>
      </c>
      <c r="AT114" s="5" t="s">
        <v>200</v>
      </c>
      <c r="AU114" s="5" t="s">
        <v>208</v>
      </c>
      <c r="AV114" s="5" t="s">
        <v>204</v>
      </c>
      <c r="AW114" s="5" t="s">
        <v>208</v>
      </c>
      <c r="AX114" s="5" t="s">
        <v>204</v>
      </c>
      <c r="AY114" s="5" t="s">
        <v>204</v>
      </c>
      <c r="AZ114" s="5" t="s">
        <v>682</v>
      </c>
    </row>
    <row r="115">
      <c r="A115" s="7">
        <v>45869.26875</v>
      </c>
      <c r="B115" s="7">
        <v>45869.27847222222</v>
      </c>
      <c r="C115" s="5" t="s">
        <v>99</v>
      </c>
      <c r="D115" s="5" t="s">
        <v>389</v>
      </c>
      <c r="E115" s="8">
        <v>100.0</v>
      </c>
      <c r="F115" s="8">
        <v>834.0</v>
      </c>
      <c r="G115" s="9" t="b">
        <v>1</v>
      </c>
      <c r="H115" s="7">
        <v>45869.27847222222</v>
      </c>
      <c r="I115" s="5" t="s">
        <v>683</v>
      </c>
      <c r="K115" s="10"/>
      <c r="L115" s="10"/>
      <c r="M115" s="10"/>
      <c r="N115" s="8">
        <v>60.1816</v>
      </c>
      <c r="O115" s="8">
        <v>24.8368</v>
      </c>
      <c r="P115" s="5" t="s">
        <v>194</v>
      </c>
      <c r="Q115" s="5" t="s">
        <v>195</v>
      </c>
      <c r="R115" s="5" t="s">
        <v>664</v>
      </c>
      <c r="S115" s="5" t="s">
        <v>216</v>
      </c>
      <c r="T115" s="5" t="s">
        <v>203</v>
      </c>
      <c r="U115" s="5" t="s">
        <v>208</v>
      </c>
      <c r="V115" s="5" t="s">
        <v>199</v>
      </c>
      <c r="W115" s="5" t="s">
        <v>203</v>
      </c>
      <c r="X115" s="5" t="s">
        <v>200</v>
      </c>
      <c r="Y115" s="5" t="s">
        <v>208</v>
      </c>
      <c r="Z115" s="5" t="s">
        <v>200</v>
      </c>
      <c r="AA115" s="5" t="s">
        <v>203</v>
      </c>
      <c r="AB115" s="5" t="s">
        <v>198</v>
      </c>
      <c r="AC115" s="5" t="s">
        <v>203</v>
      </c>
      <c r="AD115" s="5" t="s">
        <v>203</v>
      </c>
      <c r="AE115" s="5" t="s">
        <v>208</v>
      </c>
      <c r="AF115" s="5" t="s">
        <v>200</v>
      </c>
      <c r="AG115" s="5" t="s">
        <v>198</v>
      </c>
      <c r="AH115" s="5" t="s">
        <v>201</v>
      </c>
      <c r="AI115" s="5" t="s">
        <v>413</v>
      </c>
      <c r="AJ115" s="5" t="s">
        <v>206</v>
      </c>
      <c r="AK115" s="5" t="s">
        <v>200</v>
      </c>
      <c r="AL115" s="5" t="s">
        <v>202</v>
      </c>
      <c r="AM115" s="5" t="s">
        <v>200</v>
      </c>
      <c r="AN115" s="5" t="s">
        <v>202</v>
      </c>
      <c r="AO115" s="5" t="s">
        <v>200</v>
      </c>
      <c r="AP115" s="5" t="s">
        <v>202</v>
      </c>
      <c r="AQ115" s="5" t="s">
        <v>413</v>
      </c>
      <c r="AR115" s="5" t="s">
        <v>206</v>
      </c>
      <c r="AS115" s="5" t="s">
        <v>202</v>
      </c>
      <c r="AT115" s="5" t="s">
        <v>202</v>
      </c>
      <c r="AU115" s="5" t="s">
        <v>201</v>
      </c>
      <c r="AV115" s="5" t="s">
        <v>198</v>
      </c>
      <c r="AW115" s="5" t="s">
        <v>204</v>
      </c>
      <c r="AX115" s="5" t="s">
        <v>204</v>
      </c>
      <c r="AY115" s="5" t="s">
        <v>204</v>
      </c>
      <c r="AZ115" s="5" t="s">
        <v>413</v>
      </c>
    </row>
    <row r="116">
      <c r="A116" s="7">
        <v>45869.27291666667</v>
      </c>
      <c r="B116" s="7">
        <v>45869.28333333333</v>
      </c>
      <c r="C116" s="5" t="s">
        <v>99</v>
      </c>
      <c r="D116" s="5" t="s">
        <v>529</v>
      </c>
      <c r="E116" s="8">
        <v>100.0</v>
      </c>
      <c r="F116" s="8">
        <v>945.0</v>
      </c>
      <c r="G116" s="9" t="b">
        <v>1</v>
      </c>
      <c r="H116" s="7">
        <v>45869.28333333333</v>
      </c>
      <c r="I116" s="5" t="s">
        <v>684</v>
      </c>
      <c r="L116" s="10"/>
      <c r="M116" s="10"/>
      <c r="N116" s="8">
        <v>60.1816</v>
      </c>
      <c r="O116" s="8">
        <v>24.8368</v>
      </c>
      <c r="P116" s="5" t="s">
        <v>194</v>
      </c>
      <c r="Q116" s="5" t="s">
        <v>195</v>
      </c>
      <c r="R116" s="5" t="s">
        <v>669</v>
      </c>
      <c r="S116" s="5" t="s">
        <v>263</v>
      </c>
      <c r="T116" s="5" t="s">
        <v>201</v>
      </c>
      <c r="U116" s="5" t="s">
        <v>202</v>
      </c>
      <c r="V116" s="5" t="s">
        <v>199</v>
      </c>
      <c r="W116" s="5" t="s">
        <v>201</v>
      </c>
      <c r="X116" s="5" t="s">
        <v>202</v>
      </c>
      <c r="Y116" s="5" t="s">
        <v>201</v>
      </c>
      <c r="Z116" s="5" t="s">
        <v>202</v>
      </c>
      <c r="AA116" s="5" t="s">
        <v>201</v>
      </c>
      <c r="AB116" s="5" t="s">
        <v>201</v>
      </c>
      <c r="AC116" s="5" t="s">
        <v>202</v>
      </c>
      <c r="AD116" s="5" t="s">
        <v>201</v>
      </c>
      <c r="AE116" s="5" t="s">
        <v>202</v>
      </c>
      <c r="AF116" s="5" t="s">
        <v>204</v>
      </c>
      <c r="AG116" s="5" t="s">
        <v>201</v>
      </c>
      <c r="AH116" s="5" t="s">
        <v>202</v>
      </c>
      <c r="AI116" s="5" t="s">
        <v>685</v>
      </c>
      <c r="AJ116" s="5" t="s">
        <v>206</v>
      </c>
      <c r="AK116" s="5" t="s">
        <v>202</v>
      </c>
      <c r="AL116" s="5" t="s">
        <v>202</v>
      </c>
      <c r="AM116" s="5" t="s">
        <v>202</v>
      </c>
      <c r="AN116" s="5" t="s">
        <v>201</v>
      </c>
      <c r="AO116" s="5" t="s">
        <v>201</v>
      </c>
      <c r="AP116" s="5" t="s">
        <v>202</v>
      </c>
      <c r="AQ116" s="5" t="s">
        <v>686</v>
      </c>
      <c r="AR116" s="5" t="s">
        <v>206</v>
      </c>
      <c r="AS116" s="5" t="s">
        <v>201</v>
      </c>
      <c r="AT116" s="5" t="s">
        <v>202</v>
      </c>
      <c r="AU116" s="5" t="s">
        <v>201</v>
      </c>
      <c r="AV116" s="5" t="s">
        <v>204</v>
      </c>
      <c r="AW116" s="5" t="s">
        <v>204</v>
      </c>
      <c r="AX116" s="5" t="s">
        <v>204</v>
      </c>
      <c r="AY116" s="5" t="s">
        <v>204</v>
      </c>
      <c r="AZ116" s="5" t="s">
        <v>687</v>
      </c>
    </row>
    <row r="117">
      <c r="A117" s="7">
        <v>45869.27638888889</v>
      </c>
      <c r="B117" s="7">
        <v>45869.29513888889</v>
      </c>
      <c r="C117" s="5" t="s">
        <v>99</v>
      </c>
      <c r="D117" s="5" t="s">
        <v>490</v>
      </c>
      <c r="E117" s="8">
        <v>100.0</v>
      </c>
      <c r="F117" s="8">
        <v>1578.0</v>
      </c>
      <c r="G117" s="9" t="b">
        <v>1</v>
      </c>
      <c r="H117" s="7">
        <v>45869.29513888889</v>
      </c>
      <c r="I117" s="5" t="s">
        <v>688</v>
      </c>
      <c r="K117" s="10"/>
      <c r="L117" s="10"/>
      <c r="M117" s="10"/>
      <c r="N117" s="8">
        <v>60.1816</v>
      </c>
      <c r="O117" s="8">
        <v>24.8368</v>
      </c>
      <c r="P117" s="5" t="s">
        <v>194</v>
      </c>
      <c r="Q117" s="5" t="s">
        <v>195</v>
      </c>
      <c r="R117" s="5" t="s">
        <v>362</v>
      </c>
      <c r="S117" s="5" t="s">
        <v>211</v>
      </c>
      <c r="T117" s="5" t="s">
        <v>202</v>
      </c>
      <c r="U117" s="5" t="s">
        <v>201</v>
      </c>
      <c r="V117" s="5" t="s">
        <v>199</v>
      </c>
      <c r="W117" s="5" t="s">
        <v>202</v>
      </c>
      <c r="X117" s="5" t="s">
        <v>202</v>
      </c>
      <c r="Y117" s="5" t="s">
        <v>203</v>
      </c>
      <c r="Z117" s="5" t="s">
        <v>202</v>
      </c>
      <c r="AA117" s="5" t="s">
        <v>200</v>
      </c>
      <c r="AB117" s="5" t="s">
        <v>202</v>
      </c>
      <c r="AC117" s="5" t="s">
        <v>201</v>
      </c>
      <c r="AD117" s="5" t="s">
        <v>198</v>
      </c>
      <c r="AE117" s="5" t="s">
        <v>203</v>
      </c>
      <c r="AF117" s="5" t="s">
        <v>203</v>
      </c>
      <c r="AG117" s="5" t="s">
        <v>201</v>
      </c>
      <c r="AH117" s="5" t="s">
        <v>200</v>
      </c>
      <c r="AI117" s="5" t="s">
        <v>689</v>
      </c>
      <c r="AJ117" s="5" t="s">
        <v>206</v>
      </c>
      <c r="AK117" s="5" t="s">
        <v>203</v>
      </c>
      <c r="AL117" s="5" t="s">
        <v>202</v>
      </c>
      <c r="AM117" s="5" t="s">
        <v>201</v>
      </c>
      <c r="AN117" s="5" t="s">
        <v>201</v>
      </c>
      <c r="AO117" s="5" t="s">
        <v>201</v>
      </c>
      <c r="AP117" s="5" t="s">
        <v>200</v>
      </c>
      <c r="AQ117" s="5" t="s">
        <v>690</v>
      </c>
      <c r="AR117" s="5" t="s">
        <v>206</v>
      </c>
      <c r="AS117" s="5" t="s">
        <v>201</v>
      </c>
      <c r="AT117" s="5" t="s">
        <v>201</v>
      </c>
      <c r="AU117" s="5" t="s">
        <v>201</v>
      </c>
      <c r="AV117" s="5" t="s">
        <v>204</v>
      </c>
      <c r="AW117" s="5" t="s">
        <v>204</v>
      </c>
      <c r="AX117" s="5" t="s">
        <v>204</v>
      </c>
      <c r="AY117" s="5" t="s">
        <v>204</v>
      </c>
      <c r="AZ117" s="5" t="s">
        <v>691</v>
      </c>
    </row>
    <row r="118">
      <c r="A118" s="7">
        <v>45869.288194444445</v>
      </c>
      <c r="B118" s="7">
        <v>45869.29722222222</v>
      </c>
      <c r="C118" s="5" t="s">
        <v>99</v>
      </c>
      <c r="D118" s="5" t="s">
        <v>529</v>
      </c>
      <c r="E118" s="8">
        <v>100.0</v>
      </c>
      <c r="F118" s="8">
        <v>784.0</v>
      </c>
      <c r="G118" s="9" t="b">
        <v>1</v>
      </c>
      <c r="H118" s="7">
        <v>45869.29722222222</v>
      </c>
      <c r="I118" s="5" t="s">
        <v>692</v>
      </c>
      <c r="K118" s="10"/>
      <c r="L118" s="10"/>
      <c r="M118" s="10"/>
      <c r="N118" s="8">
        <v>60.1816</v>
      </c>
      <c r="O118" s="8">
        <v>24.8368</v>
      </c>
      <c r="P118" s="5" t="s">
        <v>194</v>
      </c>
      <c r="Q118" s="5" t="s">
        <v>195</v>
      </c>
      <c r="R118" s="5" t="s">
        <v>669</v>
      </c>
      <c r="S118" s="5" t="s">
        <v>216</v>
      </c>
      <c r="T118" s="5" t="s">
        <v>208</v>
      </c>
      <c r="U118" s="5" t="s">
        <v>202</v>
      </c>
      <c r="V118" s="5" t="s">
        <v>199</v>
      </c>
      <c r="W118" s="5" t="s">
        <v>201</v>
      </c>
      <c r="X118" s="5" t="s">
        <v>202</v>
      </c>
      <c r="Y118" s="5" t="s">
        <v>204</v>
      </c>
      <c r="Z118" s="5" t="s">
        <v>201</v>
      </c>
      <c r="AA118" s="5" t="s">
        <v>202</v>
      </c>
      <c r="AB118" s="5" t="s">
        <v>202</v>
      </c>
      <c r="AC118" s="5" t="s">
        <v>202</v>
      </c>
      <c r="AD118" s="5" t="s">
        <v>201</v>
      </c>
      <c r="AE118" s="5" t="s">
        <v>200</v>
      </c>
      <c r="AF118" s="5" t="s">
        <v>204</v>
      </c>
      <c r="AG118" s="5" t="s">
        <v>202</v>
      </c>
      <c r="AH118" s="5" t="s">
        <v>202</v>
      </c>
      <c r="AI118" s="5" t="s">
        <v>693</v>
      </c>
      <c r="AJ118" s="5" t="s">
        <v>206</v>
      </c>
      <c r="AK118" s="5" t="s">
        <v>201</v>
      </c>
      <c r="AL118" s="5" t="s">
        <v>202</v>
      </c>
      <c r="AM118" s="5" t="s">
        <v>201</v>
      </c>
      <c r="AN118" s="5" t="s">
        <v>201</v>
      </c>
      <c r="AO118" s="5" t="s">
        <v>201</v>
      </c>
      <c r="AP118" s="5" t="s">
        <v>202</v>
      </c>
      <c r="AQ118" s="5" t="s">
        <v>694</v>
      </c>
      <c r="AR118" s="5" t="s">
        <v>206</v>
      </c>
      <c r="AS118" s="5" t="s">
        <v>201</v>
      </c>
      <c r="AT118" s="5" t="s">
        <v>201</v>
      </c>
      <c r="AU118" s="5" t="s">
        <v>202</v>
      </c>
      <c r="AV118" s="5" t="s">
        <v>204</v>
      </c>
      <c r="AW118" s="5" t="s">
        <v>204</v>
      </c>
      <c r="AX118" s="5" t="s">
        <v>204</v>
      </c>
      <c r="AY118" s="5" t="s">
        <v>204</v>
      </c>
      <c r="AZ118" s="5" t="s">
        <v>695</v>
      </c>
    </row>
    <row r="119">
      <c r="A119" s="7">
        <v>45869.288194444445</v>
      </c>
      <c r="B119" s="7">
        <v>45869.30069444444</v>
      </c>
      <c r="C119" s="5" t="s">
        <v>99</v>
      </c>
      <c r="D119" s="5" t="s">
        <v>192</v>
      </c>
      <c r="E119" s="8">
        <v>100.0</v>
      </c>
      <c r="F119" s="8">
        <v>1071.0</v>
      </c>
      <c r="G119" s="9" t="b">
        <v>1</v>
      </c>
      <c r="H119" s="7">
        <v>45869.30069444444</v>
      </c>
      <c r="I119" s="5" t="s">
        <v>696</v>
      </c>
      <c r="K119" s="10"/>
      <c r="L119" s="10"/>
      <c r="M119" s="10"/>
      <c r="N119" s="8">
        <v>60.1816</v>
      </c>
      <c r="O119" s="8">
        <v>24.8368</v>
      </c>
      <c r="P119" s="5" t="s">
        <v>194</v>
      </c>
      <c r="Q119" s="5" t="s">
        <v>195</v>
      </c>
      <c r="R119" s="5" t="s">
        <v>679</v>
      </c>
      <c r="S119" s="5" t="s">
        <v>197</v>
      </c>
      <c r="T119" s="5" t="s">
        <v>202</v>
      </c>
      <c r="U119" s="5" t="s">
        <v>208</v>
      </c>
      <c r="V119" s="5" t="s">
        <v>199</v>
      </c>
      <c r="W119" s="5" t="s">
        <v>202</v>
      </c>
      <c r="X119" s="5" t="s">
        <v>202</v>
      </c>
      <c r="Y119" s="5" t="s">
        <v>203</v>
      </c>
      <c r="Z119" s="5" t="s">
        <v>208</v>
      </c>
      <c r="AA119" s="5" t="s">
        <v>200</v>
      </c>
      <c r="AB119" s="5" t="s">
        <v>202</v>
      </c>
      <c r="AC119" s="5" t="s">
        <v>202</v>
      </c>
      <c r="AD119" s="5" t="s">
        <v>198</v>
      </c>
      <c r="AE119" s="5" t="s">
        <v>208</v>
      </c>
      <c r="AF119" s="5" t="s">
        <v>203</v>
      </c>
      <c r="AG119" s="5" t="s">
        <v>200</v>
      </c>
      <c r="AH119" s="5" t="s">
        <v>200</v>
      </c>
      <c r="AI119" s="5" t="s">
        <v>697</v>
      </c>
      <c r="AJ119" s="5" t="s">
        <v>206</v>
      </c>
      <c r="AK119" s="5" t="s">
        <v>202</v>
      </c>
      <c r="AL119" s="5" t="s">
        <v>202</v>
      </c>
      <c r="AM119" s="5" t="s">
        <v>202</v>
      </c>
      <c r="AN119" s="5" t="s">
        <v>198</v>
      </c>
      <c r="AO119" s="5" t="s">
        <v>198</v>
      </c>
      <c r="AP119" s="5" t="s">
        <v>202</v>
      </c>
      <c r="AQ119" s="5" t="s">
        <v>698</v>
      </c>
      <c r="AR119" s="5" t="s">
        <v>206</v>
      </c>
      <c r="AS119" s="5" t="s">
        <v>202</v>
      </c>
      <c r="AT119" s="5" t="s">
        <v>202</v>
      </c>
      <c r="AU119" s="5" t="s">
        <v>202</v>
      </c>
      <c r="AV119" s="5" t="s">
        <v>200</v>
      </c>
      <c r="AW119" s="5" t="s">
        <v>203</v>
      </c>
      <c r="AX119" s="5" t="s">
        <v>200</v>
      </c>
      <c r="AY119" s="5" t="s">
        <v>198</v>
      </c>
      <c r="AZ119" s="5" t="s">
        <v>699</v>
      </c>
    </row>
    <row r="120">
      <c r="A120" s="7">
        <v>45869.30347222222</v>
      </c>
      <c r="B120" s="7">
        <v>45869.30902777778</v>
      </c>
      <c r="C120" s="5" t="s">
        <v>99</v>
      </c>
      <c r="D120" s="5" t="s">
        <v>389</v>
      </c>
      <c r="E120" s="8">
        <v>100.0</v>
      </c>
      <c r="F120" s="8">
        <v>500.0</v>
      </c>
      <c r="G120" s="9" t="b">
        <v>1</v>
      </c>
      <c r="H120" s="7">
        <v>45869.30902777778</v>
      </c>
      <c r="I120" s="5" t="s">
        <v>700</v>
      </c>
      <c r="K120" s="10"/>
      <c r="L120" s="10"/>
      <c r="M120" s="10"/>
      <c r="N120" s="8">
        <v>60.1816</v>
      </c>
      <c r="O120" s="8">
        <v>24.8368</v>
      </c>
      <c r="P120" s="5" t="s">
        <v>194</v>
      </c>
      <c r="Q120" s="5" t="s">
        <v>195</v>
      </c>
      <c r="R120" s="5" t="s">
        <v>679</v>
      </c>
      <c r="S120" s="5" t="s">
        <v>263</v>
      </c>
      <c r="T120" s="5" t="s">
        <v>202</v>
      </c>
      <c r="U120" s="5" t="s">
        <v>198</v>
      </c>
      <c r="V120" s="5" t="s">
        <v>199</v>
      </c>
      <c r="W120" s="5" t="s">
        <v>202</v>
      </c>
      <c r="X120" s="5" t="s">
        <v>202</v>
      </c>
      <c r="Y120" s="5" t="s">
        <v>203</v>
      </c>
      <c r="Z120" s="5" t="s">
        <v>208</v>
      </c>
      <c r="AA120" s="5" t="s">
        <v>202</v>
      </c>
      <c r="AB120" s="5" t="s">
        <v>202</v>
      </c>
      <c r="AC120" s="5" t="s">
        <v>202</v>
      </c>
      <c r="AD120" s="5" t="s">
        <v>202</v>
      </c>
      <c r="AE120" s="5" t="s">
        <v>198</v>
      </c>
      <c r="AF120" s="5" t="s">
        <v>202</v>
      </c>
      <c r="AG120" s="5" t="s">
        <v>202</v>
      </c>
      <c r="AH120" s="5" t="s">
        <v>202</v>
      </c>
      <c r="AI120" s="5" t="s">
        <v>701</v>
      </c>
      <c r="AJ120" s="5" t="s">
        <v>206</v>
      </c>
      <c r="AK120" s="5" t="s">
        <v>202</v>
      </c>
      <c r="AL120" s="5" t="s">
        <v>202</v>
      </c>
      <c r="AM120" s="5" t="s">
        <v>202</v>
      </c>
      <c r="AN120" s="5" t="s">
        <v>198</v>
      </c>
      <c r="AO120" s="5" t="s">
        <v>198</v>
      </c>
      <c r="AP120" s="5" t="s">
        <v>202</v>
      </c>
      <c r="AQ120" s="5" t="s">
        <v>702</v>
      </c>
      <c r="AR120" s="5" t="s">
        <v>206</v>
      </c>
      <c r="AS120" s="5" t="s">
        <v>202</v>
      </c>
      <c r="AT120" s="5" t="s">
        <v>202</v>
      </c>
      <c r="AU120" s="5" t="s">
        <v>202</v>
      </c>
      <c r="AV120" s="5" t="s">
        <v>200</v>
      </c>
      <c r="AW120" s="5" t="s">
        <v>203</v>
      </c>
      <c r="AX120" s="5" t="s">
        <v>200</v>
      </c>
      <c r="AY120" s="5" t="s">
        <v>198</v>
      </c>
      <c r="AZ120" s="5" t="s">
        <v>703</v>
      </c>
    </row>
    <row r="121">
      <c r="A121" s="7">
        <v>45869.30069444444</v>
      </c>
      <c r="B121" s="7">
        <v>45869.31805555556</v>
      </c>
      <c r="C121" s="5" t="s">
        <v>99</v>
      </c>
      <c r="D121" s="5" t="s">
        <v>490</v>
      </c>
      <c r="E121" s="8">
        <v>100.0</v>
      </c>
      <c r="F121" s="8">
        <v>1459.0</v>
      </c>
      <c r="G121" s="9" t="b">
        <v>1</v>
      </c>
      <c r="H121" s="7">
        <v>45869.31805555556</v>
      </c>
      <c r="I121" s="5" t="s">
        <v>704</v>
      </c>
      <c r="K121" s="10"/>
      <c r="L121" s="10"/>
      <c r="M121" s="10"/>
      <c r="N121" s="8">
        <v>60.1816</v>
      </c>
      <c r="O121" s="8">
        <v>24.8368</v>
      </c>
      <c r="P121" s="5" t="s">
        <v>194</v>
      </c>
      <c r="Q121" s="5" t="s">
        <v>195</v>
      </c>
      <c r="R121" s="5" t="s">
        <v>362</v>
      </c>
      <c r="S121" s="5" t="s">
        <v>197</v>
      </c>
      <c r="T121" s="5" t="s">
        <v>202</v>
      </c>
      <c r="U121" s="5" t="s">
        <v>202</v>
      </c>
      <c r="V121" s="5" t="s">
        <v>199</v>
      </c>
      <c r="W121" s="5" t="s">
        <v>202</v>
      </c>
      <c r="X121" s="5" t="s">
        <v>200</v>
      </c>
      <c r="Y121" s="5" t="s">
        <v>202</v>
      </c>
      <c r="Z121" s="5" t="s">
        <v>202</v>
      </c>
      <c r="AA121" s="5" t="s">
        <v>202</v>
      </c>
      <c r="AB121" s="5" t="s">
        <v>201</v>
      </c>
      <c r="AC121" s="5" t="s">
        <v>201</v>
      </c>
      <c r="AD121" s="5" t="s">
        <v>201</v>
      </c>
      <c r="AE121" s="5" t="s">
        <v>203</v>
      </c>
      <c r="AF121" s="5" t="s">
        <v>198</v>
      </c>
      <c r="AG121" s="5" t="s">
        <v>201</v>
      </c>
      <c r="AH121" s="5" t="s">
        <v>200</v>
      </c>
      <c r="AI121" s="5" t="s">
        <v>705</v>
      </c>
      <c r="AJ121" s="5" t="s">
        <v>206</v>
      </c>
      <c r="AK121" s="5" t="s">
        <v>202</v>
      </c>
      <c r="AL121" s="5" t="s">
        <v>202</v>
      </c>
      <c r="AM121" s="5" t="s">
        <v>201</v>
      </c>
      <c r="AN121" s="5" t="s">
        <v>202</v>
      </c>
      <c r="AO121" s="5" t="s">
        <v>202</v>
      </c>
      <c r="AP121" s="5" t="s">
        <v>203</v>
      </c>
      <c r="AQ121" s="5" t="s">
        <v>706</v>
      </c>
      <c r="AR121" s="5" t="s">
        <v>206</v>
      </c>
      <c r="AS121" s="5" t="s">
        <v>201</v>
      </c>
      <c r="AT121" s="5" t="s">
        <v>200</v>
      </c>
      <c r="AU121" s="5" t="s">
        <v>200</v>
      </c>
      <c r="AV121" s="5" t="s">
        <v>208</v>
      </c>
      <c r="AW121" s="5" t="s">
        <v>204</v>
      </c>
      <c r="AX121" s="5" t="s">
        <v>204</v>
      </c>
      <c r="AY121" s="5" t="s">
        <v>198</v>
      </c>
      <c r="AZ121" s="5" t="s">
        <v>707</v>
      </c>
    </row>
    <row r="122">
      <c r="A122" s="7">
        <v>45869.30694444444</v>
      </c>
      <c r="B122" s="7">
        <v>45869.31805555556</v>
      </c>
      <c r="C122" s="5" t="s">
        <v>99</v>
      </c>
      <c r="D122" s="5" t="s">
        <v>529</v>
      </c>
      <c r="E122" s="8">
        <v>100.0</v>
      </c>
      <c r="F122" s="8">
        <v>967.0</v>
      </c>
      <c r="G122" s="9" t="b">
        <v>1</v>
      </c>
      <c r="H122" s="7">
        <v>45869.31805555556</v>
      </c>
      <c r="I122" s="5" t="s">
        <v>708</v>
      </c>
      <c r="K122" s="10"/>
      <c r="L122" s="10"/>
      <c r="M122" s="10"/>
      <c r="N122" s="8">
        <v>60.1816</v>
      </c>
      <c r="O122" s="8">
        <v>24.8368</v>
      </c>
      <c r="P122" s="5" t="s">
        <v>194</v>
      </c>
      <c r="Q122" s="5" t="s">
        <v>195</v>
      </c>
      <c r="R122" s="5" t="s">
        <v>669</v>
      </c>
      <c r="S122" s="5" t="s">
        <v>197</v>
      </c>
      <c r="T122" s="5" t="s">
        <v>201</v>
      </c>
      <c r="U122" s="5" t="s">
        <v>201</v>
      </c>
      <c r="V122" s="5" t="s">
        <v>199</v>
      </c>
      <c r="W122" s="5" t="s">
        <v>198</v>
      </c>
      <c r="X122" s="5" t="s">
        <v>202</v>
      </c>
      <c r="Y122" s="5" t="s">
        <v>201</v>
      </c>
      <c r="Z122" s="5" t="s">
        <v>201</v>
      </c>
      <c r="AA122" s="5" t="s">
        <v>202</v>
      </c>
      <c r="AB122" s="5" t="s">
        <v>202</v>
      </c>
      <c r="AC122" s="5" t="s">
        <v>202</v>
      </c>
      <c r="AD122" s="5" t="s">
        <v>198</v>
      </c>
      <c r="AE122" s="5" t="s">
        <v>202</v>
      </c>
      <c r="AF122" s="5" t="s">
        <v>204</v>
      </c>
      <c r="AG122" s="5" t="s">
        <v>202</v>
      </c>
      <c r="AH122" s="5" t="s">
        <v>200</v>
      </c>
      <c r="AI122" s="5" t="s">
        <v>709</v>
      </c>
      <c r="AJ122" s="5" t="s">
        <v>206</v>
      </c>
      <c r="AK122" s="5" t="s">
        <v>202</v>
      </c>
      <c r="AL122" s="5" t="s">
        <v>202</v>
      </c>
      <c r="AM122" s="5" t="s">
        <v>198</v>
      </c>
      <c r="AN122" s="5" t="s">
        <v>201</v>
      </c>
      <c r="AO122" s="5" t="s">
        <v>201</v>
      </c>
      <c r="AP122" s="5" t="s">
        <v>201</v>
      </c>
      <c r="AQ122" s="5" t="s">
        <v>710</v>
      </c>
      <c r="AR122" s="5" t="s">
        <v>206</v>
      </c>
      <c r="AS122" s="5" t="s">
        <v>201</v>
      </c>
      <c r="AT122" s="5" t="s">
        <v>201</v>
      </c>
      <c r="AU122" s="5" t="s">
        <v>201</v>
      </c>
      <c r="AV122" s="5" t="s">
        <v>204</v>
      </c>
      <c r="AW122" s="5" t="s">
        <v>204</v>
      </c>
      <c r="AX122" s="5" t="s">
        <v>204</v>
      </c>
      <c r="AY122" s="5" t="s">
        <v>204</v>
      </c>
      <c r="AZ122" s="5" t="s">
        <v>711</v>
      </c>
    </row>
    <row r="123">
      <c r="A123" s="7">
        <v>45869.30972222222</v>
      </c>
      <c r="B123" s="7">
        <v>45869.31875</v>
      </c>
      <c r="C123" s="5" t="s">
        <v>99</v>
      </c>
      <c r="D123" s="5" t="s">
        <v>389</v>
      </c>
      <c r="E123" s="8">
        <v>100.0</v>
      </c>
      <c r="F123" s="8">
        <v>813.0</v>
      </c>
      <c r="G123" s="9" t="b">
        <v>1</v>
      </c>
      <c r="H123" s="7">
        <v>45869.31875</v>
      </c>
      <c r="I123" s="5" t="s">
        <v>712</v>
      </c>
      <c r="K123" s="10"/>
      <c r="L123" s="10"/>
      <c r="M123" s="10"/>
      <c r="N123" s="8">
        <v>60.1816</v>
      </c>
      <c r="O123" s="8">
        <v>24.8368</v>
      </c>
      <c r="P123" s="5" t="s">
        <v>194</v>
      </c>
      <c r="Q123" s="5" t="s">
        <v>195</v>
      </c>
      <c r="R123" s="5" t="s">
        <v>679</v>
      </c>
      <c r="S123" s="5" t="s">
        <v>211</v>
      </c>
      <c r="T123" s="5" t="s">
        <v>203</v>
      </c>
      <c r="U123" s="5" t="s">
        <v>208</v>
      </c>
      <c r="V123" s="5" t="s">
        <v>199</v>
      </c>
      <c r="W123" s="5" t="s">
        <v>200</v>
      </c>
      <c r="X123" s="5" t="s">
        <v>202</v>
      </c>
      <c r="Y123" s="5" t="s">
        <v>203</v>
      </c>
      <c r="Z123" s="5" t="s">
        <v>208</v>
      </c>
      <c r="AA123" s="5" t="s">
        <v>200</v>
      </c>
      <c r="AB123" s="5" t="s">
        <v>202</v>
      </c>
      <c r="AC123" s="5" t="s">
        <v>202</v>
      </c>
      <c r="AD123" s="5" t="s">
        <v>200</v>
      </c>
      <c r="AE123" s="5" t="s">
        <v>208</v>
      </c>
      <c r="AF123" s="5" t="s">
        <v>198</v>
      </c>
      <c r="AG123" s="5" t="s">
        <v>202</v>
      </c>
      <c r="AH123" s="5" t="s">
        <v>202</v>
      </c>
      <c r="AI123" s="5" t="s">
        <v>713</v>
      </c>
      <c r="AJ123" s="5" t="s">
        <v>206</v>
      </c>
      <c r="AK123" s="5" t="s">
        <v>202</v>
      </c>
      <c r="AL123" s="5" t="s">
        <v>202</v>
      </c>
      <c r="AM123" s="5" t="s">
        <v>202</v>
      </c>
      <c r="AN123" s="5" t="s">
        <v>200</v>
      </c>
      <c r="AO123" s="5" t="s">
        <v>200</v>
      </c>
      <c r="AP123" s="5" t="s">
        <v>202</v>
      </c>
      <c r="AQ123" s="5" t="s">
        <v>714</v>
      </c>
      <c r="AR123" s="5" t="s">
        <v>206</v>
      </c>
      <c r="AS123" s="5" t="s">
        <v>202</v>
      </c>
      <c r="AT123" s="5" t="s">
        <v>202</v>
      </c>
      <c r="AU123" s="5" t="s">
        <v>200</v>
      </c>
      <c r="AV123" s="5" t="s">
        <v>204</v>
      </c>
      <c r="AW123" s="5" t="s">
        <v>204</v>
      </c>
      <c r="AX123" s="5" t="s">
        <v>204</v>
      </c>
      <c r="AY123" s="5" t="s">
        <v>204</v>
      </c>
      <c r="AZ123" s="5" t="s">
        <v>715</v>
      </c>
    </row>
    <row r="124">
      <c r="A124" s="7">
        <v>45869.40277777778</v>
      </c>
      <c r="B124" s="7">
        <v>45869.41527777778</v>
      </c>
      <c r="C124" s="5" t="s">
        <v>99</v>
      </c>
      <c r="D124" s="5" t="s">
        <v>716</v>
      </c>
      <c r="E124" s="8">
        <v>100.0</v>
      </c>
      <c r="F124" s="8">
        <v>1099.0</v>
      </c>
      <c r="G124" s="9" t="b">
        <v>1</v>
      </c>
      <c r="H124" s="7">
        <v>45869.41527777778</v>
      </c>
      <c r="I124" s="5" t="s">
        <v>717</v>
      </c>
      <c r="K124" s="10"/>
      <c r="L124" s="10"/>
      <c r="M124" s="10"/>
      <c r="N124" s="8">
        <v>60.1872</v>
      </c>
      <c r="O124" s="8">
        <v>24.9585</v>
      </c>
      <c r="P124" s="5" t="s">
        <v>194</v>
      </c>
      <c r="Q124" s="5" t="s">
        <v>195</v>
      </c>
      <c r="R124" s="5" t="s">
        <v>674</v>
      </c>
      <c r="S124" s="5" t="s">
        <v>263</v>
      </c>
      <c r="T124" s="5" t="s">
        <v>202</v>
      </c>
      <c r="U124" s="5" t="s">
        <v>200</v>
      </c>
      <c r="V124" s="5" t="s">
        <v>199</v>
      </c>
      <c r="W124" s="5" t="s">
        <v>203</v>
      </c>
      <c r="X124" s="5" t="s">
        <v>200</v>
      </c>
      <c r="Y124" s="5" t="s">
        <v>200</v>
      </c>
      <c r="Z124" s="5" t="s">
        <v>200</v>
      </c>
      <c r="AA124" s="5" t="s">
        <v>200</v>
      </c>
      <c r="AB124" s="5" t="s">
        <v>203</v>
      </c>
      <c r="AC124" s="5" t="s">
        <v>203</v>
      </c>
      <c r="AD124" s="5" t="s">
        <v>200</v>
      </c>
      <c r="AE124" s="5" t="s">
        <v>208</v>
      </c>
      <c r="AF124" s="5" t="s">
        <v>200</v>
      </c>
      <c r="AG124" s="5" t="s">
        <v>203</v>
      </c>
      <c r="AH124" s="5" t="s">
        <v>202</v>
      </c>
      <c r="AI124" s="5" t="s">
        <v>413</v>
      </c>
      <c r="AJ124" s="5" t="s">
        <v>206</v>
      </c>
      <c r="AK124" s="5" t="s">
        <v>203</v>
      </c>
      <c r="AL124" s="5" t="s">
        <v>200</v>
      </c>
      <c r="AM124" s="5" t="s">
        <v>200</v>
      </c>
      <c r="AN124" s="5" t="s">
        <v>200</v>
      </c>
      <c r="AO124" s="5" t="s">
        <v>200</v>
      </c>
      <c r="AP124" s="5" t="s">
        <v>202</v>
      </c>
      <c r="AQ124" s="5" t="s">
        <v>413</v>
      </c>
      <c r="AR124" s="5" t="s">
        <v>206</v>
      </c>
      <c r="AS124" s="5" t="s">
        <v>200</v>
      </c>
      <c r="AT124" s="5" t="s">
        <v>200</v>
      </c>
      <c r="AU124" s="5" t="s">
        <v>202</v>
      </c>
      <c r="AV124" s="5" t="s">
        <v>204</v>
      </c>
      <c r="AW124" s="5" t="s">
        <v>204</v>
      </c>
      <c r="AX124" s="5" t="s">
        <v>204</v>
      </c>
      <c r="AY124" s="5" t="s">
        <v>204</v>
      </c>
      <c r="AZ124" s="5" t="s">
        <v>413</v>
      </c>
    </row>
  </sheetData>
  <mergeCells count="126">
    <mergeCell ref="I2:J2"/>
    <mergeCell ref="I3:J3"/>
    <mergeCell ref="I4:K4"/>
    <mergeCell ref="I5:K5"/>
    <mergeCell ref="I6:J6"/>
    <mergeCell ref="I7:J7"/>
    <mergeCell ref="I8:J8"/>
    <mergeCell ref="I9:J9"/>
    <mergeCell ref="I10:J10"/>
    <mergeCell ref="I11:J11"/>
    <mergeCell ref="I12:J12"/>
    <mergeCell ref="I13:J13"/>
    <mergeCell ref="I14:J14"/>
    <mergeCell ref="I15:K15"/>
    <mergeCell ref="I16:J16"/>
    <mergeCell ref="I17:J17"/>
    <mergeCell ref="I18:J18"/>
    <mergeCell ref="I19:J19"/>
    <mergeCell ref="I20:K20"/>
    <mergeCell ref="I21:J21"/>
    <mergeCell ref="I22:J22"/>
    <mergeCell ref="I23:J23"/>
    <mergeCell ref="I24:J24"/>
    <mergeCell ref="I25:J25"/>
    <mergeCell ref="I26:J26"/>
    <mergeCell ref="I27:J27"/>
    <mergeCell ref="I28:J28"/>
    <mergeCell ref="I29:J29"/>
    <mergeCell ref="I30:J30"/>
    <mergeCell ref="I31:K31"/>
    <mergeCell ref="I32:J32"/>
    <mergeCell ref="I33:J33"/>
    <mergeCell ref="I34:J34"/>
    <mergeCell ref="I35:J35"/>
    <mergeCell ref="I36:K36"/>
    <mergeCell ref="I37:J37"/>
    <mergeCell ref="I38:J38"/>
    <mergeCell ref="I39:J39"/>
    <mergeCell ref="I40:J40"/>
    <mergeCell ref="I41:J41"/>
    <mergeCell ref="I42:J42"/>
    <mergeCell ref="I43:J43"/>
    <mergeCell ref="I44:J44"/>
    <mergeCell ref="I45:K45"/>
    <mergeCell ref="I46:J46"/>
    <mergeCell ref="I47:J47"/>
    <mergeCell ref="I48:K48"/>
    <mergeCell ref="I49:J49"/>
    <mergeCell ref="I50:J50"/>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2:J102"/>
    <mergeCell ref="I103:J103"/>
    <mergeCell ref="I104:J104"/>
    <mergeCell ref="I105:J105"/>
    <mergeCell ref="I106:K106"/>
    <mergeCell ref="I107:J107"/>
    <mergeCell ref="I108:J108"/>
    <mergeCell ref="I109:J109"/>
    <mergeCell ref="I110:J110"/>
    <mergeCell ref="I111:J111"/>
    <mergeCell ref="I112:J112"/>
    <mergeCell ref="I113:J113"/>
    <mergeCell ref="I114:J114"/>
    <mergeCell ref="I115:J115"/>
    <mergeCell ref="I123:J123"/>
    <mergeCell ref="I124:J124"/>
    <mergeCell ref="I116:K116"/>
    <mergeCell ref="I117:J117"/>
    <mergeCell ref="I118:J118"/>
    <mergeCell ref="I119:J119"/>
    <mergeCell ref="I120:J120"/>
    <mergeCell ref="I121:J121"/>
    <mergeCell ref="I122:J122"/>
    <mergeCell ref="I51:J51"/>
    <mergeCell ref="I52:J52"/>
    <mergeCell ref="I53:J53"/>
    <mergeCell ref="I54:J54"/>
    <mergeCell ref="I55:J55"/>
    <mergeCell ref="I56:J56"/>
    <mergeCell ref="I57:J57"/>
    <mergeCell ref="I58:J58"/>
    <mergeCell ref="I59:J59"/>
    <mergeCell ref="I60:J60"/>
    <mergeCell ref="I61:J61"/>
    <mergeCell ref="I62:J62"/>
    <mergeCell ref="I63:J63"/>
    <mergeCell ref="I64:K64"/>
    <mergeCell ref="AQ78:AR78"/>
    <mergeCell ref="AQ79:AR79"/>
    <mergeCell ref="AQ81:AR81"/>
    <mergeCell ref="I72:J72"/>
    <mergeCell ref="I73:J73"/>
    <mergeCell ref="I74:J74"/>
    <mergeCell ref="I75:J75"/>
    <mergeCell ref="I76:J76"/>
    <mergeCell ref="I77:J77"/>
    <mergeCell ref="I78:J78"/>
    <mergeCell ref="I65:J65"/>
    <mergeCell ref="I66:J66"/>
    <mergeCell ref="I67:J67"/>
    <mergeCell ref="I68:J68"/>
    <mergeCell ref="I69:J69"/>
    <mergeCell ref="I70:J70"/>
    <mergeCell ref="I71:J71"/>
    <mergeCell ref="I79:J79"/>
    <mergeCell ref="I80:J80"/>
    <mergeCell ref="I81:J81"/>
    <mergeCell ref="I82:J82"/>
    <mergeCell ref="I83:J83"/>
    <mergeCell ref="I84:J84"/>
    <mergeCell ref="I85:J85"/>
    <mergeCell ref="I100:J100"/>
    <mergeCell ref="I101:K10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7" width="22.75"/>
    <col customWidth="1" min="18" max="18" width="19.5"/>
  </cols>
  <sheetData>
    <row r="1">
      <c r="A1" s="6" t="s">
        <v>96</v>
      </c>
      <c r="B1" s="5" t="s">
        <v>45</v>
      </c>
      <c r="C1" s="5" t="s">
        <v>46</v>
      </c>
      <c r="D1" s="5" t="s">
        <v>47</v>
      </c>
      <c r="E1" s="5" t="s">
        <v>48</v>
      </c>
      <c r="F1" s="5" t="s">
        <v>49</v>
      </c>
      <c r="G1" s="5" t="s">
        <v>50</v>
      </c>
      <c r="H1" s="5" t="s">
        <v>51</v>
      </c>
      <c r="I1" s="5" t="s">
        <v>52</v>
      </c>
      <c r="J1" s="5" t="s">
        <v>57</v>
      </c>
      <c r="K1" s="5" t="s">
        <v>58</v>
      </c>
      <c r="L1" s="5" t="s">
        <v>59</v>
      </c>
      <c r="M1" s="5" t="s">
        <v>60</v>
      </c>
      <c r="N1" s="5" t="s">
        <v>61</v>
      </c>
      <c r="O1" s="5" t="s">
        <v>62</v>
      </c>
      <c r="P1" s="5" t="s">
        <v>63</v>
      </c>
      <c r="Q1" s="5" t="s">
        <v>64</v>
      </c>
      <c r="R1" s="5" t="s">
        <v>65</v>
      </c>
      <c r="S1" s="5" t="s">
        <v>66</v>
      </c>
      <c r="T1" s="5" t="s">
        <v>67</v>
      </c>
      <c r="U1" s="5" t="s">
        <v>68</v>
      </c>
      <c r="V1" s="5" t="s">
        <v>69</v>
      </c>
      <c r="W1" s="5" t="s">
        <v>70</v>
      </c>
      <c r="X1" s="5" t="s">
        <v>71</v>
      </c>
      <c r="Y1" s="5" t="s">
        <v>72</v>
      </c>
      <c r="Z1" s="5" t="s">
        <v>73</v>
      </c>
      <c r="AA1" s="5" t="s">
        <v>74</v>
      </c>
      <c r="AB1" s="5" t="s">
        <v>75</v>
      </c>
      <c r="AC1" s="5" t="s">
        <v>76</v>
      </c>
      <c r="AD1" s="5" t="s">
        <v>77</v>
      </c>
      <c r="AE1" s="5" t="s">
        <v>78</v>
      </c>
      <c r="AF1" s="5" t="s">
        <v>79</v>
      </c>
      <c r="AG1" s="5" t="s">
        <v>80</v>
      </c>
      <c r="AH1" s="5" t="s">
        <v>81</v>
      </c>
      <c r="AI1" s="5" t="s">
        <v>82</v>
      </c>
      <c r="AJ1" s="5" t="s">
        <v>83</v>
      </c>
      <c r="AK1" s="5" t="s">
        <v>84</v>
      </c>
      <c r="AL1" s="5" t="s">
        <v>85</v>
      </c>
      <c r="AM1" s="5" t="s">
        <v>86</v>
      </c>
      <c r="AN1" s="5" t="s">
        <v>87</v>
      </c>
      <c r="AO1" s="5" t="s">
        <v>88</v>
      </c>
      <c r="AP1" s="5" t="s">
        <v>89</v>
      </c>
      <c r="AQ1" s="5" t="s">
        <v>90</v>
      </c>
      <c r="AR1" s="5" t="s">
        <v>91</v>
      </c>
      <c r="AS1" s="5" t="s">
        <v>92</v>
      </c>
      <c r="AT1" s="5" t="s">
        <v>93</v>
      </c>
      <c r="AU1" s="5" t="s">
        <v>94</v>
      </c>
      <c r="AV1" s="5" t="s">
        <v>95</v>
      </c>
    </row>
    <row r="2">
      <c r="A2" s="7">
        <v>45866.16388888889</v>
      </c>
      <c r="B2" s="7">
        <v>45866.16875</v>
      </c>
      <c r="C2" s="5" t="s">
        <v>99</v>
      </c>
      <c r="D2" s="5" t="s">
        <v>192</v>
      </c>
      <c r="E2" s="8">
        <v>100.0</v>
      </c>
      <c r="F2" s="8">
        <v>459.0</v>
      </c>
      <c r="G2" s="9" t="b">
        <v>1</v>
      </c>
      <c r="H2" s="7">
        <v>45866.16875</v>
      </c>
      <c r="I2" s="5" t="s">
        <v>193</v>
      </c>
      <c r="J2" s="8">
        <v>60.1816</v>
      </c>
      <c r="K2" s="8">
        <v>24.8368</v>
      </c>
      <c r="L2" s="5" t="s">
        <v>194</v>
      </c>
      <c r="M2" s="5" t="s">
        <v>195</v>
      </c>
      <c r="N2" s="5" t="s">
        <v>196</v>
      </c>
      <c r="O2" s="5" t="s">
        <v>197</v>
      </c>
      <c r="P2" s="5" t="s">
        <v>198</v>
      </c>
      <c r="Q2" s="5" t="s">
        <v>198</v>
      </c>
      <c r="R2" s="5" t="s">
        <v>199</v>
      </c>
      <c r="S2" s="5" t="s">
        <v>200</v>
      </c>
      <c r="T2" s="5" t="s">
        <v>201</v>
      </c>
      <c r="U2" s="5" t="s">
        <v>202</v>
      </c>
      <c r="V2" s="5" t="s">
        <v>203</v>
      </c>
      <c r="W2" s="5" t="s">
        <v>198</v>
      </c>
      <c r="X2" s="5" t="s">
        <v>198</v>
      </c>
      <c r="Y2" s="5" t="s">
        <v>200</v>
      </c>
      <c r="Z2" s="5" t="s">
        <v>201</v>
      </c>
      <c r="AA2" s="5" t="s">
        <v>204</v>
      </c>
      <c r="AB2" s="5" t="s">
        <v>198</v>
      </c>
      <c r="AC2" s="5" t="s">
        <v>200</v>
      </c>
      <c r="AD2" s="5" t="s">
        <v>202</v>
      </c>
      <c r="AE2" s="5" t="s">
        <v>205</v>
      </c>
      <c r="AF2" s="5" t="s">
        <v>206</v>
      </c>
      <c r="AG2" s="5" t="s">
        <v>200</v>
      </c>
      <c r="AH2" s="5" t="s">
        <v>202</v>
      </c>
      <c r="AI2" s="5" t="s">
        <v>200</v>
      </c>
      <c r="AJ2" s="5" t="s">
        <v>201</v>
      </c>
      <c r="AK2" s="5" t="s">
        <v>200</v>
      </c>
      <c r="AL2" s="5" t="s">
        <v>201</v>
      </c>
      <c r="AM2" s="5" t="s">
        <v>207</v>
      </c>
      <c r="AN2" s="5" t="s">
        <v>206</v>
      </c>
      <c r="AO2" s="5" t="s">
        <v>200</v>
      </c>
      <c r="AP2" s="5" t="s">
        <v>208</v>
      </c>
      <c r="AQ2" s="5" t="s">
        <v>200</v>
      </c>
      <c r="AR2" s="5" t="s">
        <v>200</v>
      </c>
      <c r="AS2" s="5" t="s">
        <v>200</v>
      </c>
      <c r="AT2" s="5" t="s">
        <v>200</v>
      </c>
      <c r="AU2" s="5" t="s">
        <v>208</v>
      </c>
      <c r="AV2" s="5" t="s">
        <v>209</v>
      </c>
    </row>
    <row r="3">
      <c r="A3" s="7">
        <v>45866.17361111111</v>
      </c>
      <c r="B3" s="7">
        <v>45866.17847222222</v>
      </c>
      <c r="C3" s="5" t="s">
        <v>99</v>
      </c>
      <c r="D3" s="5" t="s">
        <v>192</v>
      </c>
      <c r="E3" s="8">
        <v>100.0</v>
      </c>
      <c r="F3" s="8">
        <v>411.0</v>
      </c>
      <c r="G3" s="9" t="b">
        <v>1</v>
      </c>
      <c r="H3" s="7">
        <v>45866.17847222222</v>
      </c>
      <c r="I3" s="5" t="s">
        <v>210</v>
      </c>
      <c r="J3" s="8">
        <v>60.1816</v>
      </c>
      <c r="K3" s="8">
        <v>24.8368</v>
      </c>
      <c r="L3" s="5" t="s">
        <v>194</v>
      </c>
      <c r="M3" s="5" t="s">
        <v>195</v>
      </c>
      <c r="N3" s="5" t="s">
        <v>196</v>
      </c>
      <c r="O3" s="5" t="s">
        <v>211</v>
      </c>
      <c r="P3" s="5" t="s">
        <v>198</v>
      </c>
      <c r="Q3" s="5" t="s">
        <v>204</v>
      </c>
      <c r="R3" s="5" t="s">
        <v>199</v>
      </c>
      <c r="S3" s="5" t="s">
        <v>198</v>
      </c>
      <c r="T3" s="5" t="s">
        <v>200</v>
      </c>
      <c r="U3" s="5" t="s">
        <v>200</v>
      </c>
      <c r="V3" s="5" t="s">
        <v>208</v>
      </c>
      <c r="W3" s="5" t="s">
        <v>198</v>
      </c>
      <c r="X3" s="5" t="s">
        <v>198</v>
      </c>
      <c r="Y3" s="5" t="s">
        <v>198</v>
      </c>
      <c r="Z3" s="5" t="s">
        <v>204</v>
      </c>
      <c r="AA3" s="5" t="s">
        <v>200</v>
      </c>
      <c r="AB3" s="5" t="s">
        <v>204</v>
      </c>
      <c r="AC3" s="5" t="s">
        <v>198</v>
      </c>
      <c r="AD3" s="5" t="s">
        <v>202</v>
      </c>
      <c r="AE3" s="5" t="s">
        <v>212</v>
      </c>
      <c r="AF3" s="5" t="s">
        <v>206</v>
      </c>
      <c r="AG3" s="5" t="s">
        <v>208</v>
      </c>
      <c r="AH3" s="5" t="s">
        <v>208</v>
      </c>
      <c r="AI3" s="5" t="s">
        <v>208</v>
      </c>
      <c r="AJ3" s="5" t="s">
        <v>200</v>
      </c>
      <c r="AK3" s="5" t="s">
        <v>198</v>
      </c>
      <c r="AL3" s="5" t="s">
        <v>201</v>
      </c>
      <c r="AM3" s="5" t="s">
        <v>213</v>
      </c>
      <c r="AN3" s="5" t="s">
        <v>206</v>
      </c>
      <c r="AO3" s="5" t="s">
        <v>200</v>
      </c>
      <c r="AP3" s="5" t="s">
        <v>201</v>
      </c>
      <c r="AQ3" s="5" t="s">
        <v>200</v>
      </c>
      <c r="AR3" s="5" t="s">
        <v>208</v>
      </c>
      <c r="AS3" s="5" t="s">
        <v>208</v>
      </c>
      <c r="AT3" s="5" t="s">
        <v>204</v>
      </c>
      <c r="AU3" s="5" t="s">
        <v>208</v>
      </c>
      <c r="AV3" s="5" t="s">
        <v>214</v>
      </c>
    </row>
    <row r="4">
      <c r="A4" s="7">
        <v>45866.183333333334</v>
      </c>
      <c r="B4" s="7">
        <v>45866.1875</v>
      </c>
      <c r="C4" s="5" t="s">
        <v>99</v>
      </c>
      <c r="D4" s="5" t="s">
        <v>192</v>
      </c>
      <c r="E4" s="8">
        <v>100.0</v>
      </c>
      <c r="F4" s="8">
        <v>357.0</v>
      </c>
      <c r="G4" s="9" t="b">
        <v>1</v>
      </c>
      <c r="H4" s="7">
        <v>45866.1875</v>
      </c>
      <c r="I4" s="5" t="s">
        <v>215</v>
      </c>
      <c r="J4" s="8">
        <v>60.1816</v>
      </c>
      <c r="K4" s="8">
        <v>24.8368</v>
      </c>
      <c r="L4" s="5" t="s">
        <v>194</v>
      </c>
      <c r="M4" s="5" t="s">
        <v>195</v>
      </c>
      <c r="N4" s="5" t="s">
        <v>196</v>
      </c>
      <c r="O4" s="5" t="s">
        <v>216</v>
      </c>
      <c r="P4" s="5" t="s">
        <v>201</v>
      </c>
      <c r="Q4" s="5" t="s">
        <v>202</v>
      </c>
      <c r="R4" s="5" t="s">
        <v>199</v>
      </c>
      <c r="S4" s="5" t="s">
        <v>202</v>
      </c>
      <c r="T4" s="5" t="s">
        <v>202</v>
      </c>
      <c r="U4" s="5" t="s">
        <v>203</v>
      </c>
      <c r="V4" s="5" t="s">
        <v>198</v>
      </c>
      <c r="W4" s="5" t="s">
        <v>200</v>
      </c>
      <c r="X4" s="5" t="s">
        <v>200</v>
      </c>
      <c r="Y4" s="5" t="s">
        <v>200</v>
      </c>
      <c r="Z4" s="5" t="s">
        <v>200</v>
      </c>
      <c r="AA4" s="5" t="s">
        <v>198</v>
      </c>
      <c r="AB4" s="5" t="s">
        <v>200</v>
      </c>
      <c r="AC4" s="5" t="s">
        <v>200</v>
      </c>
      <c r="AD4" s="5" t="s">
        <v>202</v>
      </c>
      <c r="AE4" s="5" t="s">
        <v>217</v>
      </c>
      <c r="AF4" s="5" t="s">
        <v>206</v>
      </c>
      <c r="AG4" s="5" t="s">
        <v>202</v>
      </c>
      <c r="AH4" s="5" t="s">
        <v>200</v>
      </c>
      <c r="AI4" s="5" t="s">
        <v>202</v>
      </c>
      <c r="AJ4" s="5" t="s">
        <v>201</v>
      </c>
      <c r="AK4" s="5" t="s">
        <v>202</v>
      </c>
      <c r="AL4" s="5" t="s">
        <v>201</v>
      </c>
      <c r="AM4" s="5" t="s">
        <v>218</v>
      </c>
      <c r="AN4" s="5" t="s">
        <v>206</v>
      </c>
      <c r="AO4" s="5" t="s">
        <v>202</v>
      </c>
      <c r="AP4" s="5" t="s">
        <v>202</v>
      </c>
      <c r="AQ4" s="5" t="s">
        <v>201</v>
      </c>
      <c r="AR4" s="5" t="s">
        <v>208</v>
      </c>
      <c r="AS4" s="5" t="s">
        <v>198</v>
      </c>
      <c r="AT4" s="5" t="s">
        <v>208</v>
      </c>
      <c r="AU4" s="5" t="s">
        <v>198</v>
      </c>
      <c r="AV4" s="5" t="s">
        <v>219</v>
      </c>
    </row>
    <row r="5">
      <c r="A5" s="7">
        <v>45866.25</v>
      </c>
      <c r="B5" s="7">
        <v>45866.260416666664</v>
      </c>
      <c r="C5" s="5" t="s">
        <v>99</v>
      </c>
      <c r="D5" s="5" t="s">
        <v>192</v>
      </c>
      <c r="E5" s="8">
        <v>100.0</v>
      </c>
      <c r="F5" s="8">
        <v>913.0</v>
      </c>
      <c r="G5" s="9" t="b">
        <v>1</v>
      </c>
      <c r="H5" s="7">
        <v>45866.260416666664</v>
      </c>
      <c r="I5" s="5" t="s">
        <v>220</v>
      </c>
      <c r="J5" s="8">
        <v>60.1816</v>
      </c>
      <c r="K5" s="8">
        <v>24.8368</v>
      </c>
      <c r="L5" s="5" t="s">
        <v>194</v>
      </c>
      <c r="M5" s="5" t="s">
        <v>195</v>
      </c>
      <c r="N5" s="5" t="s">
        <v>221</v>
      </c>
      <c r="O5" s="5" t="s">
        <v>211</v>
      </c>
      <c r="P5" s="5" t="s">
        <v>204</v>
      </c>
      <c r="Q5" s="5" t="s">
        <v>204</v>
      </c>
      <c r="R5" s="5" t="s">
        <v>199</v>
      </c>
      <c r="S5" s="5" t="s">
        <v>201</v>
      </c>
      <c r="T5" s="5" t="s">
        <v>203</v>
      </c>
      <c r="U5" s="5" t="s">
        <v>204</v>
      </c>
      <c r="V5" s="5" t="s">
        <v>204</v>
      </c>
      <c r="W5" s="5" t="s">
        <v>204</v>
      </c>
      <c r="X5" s="5" t="s">
        <v>208</v>
      </c>
      <c r="Y5" s="5" t="s">
        <v>201</v>
      </c>
      <c r="Z5" s="5" t="s">
        <v>202</v>
      </c>
      <c r="AA5" s="5" t="s">
        <v>204</v>
      </c>
      <c r="AB5" s="5" t="s">
        <v>204</v>
      </c>
      <c r="AC5" s="5" t="s">
        <v>203</v>
      </c>
      <c r="AD5" s="5" t="s">
        <v>201</v>
      </c>
      <c r="AE5" s="5" t="s">
        <v>222</v>
      </c>
      <c r="AF5" s="5" t="s">
        <v>206</v>
      </c>
      <c r="AG5" s="5" t="s">
        <v>204</v>
      </c>
      <c r="AH5" s="5" t="s">
        <v>200</v>
      </c>
      <c r="AI5" s="5" t="s">
        <v>203</v>
      </c>
      <c r="AJ5" s="5" t="s">
        <v>200</v>
      </c>
      <c r="AK5" s="5" t="s">
        <v>200</v>
      </c>
      <c r="AL5" s="5" t="s">
        <v>201</v>
      </c>
      <c r="AM5" s="5" t="s">
        <v>223</v>
      </c>
      <c r="AN5" s="5" t="s">
        <v>206</v>
      </c>
      <c r="AO5" s="5" t="s">
        <v>204</v>
      </c>
      <c r="AP5" s="5" t="s">
        <v>201</v>
      </c>
      <c r="AQ5" s="5" t="s">
        <v>203</v>
      </c>
      <c r="AR5" s="5" t="s">
        <v>204</v>
      </c>
      <c r="AS5" s="5" t="s">
        <v>204</v>
      </c>
      <c r="AT5" s="5" t="s">
        <v>204</v>
      </c>
      <c r="AU5" s="5" t="s">
        <v>204</v>
      </c>
      <c r="AV5" s="5" t="s">
        <v>224</v>
      </c>
    </row>
    <row r="6">
      <c r="A6" s="7">
        <v>45866.26666666667</v>
      </c>
      <c r="B6" s="7">
        <v>45866.27291666667</v>
      </c>
      <c r="C6" s="5" t="s">
        <v>99</v>
      </c>
      <c r="D6" s="5" t="s">
        <v>192</v>
      </c>
      <c r="E6" s="8">
        <v>100.0</v>
      </c>
      <c r="F6" s="8">
        <v>512.0</v>
      </c>
      <c r="G6" s="9" t="b">
        <v>1</v>
      </c>
      <c r="H6" s="7">
        <v>45866.27291666667</v>
      </c>
      <c r="I6" s="5" t="s">
        <v>225</v>
      </c>
      <c r="J6" s="8">
        <v>60.1816</v>
      </c>
      <c r="K6" s="8">
        <v>24.8368</v>
      </c>
      <c r="L6" s="5" t="s">
        <v>194</v>
      </c>
      <c r="M6" s="5" t="s">
        <v>195</v>
      </c>
      <c r="N6" s="5" t="s">
        <v>221</v>
      </c>
      <c r="O6" s="5" t="s">
        <v>216</v>
      </c>
      <c r="P6" s="5" t="s">
        <v>200</v>
      </c>
      <c r="Q6" s="5" t="s">
        <v>204</v>
      </c>
      <c r="R6" s="5" t="s">
        <v>199</v>
      </c>
      <c r="S6" s="5" t="s">
        <v>201</v>
      </c>
      <c r="T6" s="5" t="s">
        <v>203</v>
      </c>
      <c r="U6" s="5" t="s">
        <v>201</v>
      </c>
      <c r="V6" s="5" t="s">
        <v>204</v>
      </c>
      <c r="W6" s="5" t="s">
        <v>204</v>
      </c>
      <c r="X6" s="5" t="s">
        <v>200</v>
      </c>
      <c r="Y6" s="5" t="s">
        <v>201</v>
      </c>
      <c r="Z6" s="5" t="s">
        <v>204</v>
      </c>
      <c r="AA6" s="5" t="s">
        <v>204</v>
      </c>
      <c r="AB6" s="5" t="s">
        <v>204</v>
      </c>
      <c r="AC6" s="5" t="s">
        <v>203</v>
      </c>
      <c r="AD6" s="5" t="s">
        <v>201</v>
      </c>
      <c r="AE6" s="5" t="s">
        <v>226</v>
      </c>
      <c r="AF6" s="5" t="s">
        <v>206</v>
      </c>
      <c r="AG6" s="5" t="s">
        <v>204</v>
      </c>
      <c r="AH6" s="5" t="s">
        <v>201</v>
      </c>
      <c r="AI6" s="5" t="s">
        <v>200</v>
      </c>
      <c r="AJ6" s="5" t="s">
        <v>201</v>
      </c>
      <c r="AK6" s="5" t="s">
        <v>201</v>
      </c>
      <c r="AL6" s="5" t="s">
        <v>201</v>
      </c>
      <c r="AM6" s="5" t="s">
        <v>227</v>
      </c>
      <c r="AN6" s="5" t="s">
        <v>206</v>
      </c>
      <c r="AO6" s="5" t="s">
        <v>200</v>
      </c>
      <c r="AP6" s="5" t="s">
        <v>204</v>
      </c>
      <c r="AQ6" s="5" t="s">
        <v>200</v>
      </c>
      <c r="AR6" s="5" t="s">
        <v>201</v>
      </c>
      <c r="AS6" s="5" t="s">
        <v>203</v>
      </c>
      <c r="AT6" s="5" t="s">
        <v>200</v>
      </c>
      <c r="AU6" s="5" t="s">
        <v>200</v>
      </c>
      <c r="AV6" s="5" t="s">
        <v>228</v>
      </c>
    </row>
    <row r="7">
      <c r="A7" s="7">
        <v>45866.28055555555</v>
      </c>
      <c r="B7" s="7">
        <v>45866.28472222222</v>
      </c>
      <c r="C7" s="5" t="s">
        <v>99</v>
      </c>
      <c r="D7" s="5" t="s">
        <v>192</v>
      </c>
      <c r="E7" s="8">
        <v>100.0</v>
      </c>
      <c r="F7" s="8">
        <v>378.0</v>
      </c>
      <c r="G7" s="9" t="b">
        <v>1</v>
      </c>
      <c r="H7" s="7">
        <v>45866.28472222222</v>
      </c>
      <c r="I7" s="5" t="s">
        <v>229</v>
      </c>
      <c r="J7" s="8">
        <v>60.1816</v>
      </c>
      <c r="K7" s="8">
        <v>24.8368</v>
      </c>
      <c r="L7" s="5" t="s">
        <v>194</v>
      </c>
      <c r="M7" s="5" t="s">
        <v>195</v>
      </c>
      <c r="N7" s="5" t="s">
        <v>221</v>
      </c>
      <c r="O7" s="5" t="s">
        <v>197</v>
      </c>
      <c r="P7" s="5" t="s">
        <v>204</v>
      </c>
      <c r="Q7" s="5" t="s">
        <v>204</v>
      </c>
      <c r="R7" s="5" t="s">
        <v>199</v>
      </c>
      <c r="S7" s="5" t="s">
        <v>198</v>
      </c>
      <c r="T7" s="5" t="s">
        <v>203</v>
      </c>
      <c r="U7" s="5" t="s">
        <v>201</v>
      </c>
      <c r="V7" s="5" t="s">
        <v>204</v>
      </c>
      <c r="W7" s="5" t="s">
        <v>204</v>
      </c>
      <c r="X7" s="5" t="s">
        <v>201</v>
      </c>
      <c r="Y7" s="5" t="s">
        <v>203</v>
      </c>
      <c r="Z7" s="5" t="s">
        <v>198</v>
      </c>
      <c r="AA7" s="5" t="s">
        <v>204</v>
      </c>
      <c r="AB7" s="5" t="s">
        <v>204</v>
      </c>
      <c r="AC7" s="5" t="s">
        <v>201</v>
      </c>
      <c r="AD7" s="5" t="s">
        <v>201</v>
      </c>
      <c r="AE7" s="11" t="s">
        <v>230</v>
      </c>
      <c r="AF7" s="5" t="s">
        <v>206</v>
      </c>
      <c r="AG7" s="5" t="s">
        <v>204</v>
      </c>
      <c r="AH7" s="5" t="s">
        <v>203</v>
      </c>
      <c r="AI7" s="5" t="s">
        <v>204</v>
      </c>
      <c r="AJ7" s="5" t="s">
        <v>200</v>
      </c>
      <c r="AK7" s="5" t="s">
        <v>204</v>
      </c>
      <c r="AL7" s="5" t="s">
        <v>208</v>
      </c>
      <c r="AM7" s="5" t="s">
        <v>231</v>
      </c>
      <c r="AN7" s="5" t="s">
        <v>206</v>
      </c>
      <c r="AO7" s="5" t="s">
        <v>204</v>
      </c>
      <c r="AP7" s="5" t="s">
        <v>203</v>
      </c>
      <c r="AQ7" s="5" t="s">
        <v>200</v>
      </c>
      <c r="AR7" s="5" t="s">
        <v>204</v>
      </c>
      <c r="AS7" s="5" t="s">
        <v>204</v>
      </c>
      <c r="AT7" s="5" t="s">
        <v>203</v>
      </c>
      <c r="AU7" s="5" t="s">
        <v>204</v>
      </c>
      <c r="AV7" s="11" t="s">
        <v>232</v>
      </c>
    </row>
    <row r="8">
      <c r="A8" s="7">
        <v>45866.288194444445</v>
      </c>
      <c r="B8" s="7">
        <v>45866.290972222225</v>
      </c>
      <c r="C8" s="5" t="s">
        <v>99</v>
      </c>
      <c r="D8" s="5" t="s">
        <v>192</v>
      </c>
      <c r="E8" s="8">
        <v>100.0</v>
      </c>
      <c r="F8" s="8">
        <v>237.0</v>
      </c>
      <c r="G8" s="9" t="b">
        <v>1</v>
      </c>
      <c r="H8" s="7">
        <v>45866.290972222225</v>
      </c>
      <c r="I8" s="5" t="s">
        <v>233</v>
      </c>
      <c r="J8" s="8">
        <v>60.1816</v>
      </c>
      <c r="K8" s="8">
        <v>24.8368</v>
      </c>
      <c r="L8" s="5" t="s">
        <v>194</v>
      </c>
      <c r="M8" s="5" t="s">
        <v>195</v>
      </c>
      <c r="N8" s="5" t="s">
        <v>221</v>
      </c>
      <c r="O8" s="5" t="s">
        <v>216</v>
      </c>
      <c r="P8" s="5" t="s">
        <v>204</v>
      </c>
      <c r="Q8" s="5" t="s">
        <v>204</v>
      </c>
      <c r="R8" s="5" t="s">
        <v>199</v>
      </c>
      <c r="S8" s="5" t="s">
        <v>201</v>
      </c>
      <c r="T8" s="5" t="s">
        <v>204</v>
      </c>
      <c r="U8" s="5" t="s">
        <v>204</v>
      </c>
      <c r="V8" s="5" t="s">
        <v>204</v>
      </c>
      <c r="W8" s="5" t="s">
        <v>204</v>
      </c>
      <c r="X8" s="5" t="s">
        <v>201</v>
      </c>
      <c r="Y8" s="5" t="s">
        <v>201</v>
      </c>
      <c r="Z8" s="5" t="s">
        <v>204</v>
      </c>
      <c r="AA8" s="5" t="s">
        <v>204</v>
      </c>
      <c r="AB8" s="5" t="s">
        <v>204</v>
      </c>
      <c r="AC8" s="5" t="s">
        <v>201</v>
      </c>
      <c r="AD8" s="5" t="s">
        <v>201</v>
      </c>
      <c r="AE8" s="5" t="s">
        <v>234</v>
      </c>
      <c r="AF8" s="5" t="s">
        <v>206</v>
      </c>
      <c r="AG8" s="5" t="s">
        <v>204</v>
      </c>
      <c r="AH8" s="5" t="s">
        <v>201</v>
      </c>
      <c r="AI8" s="5" t="s">
        <v>204</v>
      </c>
      <c r="AJ8" s="5" t="s">
        <v>204</v>
      </c>
      <c r="AK8" s="5" t="s">
        <v>204</v>
      </c>
      <c r="AL8" s="5" t="s">
        <v>208</v>
      </c>
      <c r="AM8" s="5" t="s">
        <v>235</v>
      </c>
      <c r="AN8" s="5" t="s">
        <v>206</v>
      </c>
      <c r="AO8" s="5" t="s">
        <v>204</v>
      </c>
      <c r="AP8" s="5" t="s">
        <v>204</v>
      </c>
      <c r="AQ8" s="5" t="s">
        <v>204</v>
      </c>
      <c r="AR8" s="5" t="s">
        <v>203</v>
      </c>
      <c r="AS8" s="5" t="s">
        <v>203</v>
      </c>
      <c r="AT8" s="5" t="s">
        <v>203</v>
      </c>
      <c r="AU8" s="5" t="s">
        <v>203</v>
      </c>
      <c r="AV8" s="5" t="s">
        <v>236</v>
      </c>
    </row>
    <row r="9">
      <c r="A9" s="7">
        <v>45866.28958333333</v>
      </c>
      <c r="B9" s="7">
        <v>45866.3125</v>
      </c>
      <c r="C9" s="5" t="s">
        <v>99</v>
      </c>
      <c r="D9" s="5" t="s">
        <v>237</v>
      </c>
      <c r="E9" s="8">
        <v>100.0</v>
      </c>
      <c r="F9" s="8">
        <v>1957.0</v>
      </c>
      <c r="G9" s="9" t="b">
        <v>1</v>
      </c>
      <c r="H9" s="7">
        <v>45866.3125</v>
      </c>
      <c r="I9" s="5" t="s">
        <v>238</v>
      </c>
      <c r="J9" s="8">
        <v>60.2498</v>
      </c>
      <c r="K9" s="8">
        <v>24.9939</v>
      </c>
      <c r="L9" s="5" t="s">
        <v>194</v>
      </c>
      <c r="M9" s="5" t="s">
        <v>195</v>
      </c>
      <c r="N9" s="5" t="s">
        <v>239</v>
      </c>
      <c r="O9" s="5" t="s">
        <v>216</v>
      </c>
      <c r="P9" s="5" t="s">
        <v>202</v>
      </c>
      <c r="Q9" s="5" t="s">
        <v>200</v>
      </c>
      <c r="R9" s="5" t="s">
        <v>199</v>
      </c>
      <c r="S9" s="5" t="s">
        <v>201</v>
      </c>
      <c r="T9" s="5" t="s">
        <v>200</v>
      </c>
      <c r="U9" s="5" t="s">
        <v>201</v>
      </c>
      <c r="V9" s="5" t="s">
        <v>198</v>
      </c>
      <c r="W9" s="5" t="s">
        <v>198</v>
      </c>
      <c r="X9" s="5" t="s">
        <v>200</v>
      </c>
      <c r="Y9" s="5" t="s">
        <v>200</v>
      </c>
      <c r="Z9" s="5" t="s">
        <v>201</v>
      </c>
      <c r="AA9" s="5" t="s">
        <v>198</v>
      </c>
      <c r="AB9" s="5" t="s">
        <v>201</v>
      </c>
      <c r="AC9" s="5" t="s">
        <v>202</v>
      </c>
      <c r="AD9" s="5" t="s">
        <v>198</v>
      </c>
      <c r="AE9" s="5" t="s">
        <v>240</v>
      </c>
      <c r="AF9" s="5" t="s">
        <v>206</v>
      </c>
      <c r="AG9" s="5" t="s">
        <v>200</v>
      </c>
      <c r="AH9" s="5" t="s">
        <v>201</v>
      </c>
      <c r="AI9" s="5" t="s">
        <v>201</v>
      </c>
      <c r="AJ9" s="5" t="s">
        <v>200</v>
      </c>
      <c r="AK9" s="5" t="s">
        <v>201</v>
      </c>
      <c r="AL9" s="5" t="s">
        <v>201</v>
      </c>
      <c r="AM9" s="5" t="s">
        <v>241</v>
      </c>
      <c r="AN9" s="5" t="s">
        <v>206</v>
      </c>
      <c r="AO9" s="5" t="s">
        <v>202</v>
      </c>
      <c r="AP9" s="5" t="s">
        <v>201</v>
      </c>
      <c r="AQ9" s="5" t="s">
        <v>201</v>
      </c>
      <c r="AR9" s="5" t="s">
        <v>204</v>
      </c>
      <c r="AS9" s="5" t="s">
        <v>204</v>
      </c>
      <c r="AT9" s="5" t="s">
        <v>204</v>
      </c>
      <c r="AU9" s="5" t="s">
        <v>204</v>
      </c>
      <c r="AV9" s="5" t="s">
        <v>242</v>
      </c>
    </row>
    <row r="10">
      <c r="A10" s="7">
        <v>45866.302777777775</v>
      </c>
      <c r="B10" s="7">
        <v>45866.3125</v>
      </c>
      <c r="C10" s="5" t="s">
        <v>99</v>
      </c>
      <c r="D10" s="5" t="s">
        <v>192</v>
      </c>
      <c r="E10" s="8">
        <v>100.0</v>
      </c>
      <c r="F10" s="8">
        <v>822.0</v>
      </c>
      <c r="G10" s="9" t="b">
        <v>1</v>
      </c>
      <c r="H10" s="7">
        <v>45866.3125</v>
      </c>
      <c r="I10" s="5" t="s">
        <v>243</v>
      </c>
      <c r="J10" s="8">
        <v>60.1816</v>
      </c>
      <c r="K10" s="8">
        <v>24.8368</v>
      </c>
      <c r="L10" s="5" t="s">
        <v>194</v>
      </c>
      <c r="M10" s="5" t="s">
        <v>195</v>
      </c>
      <c r="N10" s="5" t="s">
        <v>244</v>
      </c>
      <c r="O10" s="5" t="s">
        <v>197</v>
      </c>
      <c r="P10" s="5" t="s">
        <v>208</v>
      </c>
      <c r="Q10" s="5" t="s">
        <v>208</v>
      </c>
      <c r="R10" s="5" t="s">
        <v>199</v>
      </c>
      <c r="S10" s="5" t="s">
        <v>201</v>
      </c>
      <c r="T10" s="5" t="s">
        <v>198</v>
      </c>
      <c r="U10" s="5" t="s">
        <v>200</v>
      </c>
      <c r="V10" s="5" t="s">
        <v>198</v>
      </c>
      <c r="W10" s="5" t="s">
        <v>204</v>
      </c>
      <c r="X10" s="5" t="s">
        <v>200</v>
      </c>
      <c r="Y10" s="5" t="s">
        <v>202</v>
      </c>
      <c r="Z10" s="5" t="s">
        <v>202</v>
      </c>
      <c r="AA10" s="5" t="s">
        <v>204</v>
      </c>
      <c r="AB10" s="5" t="s">
        <v>203</v>
      </c>
      <c r="AC10" s="5" t="s">
        <v>201</v>
      </c>
      <c r="AD10" s="5" t="s">
        <v>201</v>
      </c>
      <c r="AE10" s="5" t="s">
        <v>245</v>
      </c>
      <c r="AF10" s="5" t="s">
        <v>206</v>
      </c>
      <c r="AG10" s="5" t="s">
        <v>200</v>
      </c>
      <c r="AH10" s="5" t="s">
        <v>202</v>
      </c>
      <c r="AI10" s="5" t="s">
        <v>202</v>
      </c>
      <c r="AJ10" s="5" t="s">
        <v>200</v>
      </c>
      <c r="AK10" s="5" t="s">
        <v>200</v>
      </c>
      <c r="AL10" s="5" t="s">
        <v>203</v>
      </c>
      <c r="AM10" s="5" t="s">
        <v>246</v>
      </c>
      <c r="AN10" s="5" t="s">
        <v>206</v>
      </c>
      <c r="AO10" s="5" t="s">
        <v>200</v>
      </c>
      <c r="AP10" s="5" t="s">
        <v>198</v>
      </c>
      <c r="AQ10" s="5" t="s">
        <v>202</v>
      </c>
      <c r="AR10" s="5" t="s">
        <v>208</v>
      </c>
      <c r="AS10" s="5" t="s">
        <v>204</v>
      </c>
      <c r="AT10" s="5" t="s">
        <v>200</v>
      </c>
      <c r="AU10" s="5" t="s">
        <v>200</v>
      </c>
      <c r="AV10" s="5" t="s">
        <v>247</v>
      </c>
    </row>
    <row r="11">
      <c r="A11" s="7">
        <v>45866.31458333333</v>
      </c>
      <c r="B11" s="7">
        <v>45866.32777777778</v>
      </c>
      <c r="C11" s="5" t="s">
        <v>99</v>
      </c>
      <c r="D11" s="5" t="s">
        <v>237</v>
      </c>
      <c r="E11" s="8">
        <v>100.0</v>
      </c>
      <c r="F11" s="8">
        <v>1106.0</v>
      </c>
      <c r="G11" s="9" t="b">
        <v>1</v>
      </c>
      <c r="H11" s="7">
        <v>45866.32777777778</v>
      </c>
      <c r="I11" s="5" t="s">
        <v>248</v>
      </c>
      <c r="J11" s="8">
        <v>60.2498</v>
      </c>
      <c r="K11" s="8">
        <v>24.9939</v>
      </c>
      <c r="L11" s="5" t="s">
        <v>194</v>
      </c>
      <c r="M11" s="5" t="s">
        <v>195</v>
      </c>
      <c r="N11" s="5" t="s">
        <v>244</v>
      </c>
      <c r="O11" s="5" t="s">
        <v>211</v>
      </c>
      <c r="P11" s="5" t="s">
        <v>198</v>
      </c>
      <c r="Q11" s="5" t="s">
        <v>204</v>
      </c>
      <c r="R11" s="5" t="s">
        <v>199</v>
      </c>
      <c r="S11" s="5" t="s">
        <v>200</v>
      </c>
      <c r="T11" s="5" t="s">
        <v>208</v>
      </c>
      <c r="U11" s="5" t="s">
        <v>204</v>
      </c>
      <c r="V11" s="5" t="s">
        <v>198</v>
      </c>
      <c r="W11" s="5" t="s">
        <v>204</v>
      </c>
      <c r="X11" s="5" t="s">
        <v>200</v>
      </c>
      <c r="Y11" s="5" t="s">
        <v>202</v>
      </c>
      <c r="Z11" s="5" t="s">
        <v>208</v>
      </c>
      <c r="AA11" s="5" t="s">
        <v>204</v>
      </c>
      <c r="AB11" s="5" t="s">
        <v>208</v>
      </c>
      <c r="AC11" s="5" t="s">
        <v>200</v>
      </c>
      <c r="AD11" s="5" t="s">
        <v>201</v>
      </c>
      <c r="AE11" s="5" t="s">
        <v>249</v>
      </c>
      <c r="AF11" s="5" t="s">
        <v>206</v>
      </c>
      <c r="AG11" s="5" t="s">
        <v>202</v>
      </c>
      <c r="AH11" s="5" t="s">
        <v>202</v>
      </c>
      <c r="AI11" s="5" t="s">
        <v>202</v>
      </c>
      <c r="AJ11" s="5" t="s">
        <v>200</v>
      </c>
      <c r="AK11" s="5" t="s">
        <v>198</v>
      </c>
      <c r="AL11" s="5" t="s">
        <v>203</v>
      </c>
      <c r="AM11" s="5" t="s">
        <v>250</v>
      </c>
      <c r="AN11" s="5" t="s">
        <v>206</v>
      </c>
      <c r="AO11" s="5" t="s">
        <v>202</v>
      </c>
      <c r="AP11" s="5" t="s">
        <v>202</v>
      </c>
      <c r="AQ11" s="5" t="s">
        <v>208</v>
      </c>
      <c r="AR11" s="5" t="s">
        <v>204</v>
      </c>
      <c r="AS11" s="5" t="s">
        <v>204</v>
      </c>
      <c r="AT11" s="5" t="s">
        <v>204</v>
      </c>
      <c r="AU11" s="5" t="s">
        <v>204</v>
      </c>
      <c r="AV11" s="5" t="s">
        <v>251</v>
      </c>
    </row>
    <row r="12">
      <c r="A12" s="7">
        <v>45866.3125</v>
      </c>
      <c r="B12" s="7">
        <v>45866.32847222222</v>
      </c>
      <c r="C12" s="5" t="s">
        <v>99</v>
      </c>
      <c r="D12" s="5" t="s">
        <v>192</v>
      </c>
      <c r="E12" s="8">
        <v>100.0</v>
      </c>
      <c r="F12" s="8">
        <v>1376.0</v>
      </c>
      <c r="G12" s="9" t="b">
        <v>1</v>
      </c>
      <c r="H12" s="7">
        <v>45866.32847222222</v>
      </c>
      <c r="I12" s="5" t="s">
        <v>252</v>
      </c>
      <c r="J12" s="8">
        <v>60.1816</v>
      </c>
      <c r="K12" s="8">
        <v>24.8368</v>
      </c>
      <c r="L12" s="5" t="s">
        <v>194</v>
      </c>
      <c r="M12" s="5" t="s">
        <v>195</v>
      </c>
      <c r="N12" s="5" t="s">
        <v>239</v>
      </c>
      <c r="O12" s="5" t="s">
        <v>211</v>
      </c>
      <c r="P12" s="5" t="s">
        <v>201</v>
      </c>
      <c r="Q12" s="5" t="s">
        <v>201</v>
      </c>
      <c r="R12" s="5" t="s">
        <v>199</v>
      </c>
      <c r="S12" s="5" t="s">
        <v>200</v>
      </c>
      <c r="T12" s="5" t="s">
        <v>200</v>
      </c>
      <c r="U12" s="5" t="s">
        <v>201</v>
      </c>
      <c r="V12" s="5" t="s">
        <v>203</v>
      </c>
      <c r="W12" s="5" t="s">
        <v>203</v>
      </c>
      <c r="X12" s="5" t="s">
        <v>201</v>
      </c>
      <c r="Y12" s="5" t="s">
        <v>201</v>
      </c>
      <c r="Z12" s="5" t="s">
        <v>201</v>
      </c>
      <c r="AA12" s="5" t="s">
        <v>203</v>
      </c>
      <c r="AB12" s="5" t="s">
        <v>202</v>
      </c>
      <c r="AC12" s="5" t="s">
        <v>201</v>
      </c>
      <c r="AD12" s="5" t="s">
        <v>203</v>
      </c>
      <c r="AE12" s="5" t="s">
        <v>253</v>
      </c>
      <c r="AF12" s="5" t="s">
        <v>206</v>
      </c>
      <c r="AG12" s="5" t="s">
        <v>200</v>
      </c>
      <c r="AH12" s="5" t="s">
        <v>201</v>
      </c>
      <c r="AI12" s="5" t="s">
        <v>202</v>
      </c>
      <c r="AJ12" s="5" t="s">
        <v>202</v>
      </c>
      <c r="AK12" s="5" t="s">
        <v>202</v>
      </c>
      <c r="AL12" s="5" t="s">
        <v>202</v>
      </c>
      <c r="AM12" s="5" t="s">
        <v>254</v>
      </c>
      <c r="AN12" s="5" t="s">
        <v>206</v>
      </c>
      <c r="AO12" s="5" t="s">
        <v>200</v>
      </c>
      <c r="AP12" s="5" t="s">
        <v>200</v>
      </c>
      <c r="AQ12" s="5" t="s">
        <v>201</v>
      </c>
      <c r="AR12" s="5" t="s">
        <v>200</v>
      </c>
      <c r="AS12" s="5" t="s">
        <v>204</v>
      </c>
      <c r="AT12" s="5" t="s">
        <v>200</v>
      </c>
      <c r="AU12" s="5" t="s">
        <v>200</v>
      </c>
      <c r="AV12" s="5" t="s">
        <v>255</v>
      </c>
    </row>
    <row r="13">
      <c r="A13" s="7">
        <v>45867.01180555556</v>
      </c>
      <c r="B13" s="7">
        <v>45867.02638888889</v>
      </c>
      <c r="C13" s="5" t="s">
        <v>99</v>
      </c>
      <c r="D13" s="5" t="s">
        <v>256</v>
      </c>
      <c r="E13" s="8">
        <v>100.0</v>
      </c>
      <c r="F13" s="8">
        <v>1275.0</v>
      </c>
      <c r="G13" s="9" t="b">
        <v>1</v>
      </c>
      <c r="H13" s="7">
        <v>45867.02638888889</v>
      </c>
      <c r="I13" s="5" t="s">
        <v>257</v>
      </c>
      <c r="J13" s="8">
        <v>60.1816</v>
      </c>
      <c r="K13" s="8">
        <v>24.8368</v>
      </c>
      <c r="L13" s="5" t="s">
        <v>194</v>
      </c>
      <c r="M13" s="5" t="s">
        <v>195</v>
      </c>
      <c r="N13" s="5" t="s">
        <v>258</v>
      </c>
      <c r="O13" s="5" t="s">
        <v>211</v>
      </c>
      <c r="P13" s="5" t="s">
        <v>198</v>
      </c>
      <c r="Q13" s="5" t="s">
        <v>198</v>
      </c>
      <c r="R13" s="5" t="s">
        <v>199</v>
      </c>
      <c r="S13" s="5" t="s">
        <v>202</v>
      </c>
      <c r="T13" s="5" t="s">
        <v>201</v>
      </c>
      <c r="U13" s="5" t="s">
        <v>203</v>
      </c>
      <c r="V13" s="5" t="s">
        <v>204</v>
      </c>
      <c r="W13" s="5" t="s">
        <v>208</v>
      </c>
      <c r="X13" s="5" t="s">
        <v>201</v>
      </c>
      <c r="Y13" s="5" t="s">
        <v>201</v>
      </c>
      <c r="Z13" s="5" t="s">
        <v>202</v>
      </c>
      <c r="AA13" s="5" t="s">
        <v>204</v>
      </c>
      <c r="AB13" s="5" t="s">
        <v>203</v>
      </c>
      <c r="AC13" s="5" t="s">
        <v>200</v>
      </c>
      <c r="AD13" s="5" t="s">
        <v>201</v>
      </c>
      <c r="AE13" s="5" t="s">
        <v>259</v>
      </c>
      <c r="AF13" s="5" t="s">
        <v>206</v>
      </c>
      <c r="AG13" s="5" t="s">
        <v>202</v>
      </c>
      <c r="AH13" s="5" t="s">
        <v>202</v>
      </c>
      <c r="AI13" s="5" t="s">
        <v>202</v>
      </c>
      <c r="AJ13" s="5" t="s">
        <v>202</v>
      </c>
      <c r="AK13" s="5" t="s">
        <v>202</v>
      </c>
      <c r="AL13" s="5" t="s">
        <v>202</v>
      </c>
      <c r="AM13" s="5" t="s">
        <v>260</v>
      </c>
      <c r="AN13" s="5" t="s">
        <v>206</v>
      </c>
      <c r="AO13" s="5" t="s">
        <v>200</v>
      </c>
      <c r="AP13" s="5" t="s">
        <v>201</v>
      </c>
      <c r="AQ13" s="5" t="s">
        <v>201</v>
      </c>
      <c r="AR13" s="5" t="s">
        <v>204</v>
      </c>
      <c r="AS13" s="5" t="s">
        <v>204</v>
      </c>
      <c r="AT13" s="5" t="s">
        <v>204</v>
      </c>
      <c r="AU13" s="5" t="s">
        <v>204</v>
      </c>
      <c r="AV13" s="5" t="s">
        <v>261</v>
      </c>
    </row>
    <row r="14">
      <c r="A14" s="7">
        <v>45867.01736111111</v>
      </c>
      <c r="B14" s="7">
        <v>45867.027083333334</v>
      </c>
      <c r="C14" s="5" t="s">
        <v>99</v>
      </c>
      <c r="D14" s="5" t="s">
        <v>192</v>
      </c>
      <c r="E14" s="8">
        <v>100.0</v>
      </c>
      <c r="F14" s="8">
        <v>859.0</v>
      </c>
      <c r="G14" s="9" t="b">
        <v>1</v>
      </c>
      <c r="H14" s="7">
        <v>45867.027083333334</v>
      </c>
      <c r="I14" s="5" t="s">
        <v>262</v>
      </c>
      <c r="J14" s="8">
        <v>60.1816</v>
      </c>
      <c r="K14" s="8">
        <v>24.8368</v>
      </c>
      <c r="L14" s="5" t="s">
        <v>194</v>
      </c>
      <c r="M14" s="5" t="s">
        <v>195</v>
      </c>
      <c r="N14" s="5" t="s">
        <v>239</v>
      </c>
      <c r="O14" s="5" t="s">
        <v>263</v>
      </c>
      <c r="P14" s="5" t="s">
        <v>202</v>
      </c>
      <c r="Q14" s="5" t="s">
        <v>200</v>
      </c>
      <c r="R14" s="5" t="s">
        <v>199</v>
      </c>
      <c r="S14" s="5" t="s">
        <v>203</v>
      </c>
      <c r="T14" s="5" t="s">
        <v>200</v>
      </c>
      <c r="U14" s="5" t="s">
        <v>201</v>
      </c>
      <c r="V14" s="5" t="s">
        <v>198</v>
      </c>
      <c r="W14" s="5" t="s">
        <v>203</v>
      </c>
      <c r="X14" s="5" t="s">
        <v>202</v>
      </c>
      <c r="Y14" s="5" t="s">
        <v>201</v>
      </c>
      <c r="Z14" s="5" t="s">
        <v>201</v>
      </c>
      <c r="AA14" s="5" t="s">
        <v>200</v>
      </c>
      <c r="AB14" s="5" t="s">
        <v>201</v>
      </c>
      <c r="AC14" s="5" t="s">
        <v>201</v>
      </c>
      <c r="AD14" s="5" t="s">
        <v>203</v>
      </c>
      <c r="AE14" s="5" t="s">
        <v>264</v>
      </c>
      <c r="AF14" s="5" t="s">
        <v>206</v>
      </c>
      <c r="AG14" s="5" t="s">
        <v>200</v>
      </c>
      <c r="AH14" s="5" t="s">
        <v>202</v>
      </c>
      <c r="AI14" s="5" t="s">
        <v>200</v>
      </c>
      <c r="AJ14" s="5" t="s">
        <v>202</v>
      </c>
      <c r="AK14" s="5" t="s">
        <v>202</v>
      </c>
      <c r="AL14" s="5" t="s">
        <v>201</v>
      </c>
      <c r="AM14" s="5" t="s">
        <v>265</v>
      </c>
      <c r="AN14" s="5" t="s">
        <v>206</v>
      </c>
      <c r="AO14" s="5" t="s">
        <v>202</v>
      </c>
      <c r="AP14" s="5" t="s">
        <v>201</v>
      </c>
      <c r="AQ14" s="5" t="s">
        <v>201</v>
      </c>
      <c r="AR14" s="5" t="s">
        <v>208</v>
      </c>
      <c r="AS14" s="5" t="s">
        <v>204</v>
      </c>
      <c r="AT14" s="5" t="s">
        <v>204</v>
      </c>
      <c r="AU14" s="5" t="s">
        <v>204</v>
      </c>
      <c r="AV14" s="5" t="s">
        <v>266</v>
      </c>
    </row>
    <row r="15">
      <c r="A15" s="7">
        <v>45867.03611111111</v>
      </c>
      <c r="B15" s="7">
        <v>45867.04583333333</v>
      </c>
      <c r="C15" s="5" t="s">
        <v>99</v>
      </c>
      <c r="D15" s="5" t="s">
        <v>256</v>
      </c>
      <c r="E15" s="8">
        <v>100.0</v>
      </c>
      <c r="F15" s="8">
        <v>821.0</v>
      </c>
      <c r="G15" s="9" t="b">
        <v>1</v>
      </c>
      <c r="H15" s="7">
        <v>45867.04583333333</v>
      </c>
      <c r="I15" s="5" t="s">
        <v>267</v>
      </c>
      <c r="J15" s="8">
        <v>60.1816</v>
      </c>
      <c r="K15" s="8">
        <v>24.8368</v>
      </c>
      <c r="L15" s="5" t="s">
        <v>194</v>
      </c>
      <c r="M15" s="5" t="s">
        <v>195</v>
      </c>
      <c r="N15" s="5" t="s">
        <v>239</v>
      </c>
      <c r="O15" s="5" t="s">
        <v>211</v>
      </c>
      <c r="P15" s="5" t="s">
        <v>202</v>
      </c>
      <c r="Q15" s="5" t="s">
        <v>198</v>
      </c>
      <c r="R15" s="5" t="s">
        <v>199</v>
      </c>
      <c r="S15" s="5" t="s">
        <v>202</v>
      </c>
      <c r="T15" s="5" t="s">
        <v>201</v>
      </c>
      <c r="U15" s="5" t="s">
        <v>202</v>
      </c>
      <c r="V15" s="5" t="s">
        <v>203</v>
      </c>
      <c r="W15" s="5" t="s">
        <v>198</v>
      </c>
      <c r="X15" s="5" t="s">
        <v>201</v>
      </c>
      <c r="Y15" s="5" t="s">
        <v>202</v>
      </c>
      <c r="Z15" s="5" t="s">
        <v>198</v>
      </c>
      <c r="AA15" s="5" t="s">
        <v>203</v>
      </c>
      <c r="AB15" s="5" t="s">
        <v>201</v>
      </c>
      <c r="AC15" s="5" t="s">
        <v>202</v>
      </c>
      <c r="AD15" s="5" t="s">
        <v>203</v>
      </c>
      <c r="AE15" s="5" t="s">
        <v>268</v>
      </c>
      <c r="AF15" s="5" t="s">
        <v>206</v>
      </c>
      <c r="AG15" s="5" t="s">
        <v>203</v>
      </c>
      <c r="AH15" s="5" t="s">
        <v>200</v>
      </c>
      <c r="AI15" s="5" t="s">
        <v>203</v>
      </c>
      <c r="AJ15" s="5" t="s">
        <v>198</v>
      </c>
      <c r="AK15" s="5" t="s">
        <v>203</v>
      </c>
      <c r="AL15" s="5" t="s">
        <v>198</v>
      </c>
      <c r="AM15" s="5" t="s">
        <v>269</v>
      </c>
      <c r="AN15" s="5" t="s">
        <v>206</v>
      </c>
      <c r="AO15" s="5" t="s">
        <v>203</v>
      </c>
      <c r="AP15" s="5" t="s">
        <v>198</v>
      </c>
      <c r="AQ15" s="5" t="s">
        <v>200</v>
      </c>
      <c r="AR15" s="5" t="s">
        <v>208</v>
      </c>
      <c r="AS15" s="5" t="s">
        <v>208</v>
      </c>
      <c r="AT15" s="5" t="s">
        <v>202</v>
      </c>
      <c r="AU15" s="5" t="s">
        <v>208</v>
      </c>
      <c r="AV15" s="5" t="s">
        <v>270</v>
      </c>
    </row>
    <row r="16">
      <c r="A16" s="7">
        <v>45867.041666666664</v>
      </c>
      <c r="B16" s="7">
        <v>45867.05</v>
      </c>
      <c r="C16" s="5" t="s">
        <v>99</v>
      </c>
      <c r="D16" s="5" t="s">
        <v>192</v>
      </c>
      <c r="E16" s="8">
        <v>100.0</v>
      </c>
      <c r="F16" s="8">
        <v>741.0</v>
      </c>
      <c r="G16" s="9" t="b">
        <v>1</v>
      </c>
      <c r="H16" s="7">
        <v>45867.06041666667</v>
      </c>
      <c r="I16" s="5" t="s">
        <v>271</v>
      </c>
      <c r="J16" s="8">
        <v>60.1816</v>
      </c>
      <c r="K16" s="8">
        <v>24.8368</v>
      </c>
      <c r="L16" s="5" t="s">
        <v>194</v>
      </c>
      <c r="M16" s="5" t="s">
        <v>195</v>
      </c>
      <c r="N16" s="5" t="s">
        <v>258</v>
      </c>
      <c r="O16" s="5" t="s">
        <v>197</v>
      </c>
      <c r="P16" s="5" t="s">
        <v>202</v>
      </c>
      <c r="Q16" s="5" t="s">
        <v>208</v>
      </c>
      <c r="R16" s="5" t="s">
        <v>199</v>
      </c>
      <c r="S16" s="5" t="s">
        <v>201</v>
      </c>
      <c r="T16" s="5" t="s">
        <v>201</v>
      </c>
      <c r="U16" s="5" t="s">
        <v>201</v>
      </c>
      <c r="V16" s="5" t="s">
        <v>204</v>
      </c>
      <c r="W16" s="5" t="s">
        <v>198</v>
      </c>
      <c r="X16" s="5" t="s">
        <v>201</v>
      </c>
      <c r="Y16" s="5" t="s">
        <v>201</v>
      </c>
      <c r="Z16" s="5" t="s">
        <v>201</v>
      </c>
      <c r="AA16" s="5" t="s">
        <v>204</v>
      </c>
      <c r="AB16" s="5" t="s">
        <v>204</v>
      </c>
      <c r="AC16" s="5" t="s">
        <v>201</v>
      </c>
      <c r="AD16" s="5" t="s">
        <v>201</v>
      </c>
      <c r="AE16" s="5" t="s">
        <v>272</v>
      </c>
      <c r="AF16" s="5" t="s">
        <v>206</v>
      </c>
      <c r="AG16" s="5" t="s">
        <v>202</v>
      </c>
      <c r="AH16" s="5" t="s">
        <v>201</v>
      </c>
      <c r="AI16" s="5" t="s">
        <v>202</v>
      </c>
      <c r="AJ16" s="5" t="s">
        <v>202</v>
      </c>
      <c r="AK16" s="5" t="s">
        <v>201</v>
      </c>
      <c r="AL16" s="5" t="s">
        <v>201</v>
      </c>
      <c r="AM16" s="5" t="s">
        <v>273</v>
      </c>
      <c r="AN16" s="5" t="s">
        <v>206</v>
      </c>
      <c r="AO16" s="5" t="s">
        <v>201</v>
      </c>
      <c r="AP16" s="5" t="s">
        <v>202</v>
      </c>
      <c r="AQ16" s="5" t="s">
        <v>201</v>
      </c>
      <c r="AR16" s="5" t="s">
        <v>198</v>
      </c>
      <c r="AS16" s="5" t="s">
        <v>198</v>
      </c>
      <c r="AT16" s="5" t="s">
        <v>201</v>
      </c>
      <c r="AU16" s="5" t="s">
        <v>208</v>
      </c>
      <c r="AV16" s="5" t="s">
        <v>274</v>
      </c>
    </row>
    <row r="17">
      <c r="A17" s="7">
        <v>45867.055555555555</v>
      </c>
      <c r="B17" s="7">
        <v>45867.06180555555</v>
      </c>
      <c r="C17" s="5" t="s">
        <v>99</v>
      </c>
      <c r="D17" s="5" t="s">
        <v>192</v>
      </c>
      <c r="E17" s="8">
        <v>100.0</v>
      </c>
      <c r="F17" s="8">
        <v>538.0</v>
      </c>
      <c r="G17" s="9" t="b">
        <v>1</v>
      </c>
      <c r="H17" s="7">
        <v>45867.06180555555</v>
      </c>
      <c r="I17" s="5" t="s">
        <v>275</v>
      </c>
      <c r="J17" s="8">
        <v>60.1816</v>
      </c>
      <c r="K17" s="8">
        <v>24.8368</v>
      </c>
      <c r="L17" s="5" t="s">
        <v>194</v>
      </c>
      <c r="M17" s="5" t="s">
        <v>195</v>
      </c>
      <c r="N17" s="5" t="s">
        <v>258</v>
      </c>
      <c r="O17" s="5" t="s">
        <v>263</v>
      </c>
      <c r="P17" s="5" t="s">
        <v>200</v>
      </c>
      <c r="Q17" s="5" t="s">
        <v>204</v>
      </c>
      <c r="R17" s="5" t="s">
        <v>199</v>
      </c>
      <c r="S17" s="5" t="s">
        <v>202</v>
      </c>
      <c r="T17" s="5" t="s">
        <v>201</v>
      </c>
      <c r="U17" s="5" t="s">
        <v>202</v>
      </c>
      <c r="V17" s="5" t="s">
        <v>204</v>
      </c>
      <c r="W17" s="5" t="s">
        <v>204</v>
      </c>
      <c r="X17" s="5" t="s">
        <v>201</v>
      </c>
      <c r="Y17" s="5" t="s">
        <v>202</v>
      </c>
      <c r="Z17" s="5" t="s">
        <v>201</v>
      </c>
      <c r="AA17" s="5" t="s">
        <v>208</v>
      </c>
      <c r="AB17" s="5" t="s">
        <v>204</v>
      </c>
      <c r="AC17" s="5" t="s">
        <v>201</v>
      </c>
      <c r="AD17" s="5" t="s">
        <v>204</v>
      </c>
      <c r="AE17" s="5" t="s">
        <v>276</v>
      </c>
      <c r="AF17" s="5" t="s">
        <v>206</v>
      </c>
      <c r="AG17" s="5" t="s">
        <v>201</v>
      </c>
      <c r="AH17" s="5" t="s">
        <v>201</v>
      </c>
      <c r="AI17" s="5" t="s">
        <v>201</v>
      </c>
      <c r="AJ17" s="5" t="s">
        <v>201</v>
      </c>
      <c r="AK17" s="5" t="s">
        <v>200</v>
      </c>
      <c r="AL17" s="5" t="s">
        <v>201</v>
      </c>
      <c r="AM17" s="5" t="s">
        <v>277</v>
      </c>
      <c r="AN17" s="5" t="s">
        <v>206</v>
      </c>
      <c r="AO17" s="5" t="s">
        <v>201</v>
      </c>
      <c r="AP17" s="5" t="s">
        <v>201</v>
      </c>
      <c r="AQ17" s="5" t="s">
        <v>202</v>
      </c>
      <c r="AR17" s="5" t="s">
        <v>208</v>
      </c>
      <c r="AS17" s="5" t="s">
        <v>208</v>
      </c>
      <c r="AT17" s="5" t="s">
        <v>201</v>
      </c>
      <c r="AU17" s="5" t="s">
        <v>208</v>
      </c>
      <c r="AV17" s="5" t="s">
        <v>278</v>
      </c>
    </row>
    <row r="18">
      <c r="A18" s="7">
        <v>45867.05416666667</v>
      </c>
      <c r="B18" s="7">
        <v>45867.07361111111</v>
      </c>
      <c r="C18" s="5" t="s">
        <v>99</v>
      </c>
      <c r="D18" s="5" t="s">
        <v>256</v>
      </c>
      <c r="E18" s="8">
        <v>100.0</v>
      </c>
      <c r="F18" s="8">
        <v>1656.0</v>
      </c>
      <c r="G18" s="9" t="b">
        <v>1</v>
      </c>
      <c r="H18" s="7">
        <v>45867.07361111111</v>
      </c>
      <c r="I18" s="5" t="s">
        <v>279</v>
      </c>
      <c r="J18" s="8">
        <v>60.1816</v>
      </c>
      <c r="K18" s="8">
        <v>24.8368</v>
      </c>
      <c r="L18" s="5" t="s">
        <v>194</v>
      </c>
      <c r="M18" s="5" t="s">
        <v>195</v>
      </c>
      <c r="N18" s="5" t="s">
        <v>258</v>
      </c>
      <c r="O18" s="5" t="s">
        <v>216</v>
      </c>
      <c r="P18" s="5" t="s">
        <v>201</v>
      </c>
      <c r="Q18" s="5" t="s">
        <v>204</v>
      </c>
      <c r="R18" s="5" t="s">
        <v>199</v>
      </c>
      <c r="S18" s="5" t="s">
        <v>201</v>
      </c>
      <c r="T18" s="5" t="s">
        <v>201</v>
      </c>
      <c r="U18" s="5" t="s">
        <v>201</v>
      </c>
      <c r="V18" s="5" t="s">
        <v>204</v>
      </c>
      <c r="W18" s="5" t="s">
        <v>204</v>
      </c>
      <c r="X18" s="5" t="s">
        <v>201</v>
      </c>
      <c r="Y18" s="5" t="s">
        <v>201</v>
      </c>
      <c r="Z18" s="5" t="s">
        <v>201</v>
      </c>
      <c r="AA18" s="5" t="s">
        <v>204</v>
      </c>
      <c r="AB18" s="5" t="s">
        <v>204</v>
      </c>
      <c r="AC18" s="5" t="s">
        <v>201</v>
      </c>
      <c r="AD18" s="5" t="s">
        <v>204</v>
      </c>
      <c r="AE18" s="5" t="s">
        <v>280</v>
      </c>
      <c r="AF18" s="5" t="s">
        <v>206</v>
      </c>
      <c r="AG18" s="5" t="s">
        <v>201</v>
      </c>
      <c r="AH18" s="5" t="s">
        <v>202</v>
      </c>
      <c r="AI18" s="5" t="s">
        <v>201</v>
      </c>
      <c r="AJ18" s="5" t="s">
        <v>201</v>
      </c>
      <c r="AK18" s="5" t="s">
        <v>202</v>
      </c>
      <c r="AL18" s="5" t="s">
        <v>201</v>
      </c>
      <c r="AM18" s="5" t="s">
        <v>281</v>
      </c>
      <c r="AN18" s="5" t="s">
        <v>206</v>
      </c>
      <c r="AO18" s="5" t="s">
        <v>201</v>
      </c>
      <c r="AP18" s="5" t="s">
        <v>201</v>
      </c>
      <c r="AQ18" s="5" t="s">
        <v>201</v>
      </c>
      <c r="AR18" s="5" t="s">
        <v>201</v>
      </c>
      <c r="AS18" s="5" t="s">
        <v>201</v>
      </c>
      <c r="AT18" s="5" t="s">
        <v>204</v>
      </c>
      <c r="AU18" s="5" t="s">
        <v>201</v>
      </c>
      <c r="AV18" s="5" t="s">
        <v>282</v>
      </c>
    </row>
    <row r="19">
      <c r="A19" s="7">
        <v>45867.08611111111</v>
      </c>
      <c r="B19" s="7">
        <v>45867.095138888886</v>
      </c>
      <c r="C19" s="5" t="s">
        <v>99</v>
      </c>
      <c r="D19" s="5" t="s">
        <v>192</v>
      </c>
      <c r="E19" s="8">
        <v>100.0</v>
      </c>
      <c r="F19" s="8">
        <v>797.0</v>
      </c>
      <c r="G19" s="9" t="b">
        <v>1</v>
      </c>
      <c r="H19" s="7">
        <v>45867.095138888886</v>
      </c>
      <c r="I19" s="5" t="s">
        <v>283</v>
      </c>
      <c r="J19" s="8">
        <v>60.1816</v>
      </c>
      <c r="K19" s="8">
        <v>24.8368</v>
      </c>
      <c r="L19" s="5" t="s">
        <v>194</v>
      </c>
      <c r="M19" s="5" t="s">
        <v>195</v>
      </c>
      <c r="N19" s="5" t="s">
        <v>284</v>
      </c>
      <c r="O19" s="5" t="s">
        <v>263</v>
      </c>
      <c r="P19" s="5" t="s">
        <v>200</v>
      </c>
      <c r="Q19" s="5" t="s">
        <v>202</v>
      </c>
      <c r="R19" s="5" t="s">
        <v>199</v>
      </c>
      <c r="S19" s="5" t="s">
        <v>202</v>
      </c>
      <c r="T19" s="5" t="s">
        <v>208</v>
      </c>
      <c r="U19" s="5" t="s">
        <v>208</v>
      </c>
      <c r="V19" s="5" t="s">
        <v>202</v>
      </c>
      <c r="W19" s="5" t="s">
        <v>198</v>
      </c>
      <c r="X19" s="5" t="s">
        <v>202</v>
      </c>
      <c r="Y19" s="5" t="s">
        <v>202</v>
      </c>
      <c r="Z19" s="5" t="s">
        <v>198</v>
      </c>
      <c r="AA19" s="5" t="s">
        <v>208</v>
      </c>
      <c r="AB19" s="5" t="s">
        <v>202</v>
      </c>
      <c r="AC19" s="5" t="s">
        <v>202</v>
      </c>
      <c r="AD19" s="5" t="s">
        <v>200</v>
      </c>
      <c r="AE19" s="5" t="s">
        <v>285</v>
      </c>
      <c r="AF19" s="5" t="s">
        <v>206</v>
      </c>
      <c r="AG19" s="5" t="s">
        <v>203</v>
      </c>
      <c r="AH19" s="5" t="s">
        <v>202</v>
      </c>
      <c r="AI19" s="5" t="s">
        <v>202</v>
      </c>
      <c r="AJ19" s="5" t="s">
        <v>202</v>
      </c>
      <c r="AK19" s="5" t="s">
        <v>200</v>
      </c>
      <c r="AL19" s="5" t="s">
        <v>208</v>
      </c>
      <c r="AM19" s="5" t="s">
        <v>286</v>
      </c>
      <c r="AN19" s="5" t="s">
        <v>206</v>
      </c>
      <c r="AO19" s="5" t="s">
        <v>202</v>
      </c>
      <c r="AP19" s="5" t="s">
        <v>198</v>
      </c>
      <c r="AQ19" s="5" t="s">
        <v>202</v>
      </c>
      <c r="AR19" s="5" t="s">
        <v>204</v>
      </c>
      <c r="AS19" s="5" t="s">
        <v>208</v>
      </c>
      <c r="AT19" s="5" t="s">
        <v>200</v>
      </c>
      <c r="AU19" s="5" t="s">
        <v>204</v>
      </c>
      <c r="AV19" s="5" t="s">
        <v>287</v>
      </c>
    </row>
    <row r="20">
      <c r="A20" s="7">
        <v>45867.08125</v>
      </c>
      <c r="B20" s="7">
        <v>45867.09652777778</v>
      </c>
      <c r="C20" s="5" t="s">
        <v>99</v>
      </c>
      <c r="D20" s="5" t="s">
        <v>256</v>
      </c>
      <c r="E20" s="8">
        <v>100.0</v>
      </c>
      <c r="F20" s="8">
        <v>1356.0</v>
      </c>
      <c r="G20" s="9" t="b">
        <v>1</v>
      </c>
      <c r="H20" s="7">
        <v>45867.09652777778</v>
      </c>
      <c r="I20" s="5" t="s">
        <v>288</v>
      </c>
      <c r="J20" s="8">
        <v>60.1816</v>
      </c>
      <c r="K20" s="8">
        <v>24.8368</v>
      </c>
      <c r="L20" s="5" t="s">
        <v>194</v>
      </c>
      <c r="M20" s="5" t="s">
        <v>195</v>
      </c>
      <c r="N20" s="5" t="s">
        <v>289</v>
      </c>
      <c r="O20" s="5" t="s">
        <v>216</v>
      </c>
      <c r="P20" s="5" t="s">
        <v>202</v>
      </c>
      <c r="Q20" s="5" t="s">
        <v>200</v>
      </c>
      <c r="R20" s="5" t="s">
        <v>199</v>
      </c>
      <c r="S20" s="5" t="s">
        <v>202</v>
      </c>
      <c r="T20" s="5" t="s">
        <v>201</v>
      </c>
      <c r="U20" s="5" t="s">
        <v>202</v>
      </c>
      <c r="V20" s="5" t="s">
        <v>203</v>
      </c>
      <c r="W20" s="5" t="s">
        <v>202</v>
      </c>
      <c r="X20" s="5" t="s">
        <v>202</v>
      </c>
      <c r="Y20" s="5" t="s">
        <v>202</v>
      </c>
      <c r="Z20" s="5" t="s">
        <v>201</v>
      </c>
      <c r="AA20" s="5" t="s">
        <v>208</v>
      </c>
      <c r="AB20" s="5" t="s">
        <v>208</v>
      </c>
      <c r="AC20" s="5" t="s">
        <v>201</v>
      </c>
      <c r="AD20" s="5" t="s">
        <v>203</v>
      </c>
      <c r="AE20" s="5" t="s">
        <v>290</v>
      </c>
      <c r="AF20" s="5" t="s">
        <v>206</v>
      </c>
      <c r="AG20" s="5" t="s">
        <v>203</v>
      </c>
      <c r="AH20" s="5" t="s">
        <v>200</v>
      </c>
      <c r="AI20" s="5" t="s">
        <v>202</v>
      </c>
      <c r="AJ20" s="5" t="s">
        <v>200</v>
      </c>
      <c r="AK20" s="5" t="s">
        <v>202</v>
      </c>
      <c r="AL20" s="5" t="s">
        <v>202</v>
      </c>
      <c r="AM20" s="5" t="s">
        <v>291</v>
      </c>
      <c r="AN20" s="5" t="s">
        <v>206</v>
      </c>
      <c r="AO20" s="5" t="s">
        <v>202</v>
      </c>
      <c r="AP20" s="5" t="s">
        <v>201</v>
      </c>
      <c r="AQ20" s="5" t="s">
        <v>201</v>
      </c>
      <c r="AR20" s="5" t="s">
        <v>204</v>
      </c>
      <c r="AS20" s="5" t="s">
        <v>204</v>
      </c>
      <c r="AT20" s="5" t="s">
        <v>204</v>
      </c>
      <c r="AU20" s="5" t="s">
        <v>204</v>
      </c>
      <c r="AV20" s="5" t="s">
        <v>292</v>
      </c>
    </row>
    <row r="21">
      <c r="A21" s="7">
        <v>45867.09722222222</v>
      </c>
      <c r="B21" s="7">
        <v>45867.10902777778</v>
      </c>
      <c r="C21" s="5" t="s">
        <v>99</v>
      </c>
      <c r="D21" s="5" t="s">
        <v>256</v>
      </c>
      <c r="E21" s="8">
        <v>100.0</v>
      </c>
      <c r="F21" s="8">
        <v>986.0</v>
      </c>
      <c r="G21" s="9" t="b">
        <v>1</v>
      </c>
      <c r="H21" s="7">
        <v>45867.10902777778</v>
      </c>
      <c r="I21" s="5" t="s">
        <v>293</v>
      </c>
      <c r="J21" s="8">
        <v>60.1816</v>
      </c>
      <c r="K21" s="8">
        <v>24.8368</v>
      </c>
      <c r="L21" s="5" t="s">
        <v>194</v>
      </c>
      <c r="M21" s="5" t="s">
        <v>195</v>
      </c>
      <c r="N21" s="5" t="s">
        <v>284</v>
      </c>
      <c r="O21" s="5" t="s">
        <v>211</v>
      </c>
      <c r="P21" s="5" t="s">
        <v>198</v>
      </c>
      <c r="Q21" s="5" t="s">
        <v>198</v>
      </c>
      <c r="R21" s="5" t="s">
        <v>199</v>
      </c>
      <c r="S21" s="5" t="s">
        <v>200</v>
      </c>
      <c r="T21" s="5" t="s">
        <v>200</v>
      </c>
      <c r="U21" s="5" t="s">
        <v>208</v>
      </c>
      <c r="V21" s="5" t="s">
        <v>198</v>
      </c>
      <c r="W21" s="5" t="s">
        <v>198</v>
      </c>
      <c r="X21" s="5" t="s">
        <v>202</v>
      </c>
      <c r="Y21" s="5" t="s">
        <v>200</v>
      </c>
      <c r="Z21" s="5" t="s">
        <v>202</v>
      </c>
      <c r="AA21" s="5" t="s">
        <v>208</v>
      </c>
      <c r="AB21" s="5" t="s">
        <v>198</v>
      </c>
      <c r="AC21" s="5" t="s">
        <v>202</v>
      </c>
      <c r="AD21" s="5" t="s">
        <v>202</v>
      </c>
      <c r="AE21" s="5" t="s">
        <v>294</v>
      </c>
      <c r="AF21" s="5" t="s">
        <v>206</v>
      </c>
      <c r="AG21" s="5" t="s">
        <v>198</v>
      </c>
      <c r="AH21" s="5" t="s">
        <v>200</v>
      </c>
      <c r="AI21" s="5" t="s">
        <v>200</v>
      </c>
      <c r="AJ21" s="5" t="s">
        <v>200</v>
      </c>
      <c r="AK21" s="5" t="s">
        <v>200</v>
      </c>
      <c r="AL21" s="5" t="s">
        <v>200</v>
      </c>
      <c r="AM21" s="5" t="s">
        <v>295</v>
      </c>
      <c r="AN21" s="5" t="s">
        <v>206</v>
      </c>
      <c r="AO21" s="5" t="s">
        <v>200</v>
      </c>
      <c r="AP21" s="5" t="s">
        <v>200</v>
      </c>
      <c r="AQ21" s="5" t="s">
        <v>200</v>
      </c>
      <c r="AR21" s="5" t="s">
        <v>208</v>
      </c>
      <c r="AS21" s="5" t="s">
        <v>208</v>
      </c>
      <c r="AT21" s="5" t="s">
        <v>208</v>
      </c>
      <c r="AU21" s="5" t="s">
        <v>204</v>
      </c>
      <c r="AV21" s="5" t="s">
        <v>296</v>
      </c>
    </row>
    <row r="22">
      <c r="A22" s="7">
        <v>45867.10555555556</v>
      </c>
      <c r="B22" s="7">
        <v>45867.11041666667</v>
      </c>
      <c r="C22" s="5" t="s">
        <v>99</v>
      </c>
      <c r="D22" s="5" t="s">
        <v>192</v>
      </c>
      <c r="E22" s="8">
        <v>100.0</v>
      </c>
      <c r="F22" s="8">
        <v>401.0</v>
      </c>
      <c r="G22" s="9" t="b">
        <v>1</v>
      </c>
      <c r="H22" s="7">
        <v>45867.11041666667</v>
      </c>
      <c r="I22" s="5" t="s">
        <v>297</v>
      </c>
      <c r="J22" s="8">
        <v>60.1816</v>
      </c>
      <c r="K22" s="8">
        <v>24.8368</v>
      </c>
      <c r="L22" s="5" t="s">
        <v>194</v>
      </c>
      <c r="M22" s="5" t="s">
        <v>195</v>
      </c>
      <c r="N22" s="5" t="s">
        <v>289</v>
      </c>
      <c r="O22" s="5" t="s">
        <v>197</v>
      </c>
      <c r="P22" s="5" t="s">
        <v>201</v>
      </c>
      <c r="Q22" s="5" t="s">
        <v>202</v>
      </c>
      <c r="R22" s="5" t="s">
        <v>199</v>
      </c>
      <c r="S22" s="5" t="s">
        <v>202</v>
      </c>
      <c r="T22" s="5" t="s">
        <v>201</v>
      </c>
      <c r="U22" s="5" t="s">
        <v>200</v>
      </c>
      <c r="V22" s="5" t="s">
        <v>201</v>
      </c>
      <c r="W22" s="5" t="s">
        <v>201</v>
      </c>
      <c r="X22" s="5" t="s">
        <v>201</v>
      </c>
      <c r="Y22" s="5" t="s">
        <v>202</v>
      </c>
      <c r="Z22" s="5" t="s">
        <v>202</v>
      </c>
      <c r="AA22" s="5" t="s">
        <v>198</v>
      </c>
      <c r="AB22" s="5" t="s">
        <v>203</v>
      </c>
      <c r="AC22" s="5" t="s">
        <v>201</v>
      </c>
      <c r="AD22" s="5" t="s">
        <v>202</v>
      </c>
      <c r="AE22" s="5" t="s">
        <v>298</v>
      </c>
      <c r="AF22" s="5" t="s">
        <v>206</v>
      </c>
      <c r="AG22" s="5" t="s">
        <v>202</v>
      </c>
      <c r="AH22" s="5" t="s">
        <v>202</v>
      </c>
      <c r="AI22" s="5" t="s">
        <v>201</v>
      </c>
      <c r="AJ22" s="5" t="s">
        <v>201</v>
      </c>
      <c r="AK22" s="5" t="s">
        <v>201</v>
      </c>
      <c r="AL22" s="5" t="s">
        <v>200</v>
      </c>
      <c r="AM22" s="5" t="s">
        <v>299</v>
      </c>
      <c r="AN22" s="5" t="s">
        <v>206</v>
      </c>
      <c r="AO22" s="5" t="s">
        <v>202</v>
      </c>
      <c r="AP22" s="5" t="s">
        <v>200</v>
      </c>
      <c r="AQ22" s="5" t="s">
        <v>201</v>
      </c>
      <c r="AR22" s="5" t="s">
        <v>208</v>
      </c>
      <c r="AS22" s="5" t="s">
        <v>204</v>
      </c>
      <c r="AT22" s="5" t="s">
        <v>198</v>
      </c>
      <c r="AU22" s="5" t="s">
        <v>208</v>
      </c>
      <c r="AV22" s="5" t="s">
        <v>300</v>
      </c>
    </row>
    <row r="23">
      <c r="A23" s="7">
        <v>45867.10972222222</v>
      </c>
      <c r="B23" s="7">
        <v>45867.11944444444</v>
      </c>
      <c r="C23" s="5" t="s">
        <v>99</v>
      </c>
      <c r="D23" s="5" t="s">
        <v>256</v>
      </c>
      <c r="E23" s="8">
        <v>100.0</v>
      </c>
      <c r="F23" s="8">
        <v>845.0</v>
      </c>
      <c r="G23" s="9" t="b">
        <v>1</v>
      </c>
      <c r="H23" s="7">
        <v>45867.11944444444</v>
      </c>
      <c r="I23" s="5" t="s">
        <v>301</v>
      </c>
      <c r="J23" s="8">
        <v>60.1816</v>
      </c>
      <c r="K23" s="8">
        <v>24.8368</v>
      </c>
      <c r="L23" s="5" t="s">
        <v>194</v>
      </c>
      <c r="M23" s="5" t="s">
        <v>195</v>
      </c>
      <c r="N23" s="5" t="s">
        <v>284</v>
      </c>
      <c r="O23" s="5" t="s">
        <v>216</v>
      </c>
      <c r="P23" s="5" t="s">
        <v>198</v>
      </c>
      <c r="Q23" s="5" t="s">
        <v>208</v>
      </c>
      <c r="R23" s="5" t="s">
        <v>199</v>
      </c>
      <c r="S23" s="5" t="s">
        <v>200</v>
      </c>
      <c r="T23" s="5" t="s">
        <v>198</v>
      </c>
      <c r="U23" s="5" t="s">
        <v>198</v>
      </c>
      <c r="V23" s="5" t="s">
        <v>198</v>
      </c>
      <c r="W23" s="5" t="s">
        <v>198</v>
      </c>
      <c r="X23" s="5" t="s">
        <v>202</v>
      </c>
      <c r="Y23" s="5" t="s">
        <v>202</v>
      </c>
      <c r="Z23" s="5" t="s">
        <v>202</v>
      </c>
      <c r="AA23" s="5" t="s">
        <v>208</v>
      </c>
      <c r="AB23" s="5" t="s">
        <v>198</v>
      </c>
      <c r="AC23" s="5" t="s">
        <v>202</v>
      </c>
      <c r="AD23" s="5" t="s">
        <v>200</v>
      </c>
      <c r="AE23" s="5" t="s">
        <v>302</v>
      </c>
      <c r="AF23" s="5" t="s">
        <v>206</v>
      </c>
      <c r="AG23" s="5" t="s">
        <v>200</v>
      </c>
      <c r="AH23" s="5" t="s">
        <v>202</v>
      </c>
      <c r="AI23" s="5" t="s">
        <v>202</v>
      </c>
      <c r="AJ23" s="5" t="s">
        <v>202</v>
      </c>
      <c r="AK23" s="5" t="s">
        <v>200</v>
      </c>
      <c r="AL23" s="5" t="s">
        <v>200</v>
      </c>
      <c r="AM23" s="5" t="s">
        <v>303</v>
      </c>
      <c r="AN23" s="5" t="s">
        <v>206</v>
      </c>
      <c r="AO23" s="5" t="s">
        <v>202</v>
      </c>
      <c r="AP23" s="5" t="s">
        <v>202</v>
      </c>
      <c r="AQ23" s="5" t="s">
        <v>198</v>
      </c>
      <c r="AR23" s="5" t="s">
        <v>208</v>
      </c>
      <c r="AS23" s="5" t="s">
        <v>208</v>
      </c>
      <c r="AT23" s="5" t="s">
        <v>208</v>
      </c>
      <c r="AU23" s="5" t="s">
        <v>204</v>
      </c>
      <c r="AV23" s="5" t="s">
        <v>304</v>
      </c>
    </row>
    <row r="24">
      <c r="A24" s="7">
        <v>45867.11666666667</v>
      </c>
      <c r="B24" s="7">
        <v>45867.12013888889</v>
      </c>
      <c r="C24" s="5" t="s">
        <v>99</v>
      </c>
      <c r="D24" s="5" t="s">
        <v>192</v>
      </c>
      <c r="E24" s="8">
        <v>100.0</v>
      </c>
      <c r="F24" s="8">
        <v>341.0</v>
      </c>
      <c r="G24" s="9" t="b">
        <v>1</v>
      </c>
      <c r="H24" s="7">
        <v>45867.12013888889</v>
      </c>
      <c r="I24" s="5" t="s">
        <v>305</v>
      </c>
      <c r="J24" s="8">
        <v>60.1816</v>
      </c>
      <c r="K24" s="8">
        <v>24.8368</v>
      </c>
      <c r="L24" s="5" t="s">
        <v>194</v>
      </c>
      <c r="M24" s="5" t="s">
        <v>195</v>
      </c>
      <c r="N24" s="5" t="s">
        <v>289</v>
      </c>
      <c r="O24" s="5" t="s">
        <v>263</v>
      </c>
      <c r="P24" s="5" t="s">
        <v>201</v>
      </c>
      <c r="Q24" s="5" t="s">
        <v>200</v>
      </c>
      <c r="R24" s="5" t="s">
        <v>199</v>
      </c>
      <c r="S24" s="5" t="s">
        <v>201</v>
      </c>
      <c r="T24" s="5" t="s">
        <v>201</v>
      </c>
      <c r="U24" s="5" t="s">
        <v>201</v>
      </c>
      <c r="V24" s="5" t="s">
        <v>200</v>
      </c>
      <c r="W24" s="5" t="s">
        <v>201</v>
      </c>
      <c r="X24" s="5" t="s">
        <v>202</v>
      </c>
      <c r="Y24" s="5" t="s">
        <v>202</v>
      </c>
      <c r="Z24" s="5" t="s">
        <v>200</v>
      </c>
      <c r="AA24" s="5" t="s">
        <v>202</v>
      </c>
      <c r="AB24" s="5" t="s">
        <v>203</v>
      </c>
      <c r="AC24" s="5" t="s">
        <v>202</v>
      </c>
      <c r="AD24" s="5" t="s">
        <v>208</v>
      </c>
      <c r="AE24" s="5" t="s">
        <v>306</v>
      </c>
      <c r="AF24" s="5" t="s">
        <v>206</v>
      </c>
      <c r="AG24" s="5" t="s">
        <v>202</v>
      </c>
      <c r="AH24" s="5" t="s">
        <v>201</v>
      </c>
      <c r="AI24" s="5" t="s">
        <v>201</v>
      </c>
      <c r="AJ24" s="5" t="s">
        <v>201</v>
      </c>
      <c r="AK24" s="5" t="s">
        <v>201</v>
      </c>
      <c r="AL24" s="5" t="s">
        <v>202</v>
      </c>
      <c r="AM24" s="5" t="s">
        <v>307</v>
      </c>
      <c r="AN24" s="5" t="s">
        <v>206</v>
      </c>
      <c r="AO24" s="5" t="s">
        <v>201</v>
      </c>
      <c r="AP24" s="5" t="s">
        <v>202</v>
      </c>
      <c r="AQ24" s="5" t="s">
        <v>201</v>
      </c>
      <c r="AR24" s="5" t="s">
        <v>208</v>
      </c>
      <c r="AS24" s="5" t="s">
        <v>204</v>
      </c>
      <c r="AT24" s="5" t="s">
        <v>204</v>
      </c>
      <c r="AU24" s="5" t="s">
        <v>204</v>
      </c>
      <c r="AV24" s="5" t="s">
        <v>308</v>
      </c>
    </row>
    <row r="25">
      <c r="A25" s="7">
        <v>45867.123611111114</v>
      </c>
      <c r="B25" s="7">
        <v>45867.12847222222</v>
      </c>
      <c r="C25" s="5" t="s">
        <v>99</v>
      </c>
      <c r="D25" s="5" t="s">
        <v>256</v>
      </c>
      <c r="E25" s="8">
        <v>100.0</v>
      </c>
      <c r="F25" s="8">
        <v>465.0</v>
      </c>
      <c r="G25" s="9" t="b">
        <v>1</v>
      </c>
      <c r="H25" s="7">
        <v>45867.12847222222</v>
      </c>
      <c r="I25" s="5" t="s">
        <v>309</v>
      </c>
      <c r="J25" s="8">
        <v>60.1816</v>
      </c>
      <c r="K25" s="8">
        <v>24.8368</v>
      </c>
      <c r="L25" s="5" t="s">
        <v>194</v>
      </c>
      <c r="M25" s="5" t="s">
        <v>195</v>
      </c>
      <c r="N25" s="5" t="s">
        <v>289</v>
      </c>
      <c r="O25" s="5" t="s">
        <v>216</v>
      </c>
      <c r="P25" s="5" t="s">
        <v>201</v>
      </c>
      <c r="Q25" s="5" t="s">
        <v>202</v>
      </c>
      <c r="R25" s="5" t="s">
        <v>199</v>
      </c>
      <c r="S25" s="5" t="s">
        <v>201</v>
      </c>
      <c r="T25" s="5" t="s">
        <v>201</v>
      </c>
      <c r="U25" s="5" t="s">
        <v>202</v>
      </c>
      <c r="V25" s="5" t="s">
        <v>201</v>
      </c>
      <c r="W25" s="5" t="s">
        <v>201</v>
      </c>
      <c r="X25" s="5" t="s">
        <v>201</v>
      </c>
      <c r="Y25" s="5" t="s">
        <v>201</v>
      </c>
      <c r="Z25" s="5" t="s">
        <v>201</v>
      </c>
      <c r="AA25" s="5" t="s">
        <v>202</v>
      </c>
      <c r="AB25" s="5" t="s">
        <v>203</v>
      </c>
      <c r="AC25" s="5" t="s">
        <v>201</v>
      </c>
      <c r="AD25" s="5" t="s">
        <v>202</v>
      </c>
      <c r="AE25" s="5" t="s">
        <v>310</v>
      </c>
      <c r="AF25" s="5" t="s">
        <v>206</v>
      </c>
      <c r="AG25" s="5" t="s">
        <v>201</v>
      </c>
      <c r="AH25" s="5" t="s">
        <v>202</v>
      </c>
      <c r="AI25" s="5" t="s">
        <v>202</v>
      </c>
      <c r="AJ25" s="5" t="s">
        <v>202</v>
      </c>
      <c r="AK25" s="5" t="s">
        <v>201</v>
      </c>
      <c r="AL25" s="5" t="s">
        <v>202</v>
      </c>
      <c r="AM25" s="5" t="s">
        <v>311</v>
      </c>
      <c r="AN25" s="5" t="s">
        <v>206</v>
      </c>
      <c r="AO25" s="5" t="s">
        <v>202</v>
      </c>
      <c r="AP25" s="5" t="s">
        <v>201</v>
      </c>
      <c r="AQ25" s="5" t="s">
        <v>201</v>
      </c>
      <c r="AR25" s="5" t="s">
        <v>204</v>
      </c>
      <c r="AS25" s="5" t="s">
        <v>204</v>
      </c>
      <c r="AT25" s="5" t="s">
        <v>204</v>
      </c>
      <c r="AU25" s="5" t="s">
        <v>204</v>
      </c>
      <c r="AV25" s="5" t="s">
        <v>312</v>
      </c>
    </row>
    <row r="26">
      <c r="A26" s="7">
        <v>45867.12569444445</v>
      </c>
      <c r="B26" s="7">
        <v>45867.131944444445</v>
      </c>
      <c r="C26" s="5" t="s">
        <v>99</v>
      </c>
      <c r="D26" s="5" t="s">
        <v>192</v>
      </c>
      <c r="E26" s="8">
        <v>100.0</v>
      </c>
      <c r="F26" s="8">
        <v>559.0</v>
      </c>
      <c r="G26" s="9" t="b">
        <v>1</v>
      </c>
      <c r="H26" s="7">
        <v>45867.131944444445</v>
      </c>
      <c r="I26" s="5" t="s">
        <v>313</v>
      </c>
      <c r="J26" s="8">
        <v>60.1816</v>
      </c>
      <c r="K26" s="8">
        <v>24.8368</v>
      </c>
      <c r="L26" s="5" t="s">
        <v>194</v>
      </c>
      <c r="M26" s="5" t="s">
        <v>195</v>
      </c>
      <c r="N26" s="5" t="s">
        <v>284</v>
      </c>
      <c r="O26" s="5" t="s">
        <v>197</v>
      </c>
      <c r="P26" s="5" t="s">
        <v>202</v>
      </c>
      <c r="Q26" s="5" t="s">
        <v>203</v>
      </c>
      <c r="R26" s="5" t="s">
        <v>199</v>
      </c>
      <c r="S26" s="5" t="s">
        <v>200</v>
      </c>
      <c r="T26" s="5" t="s">
        <v>202</v>
      </c>
      <c r="U26" s="5" t="s">
        <v>208</v>
      </c>
      <c r="V26" s="5" t="s">
        <v>198</v>
      </c>
      <c r="W26" s="5" t="s">
        <v>208</v>
      </c>
      <c r="X26" s="5" t="s">
        <v>202</v>
      </c>
      <c r="Y26" s="5" t="s">
        <v>202</v>
      </c>
      <c r="Z26" s="5" t="s">
        <v>202</v>
      </c>
      <c r="AA26" s="5" t="s">
        <v>208</v>
      </c>
      <c r="AB26" s="5" t="s">
        <v>208</v>
      </c>
      <c r="AC26" s="5" t="s">
        <v>208</v>
      </c>
      <c r="AD26" s="5" t="s">
        <v>200</v>
      </c>
      <c r="AE26" s="5" t="s">
        <v>314</v>
      </c>
      <c r="AF26" s="5" t="s">
        <v>206</v>
      </c>
      <c r="AG26" s="5" t="s">
        <v>202</v>
      </c>
      <c r="AH26" s="5" t="s">
        <v>202</v>
      </c>
      <c r="AI26" s="5" t="s">
        <v>202</v>
      </c>
      <c r="AJ26" s="5" t="s">
        <v>202</v>
      </c>
      <c r="AK26" s="5" t="s">
        <v>202</v>
      </c>
      <c r="AL26" s="5" t="s">
        <v>200</v>
      </c>
      <c r="AM26" s="5" t="s">
        <v>315</v>
      </c>
      <c r="AN26" s="5" t="s">
        <v>206</v>
      </c>
      <c r="AO26" s="5" t="s">
        <v>202</v>
      </c>
      <c r="AP26" s="5" t="s">
        <v>202</v>
      </c>
      <c r="AQ26" s="5" t="s">
        <v>200</v>
      </c>
      <c r="AR26" s="5" t="s">
        <v>208</v>
      </c>
      <c r="AS26" s="5" t="s">
        <v>203</v>
      </c>
      <c r="AT26" s="5" t="s">
        <v>200</v>
      </c>
      <c r="AU26" s="5" t="s">
        <v>208</v>
      </c>
      <c r="AV26" s="5" t="s">
        <v>316</v>
      </c>
    </row>
    <row r="27">
      <c r="A27" s="7">
        <v>45867.20277777778</v>
      </c>
      <c r="B27" s="7">
        <v>45867.2125</v>
      </c>
      <c r="C27" s="5" t="s">
        <v>99</v>
      </c>
      <c r="D27" s="5" t="s">
        <v>192</v>
      </c>
      <c r="E27" s="8">
        <v>100.0</v>
      </c>
      <c r="F27" s="8">
        <v>845.0</v>
      </c>
      <c r="G27" s="9" t="b">
        <v>1</v>
      </c>
      <c r="H27" s="7">
        <v>45867.2125</v>
      </c>
      <c r="I27" s="5" t="s">
        <v>317</v>
      </c>
      <c r="J27" s="8">
        <v>60.1816</v>
      </c>
      <c r="K27" s="8">
        <v>24.8368</v>
      </c>
      <c r="L27" s="5" t="s">
        <v>194</v>
      </c>
      <c r="M27" s="5" t="s">
        <v>195</v>
      </c>
      <c r="N27" s="5" t="s">
        <v>318</v>
      </c>
      <c r="O27" s="5" t="s">
        <v>197</v>
      </c>
      <c r="P27" s="5" t="s">
        <v>198</v>
      </c>
      <c r="Q27" s="5" t="s">
        <v>208</v>
      </c>
      <c r="R27" s="5" t="s">
        <v>199</v>
      </c>
      <c r="S27" s="5" t="s">
        <v>198</v>
      </c>
      <c r="T27" s="5" t="s">
        <v>200</v>
      </c>
      <c r="U27" s="5" t="s">
        <v>198</v>
      </c>
      <c r="V27" s="5" t="s">
        <v>203</v>
      </c>
      <c r="W27" s="5" t="s">
        <v>198</v>
      </c>
      <c r="X27" s="5" t="s">
        <v>200</v>
      </c>
      <c r="Y27" s="5" t="s">
        <v>202</v>
      </c>
      <c r="Z27" s="5" t="s">
        <v>203</v>
      </c>
      <c r="AA27" s="5" t="s">
        <v>208</v>
      </c>
      <c r="AB27" s="5" t="s">
        <v>204</v>
      </c>
      <c r="AC27" s="5" t="s">
        <v>203</v>
      </c>
      <c r="AD27" s="5" t="s">
        <v>202</v>
      </c>
      <c r="AE27" s="5" t="s">
        <v>319</v>
      </c>
      <c r="AF27" s="5" t="s">
        <v>206</v>
      </c>
      <c r="AG27" s="5" t="s">
        <v>198</v>
      </c>
      <c r="AH27" s="5" t="s">
        <v>200</v>
      </c>
      <c r="AI27" s="5" t="s">
        <v>200</v>
      </c>
      <c r="AJ27" s="5" t="s">
        <v>202</v>
      </c>
      <c r="AK27" s="5" t="s">
        <v>200</v>
      </c>
      <c r="AL27" s="5" t="s">
        <v>202</v>
      </c>
      <c r="AM27" s="5" t="s">
        <v>320</v>
      </c>
      <c r="AN27" s="5" t="s">
        <v>206</v>
      </c>
      <c r="AO27" s="5" t="s">
        <v>200</v>
      </c>
      <c r="AP27" s="5" t="s">
        <v>202</v>
      </c>
      <c r="AQ27" s="5" t="s">
        <v>202</v>
      </c>
      <c r="AR27" s="5" t="s">
        <v>204</v>
      </c>
      <c r="AS27" s="5" t="s">
        <v>204</v>
      </c>
      <c r="AT27" s="5" t="s">
        <v>204</v>
      </c>
      <c r="AU27" s="5" t="s">
        <v>204</v>
      </c>
      <c r="AV27" s="5" t="s">
        <v>321</v>
      </c>
    </row>
    <row r="28">
      <c r="A28" s="7">
        <v>45867.21805555555</v>
      </c>
      <c r="B28" s="7">
        <v>45867.22222222222</v>
      </c>
      <c r="C28" s="5" t="s">
        <v>99</v>
      </c>
      <c r="D28" s="5" t="s">
        <v>256</v>
      </c>
      <c r="E28" s="8">
        <v>100.0</v>
      </c>
      <c r="F28" s="8">
        <v>353.0</v>
      </c>
      <c r="G28" s="9" t="b">
        <v>1</v>
      </c>
      <c r="H28" s="7">
        <v>45867.22222222222</v>
      </c>
      <c r="I28" s="5" t="s">
        <v>322</v>
      </c>
      <c r="J28" s="8">
        <v>60.1816</v>
      </c>
      <c r="K28" s="8">
        <v>24.8368</v>
      </c>
      <c r="L28" s="5" t="s">
        <v>194</v>
      </c>
      <c r="M28" s="5" t="s">
        <v>195</v>
      </c>
      <c r="N28" s="5" t="s">
        <v>318</v>
      </c>
      <c r="O28" s="5" t="s">
        <v>211</v>
      </c>
      <c r="P28" s="5" t="s">
        <v>200</v>
      </c>
      <c r="Q28" s="5" t="s">
        <v>203</v>
      </c>
      <c r="R28" s="5" t="s">
        <v>199</v>
      </c>
      <c r="S28" s="5" t="s">
        <v>202</v>
      </c>
      <c r="T28" s="5" t="s">
        <v>200</v>
      </c>
      <c r="U28" s="5" t="s">
        <v>198</v>
      </c>
      <c r="V28" s="5" t="s">
        <v>203</v>
      </c>
      <c r="W28" s="5" t="s">
        <v>203</v>
      </c>
      <c r="X28" s="5" t="s">
        <v>202</v>
      </c>
      <c r="Y28" s="5" t="s">
        <v>202</v>
      </c>
      <c r="Z28" s="5" t="s">
        <v>202</v>
      </c>
      <c r="AA28" s="5" t="s">
        <v>208</v>
      </c>
      <c r="AB28" s="5" t="s">
        <v>198</v>
      </c>
      <c r="AC28" s="5" t="s">
        <v>203</v>
      </c>
      <c r="AD28" s="5" t="s">
        <v>200</v>
      </c>
      <c r="AE28" s="5" t="s">
        <v>323</v>
      </c>
      <c r="AF28" s="5" t="s">
        <v>206</v>
      </c>
      <c r="AG28" s="5" t="s">
        <v>202</v>
      </c>
      <c r="AH28" s="5" t="s">
        <v>202</v>
      </c>
      <c r="AI28" s="5" t="s">
        <v>202</v>
      </c>
      <c r="AJ28" s="5" t="s">
        <v>201</v>
      </c>
      <c r="AK28" s="5" t="s">
        <v>201</v>
      </c>
      <c r="AL28" s="5" t="s">
        <v>202</v>
      </c>
      <c r="AM28" s="5" t="s">
        <v>324</v>
      </c>
      <c r="AN28" s="5" t="s">
        <v>206</v>
      </c>
      <c r="AO28" s="5" t="s">
        <v>202</v>
      </c>
      <c r="AP28" s="5" t="s">
        <v>202</v>
      </c>
      <c r="AQ28" s="5" t="s">
        <v>202</v>
      </c>
      <c r="AR28" s="5" t="s">
        <v>204</v>
      </c>
      <c r="AS28" s="5" t="s">
        <v>204</v>
      </c>
      <c r="AT28" s="5" t="s">
        <v>204</v>
      </c>
      <c r="AU28" s="5" t="s">
        <v>204</v>
      </c>
      <c r="AV28" s="5" t="s">
        <v>325</v>
      </c>
    </row>
    <row r="29">
      <c r="A29" s="7">
        <v>45867.225</v>
      </c>
      <c r="B29" s="7">
        <v>45867.23125</v>
      </c>
      <c r="C29" s="5" t="s">
        <v>99</v>
      </c>
      <c r="D29" s="5" t="s">
        <v>256</v>
      </c>
      <c r="E29" s="8">
        <v>100.0</v>
      </c>
      <c r="F29" s="8">
        <v>560.0</v>
      </c>
      <c r="G29" s="9" t="b">
        <v>1</v>
      </c>
      <c r="H29" s="7">
        <v>45867.23125</v>
      </c>
      <c r="I29" s="5" t="s">
        <v>326</v>
      </c>
      <c r="J29" s="8">
        <v>60.1816</v>
      </c>
      <c r="K29" s="8">
        <v>24.8368</v>
      </c>
      <c r="L29" s="5" t="s">
        <v>194</v>
      </c>
      <c r="M29" s="5" t="s">
        <v>195</v>
      </c>
      <c r="N29" s="5" t="s">
        <v>318</v>
      </c>
      <c r="O29" s="5" t="s">
        <v>216</v>
      </c>
      <c r="P29" s="5" t="s">
        <v>203</v>
      </c>
      <c r="Q29" s="5" t="s">
        <v>198</v>
      </c>
      <c r="R29" s="5" t="s">
        <v>199</v>
      </c>
      <c r="S29" s="5" t="s">
        <v>202</v>
      </c>
      <c r="T29" s="5" t="s">
        <v>202</v>
      </c>
      <c r="U29" s="5" t="s">
        <v>198</v>
      </c>
      <c r="V29" s="5" t="s">
        <v>198</v>
      </c>
      <c r="W29" s="5" t="s">
        <v>200</v>
      </c>
      <c r="X29" s="5" t="s">
        <v>202</v>
      </c>
      <c r="Y29" s="5" t="s">
        <v>202</v>
      </c>
      <c r="Z29" s="5" t="s">
        <v>200</v>
      </c>
      <c r="AA29" s="5" t="s">
        <v>198</v>
      </c>
      <c r="AB29" s="5" t="s">
        <v>203</v>
      </c>
      <c r="AC29" s="5" t="s">
        <v>198</v>
      </c>
      <c r="AD29" s="5" t="s">
        <v>200</v>
      </c>
      <c r="AE29" s="5" t="s">
        <v>327</v>
      </c>
      <c r="AF29" s="5" t="s">
        <v>206</v>
      </c>
      <c r="AG29" s="5" t="s">
        <v>202</v>
      </c>
      <c r="AH29" s="5" t="s">
        <v>201</v>
      </c>
      <c r="AI29" s="5" t="s">
        <v>202</v>
      </c>
      <c r="AJ29" s="5" t="s">
        <v>201</v>
      </c>
      <c r="AK29" s="5" t="s">
        <v>201</v>
      </c>
      <c r="AL29" s="5" t="s">
        <v>201</v>
      </c>
      <c r="AM29" s="5" t="s">
        <v>328</v>
      </c>
      <c r="AN29" s="5" t="s">
        <v>206</v>
      </c>
      <c r="AO29" s="5" t="s">
        <v>202</v>
      </c>
      <c r="AP29" s="5" t="s">
        <v>201</v>
      </c>
      <c r="AQ29" s="5" t="s">
        <v>200</v>
      </c>
      <c r="AR29" s="5" t="s">
        <v>204</v>
      </c>
      <c r="AS29" s="5" t="s">
        <v>204</v>
      </c>
      <c r="AT29" s="5" t="s">
        <v>204</v>
      </c>
      <c r="AU29" s="5" t="s">
        <v>204</v>
      </c>
      <c r="AV29" s="5" t="s">
        <v>329</v>
      </c>
    </row>
    <row r="30">
      <c r="A30" s="7">
        <v>45867.228472222225</v>
      </c>
      <c r="B30" s="7">
        <v>45867.240277777775</v>
      </c>
      <c r="C30" s="5" t="s">
        <v>99</v>
      </c>
      <c r="D30" s="5" t="s">
        <v>192</v>
      </c>
      <c r="E30" s="8">
        <v>100.0</v>
      </c>
      <c r="F30" s="8">
        <v>990.0</v>
      </c>
      <c r="G30" s="9" t="b">
        <v>1</v>
      </c>
      <c r="H30" s="7">
        <v>45867.240277777775</v>
      </c>
      <c r="I30" s="5" t="s">
        <v>330</v>
      </c>
      <c r="J30" s="8">
        <v>60.1816</v>
      </c>
      <c r="K30" s="8">
        <v>24.8368</v>
      </c>
      <c r="L30" s="5" t="s">
        <v>194</v>
      </c>
      <c r="M30" s="5" t="s">
        <v>195</v>
      </c>
      <c r="N30" s="5" t="s">
        <v>331</v>
      </c>
      <c r="O30" s="5" t="s">
        <v>197</v>
      </c>
      <c r="P30" s="5" t="s">
        <v>202</v>
      </c>
      <c r="Q30" s="5" t="s">
        <v>202</v>
      </c>
      <c r="R30" s="5" t="s">
        <v>199</v>
      </c>
      <c r="S30" s="5" t="s">
        <v>202</v>
      </c>
      <c r="T30" s="5" t="s">
        <v>201</v>
      </c>
      <c r="U30" s="5" t="s">
        <v>200</v>
      </c>
      <c r="V30" s="5" t="s">
        <v>202</v>
      </c>
      <c r="W30" s="5" t="s">
        <v>202</v>
      </c>
      <c r="X30" s="5" t="s">
        <v>200</v>
      </c>
      <c r="Y30" s="5" t="s">
        <v>200</v>
      </c>
      <c r="Z30" s="5" t="s">
        <v>201</v>
      </c>
      <c r="AA30" s="5" t="s">
        <v>198</v>
      </c>
      <c r="AB30" s="5" t="s">
        <v>200</v>
      </c>
      <c r="AC30" s="5" t="s">
        <v>201</v>
      </c>
      <c r="AD30" s="5" t="s">
        <v>208</v>
      </c>
      <c r="AE30" s="5" t="s">
        <v>332</v>
      </c>
      <c r="AF30" s="5" t="s">
        <v>206</v>
      </c>
      <c r="AG30" s="5" t="s">
        <v>200</v>
      </c>
      <c r="AH30" s="5" t="s">
        <v>201</v>
      </c>
      <c r="AI30" s="5" t="s">
        <v>201</v>
      </c>
      <c r="AJ30" s="5" t="s">
        <v>201</v>
      </c>
      <c r="AK30" s="5" t="s">
        <v>201</v>
      </c>
      <c r="AL30" s="5" t="s">
        <v>203</v>
      </c>
      <c r="AM30" s="5" t="s">
        <v>333</v>
      </c>
      <c r="AN30" s="5" t="s">
        <v>206</v>
      </c>
      <c r="AO30" s="5" t="s">
        <v>201</v>
      </c>
      <c r="AP30" s="5" t="s">
        <v>202</v>
      </c>
      <c r="AQ30" s="5" t="s">
        <v>201</v>
      </c>
      <c r="AR30" s="5" t="s">
        <v>208</v>
      </c>
      <c r="AS30" s="5" t="s">
        <v>204</v>
      </c>
      <c r="AT30" s="5" t="s">
        <v>208</v>
      </c>
      <c r="AU30" s="5" t="s">
        <v>204</v>
      </c>
      <c r="AV30" s="5" t="s">
        <v>334</v>
      </c>
    </row>
    <row r="31">
      <c r="A31" s="7">
        <v>45867.24097222222</v>
      </c>
      <c r="B31" s="7">
        <v>45867.25208333333</v>
      </c>
      <c r="C31" s="5" t="s">
        <v>99</v>
      </c>
      <c r="D31" s="5" t="s">
        <v>256</v>
      </c>
      <c r="E31" s="8">
        <v>100.0</v>
      </c>
      <c r="F31" s="8">
        <v>934.0</v>
      </c>
      <c r="G31" s="9" t="b">
        <v>1</v>
      </c>
      <c r="H31" s="7">
        <v>45867.25208333333</v>
      </c>
      <c r="I31" s="5" t="s">
        <v>335</v>
      </c>
      <c r="J31" s="8">
        <v>60.1816</v>
      </c>
      <c r="K31" s="8">
        <v>24.8368</v>
      </c>
      <c r="L31" s="5" t="s">
        <v>194</v>
      </c>
      <c r="M31" s="5" t="s">
        <v>195</v>
      </c>
      <c r="N31" s="5" t="s">
        <v>331</v>
      </c>
      <c r="O31" s="5" t="s">
        <v>211</v>
      </c>
      <c r="P31" s="5" t="s">
        <v>200</v>
      </c>
      <c r="Q31" s="5" t="s">
        <v>202</v>
      </c>
      <c r="R31" s="5" t="s">
        <v>199</v>
      </c>
      <c r="S31" s="5" t="s">
        <v>202</v>
      </c>
      <c r="T31" s="5" t="s">
        <v>202</v>
      </c>
      <c r="U31" s="5" t="s">
        <v>202</v>
      </c>
      <c r="V31" s="5" t="s">
        <v>202</v>
      </c>
      <c r="W31" s="5" t="s">
        <v>201</v>
      </c>
      <c r="X31" s="5" t="s">
        <v>202</v>
      </c>
      <c r="Y31" s="5" t="s">
        <v>200</v>
      </c>
      <c r="Z31" s="5" t="s">
        <v>201</v>
      </c>
      <c r="AA31" s="5" t="s">
        <v>202</v>
      </c>
      <c r="AB31" s="5" t="s">
        <v>198</v>
      </c>
      <c r="AC31" s="5" t="s">
        <v>202</v>
      </c>
      <c r="AD31" s="5" t="s">
        <v>208</v>
      </c>
      <c r="AE31" s="5" t="s">
        <v>336</v>
      </c>
      <c r="AF31" s="5" t="s">
        <v>206</v>
      </c>
      <c r="AG31" s="5" t="s">
        <v>202</v>
      </c>
      <c r="AH31" s="5" t="s">
        <v>202</v>
      </c>
      <c r="AI31" s="5" t="s">
        <v>201</v>
      </c>
      <c r="AJ31" s="5" t="s">
        <v>201</v>
      </c>
      <c r="AK31" s="5" t="s">
        <v>202</v>
      </c>
      <c r="AL31" s="5" t="s">
        <v>198</v>
      </c>
      <c r="AM31" s="5" t="s">
        <v>337</v>
      </c>
      <c r="AN31" s="5" t="s">
        <v>206</v>
      </c>
      <c r="AO31" s="5" t="s">
        <v>201</v>
      </c>
      <c r="AP31" s="5" t="s">
        <v>201</v>
      </c>
      <c r="AQ31" s="5" t="s">
        <v>201</v>
      </c>
      <c r="AR31" s="5" t="s">
        <v>204</v>
      </c>
      <c r="AS31" s="5" t="s">
        <v>204</v>
      </c>
      <c r="AT31" s="5" t="s">
        <v>204</v>
      </c>
      <c r="AU31" s="5" t="s">
        <v>204</v>
      </c>
      <c r="AV31" s="5" t="s">
        <v>338</v>
      </c>
    </row>
    <row r="32">
      <c r="A32" s="7">
        <v>45867.24930555555</v>
      </c>
      <c r="B32" s="7">
        <v>45867.254166666666</v>
      </c>
      <c r="C32" s="5" t="s">
        <v>99</v>
      </c>
      <c r="D32" s="5" t="s">
        <v>192</v>
      </c>
      <c r="E32" s="8">
        <v>100.0</v>
      </c>
      <c r="F32" s="8">
        <v>468.0</v>
      </c>
      <c r="G32" s="9" t="b">
        <v>1</v>
      </c>
      <c r="H32" s="7">
        <v>45867.25486111111</v>
      </c>
      <c r="I32" s="5" t="s">
        <v>339</v>
      </c>
      <c r="J32" s="8">
        <v>60.1816</v>
      </c>
      <c r="K32" s="8">
        <v>24.8368</v>
      </c>
      <c r="L32" s="5" t="s">
        <v>194</v>
      </c>
      <c r="M32" s="5" t="s">
        <v>195</v>
      </c>
      <c r="N32" s="5" t="s">
        <v>318</v>
      </c>
      <c r="O32" s="5" t="s">
        <v>263</v>
      </c>
      <c r="P32" s="5" t="s">
        <v>200</v>
      </c>
      <c r="Q32" s="5" t="s">
        <v>203</v>
      </c>
      <c r="R32" s="5" t="s">
        <v>199</v>
      </c>
      <c r="S32" s="5" t="s">
        <v>200</v>
      </c>
      <c r="T32" s="5" t="s">
        <v>202</v>
      </c>
      <c r="U32" s="5" t="s">
        <v>203</v>
      </c>
      <c r="V32" s="5" t="s">
        <v>208</v>
      </c>
      <c r="W32" s="5" t="s">
        <v>203</v>
      </c>
      <c r="X32" s="5" t="s">
        <v>202</v>
      </c>
      <c r="Y32" s="5" t="s">
        <v>202</v>
      </c>
      <c r="Z32" s="5" t="s">
        <v>200</v>
      </c>
      <c r="AA32" s="5" t="s">
        <v>203</v>
      </c>
      <c r="AB32" s="5" t="s">
        <v>198</v>
      </c>
      <c r="AC32" s="5" t="s">
        <v>200</v>
      </c>
      <c r="AD32" s="5" t="s">
        <v>200</v>
      </c>
      <c r="AE32" s="5" t="s">
        <v>340</v>
      </c>
      <c r="AF32" s="5" t="s">
        <v>206</v>
      </c>
      <c r="AG32" s="5" t="s">
        <v>200</v>
      </c>
      <c r="AH32" s="5" t="s">
        <v>201</v>
      </c>
      <c r="AI32" s="5" t="s">
        <v>202</v>
      </c>
      <c r="AJ32" s="5" t="s">
        <v>201</v>
      </c>
      <c r="AK32" s="5" t="s">
        <v>201</v>
      </c>
      <c r="AL32" s="5" t="s">
        <v>201</v>
      </c>
      <c r="AM32" s="5" t="s">
        <v>341</v>
      </c>
      <c r="AN32" s="5" t="s">
        <v>206</v>
      </c>
      <c r="AO32" s="5" t="s">
        <v>202</v>
      </c>
      <c r="AP32" s="5" t="s">
        <v>198</v>
      </c>
      <c r="AQ32" s="5" t="s">
        <v>200</v>
      </c>
      <c r="AR32" s="5" t="s">
        <v>203</v>
      </c>
      <c r="AS32" s="5" t="s">
        <v>204</v>
      </c>
      <c r="AT32" s="5" t="s">
        <v>200</v>
      </c>
      <c r="AU32" s="5" t="s">
        <v>198</v>
      </c>
      <c r="AV32" s="5" t="s">
        <v>342</v>
      </c>
    </row>
    <row r="33">
      <c r="A33" s="7">
        <v>45867.20694444444</v>
      </c>
      <c r="B33" s="7">
        <v>45867.26388888889</v>
      </c>
      <c r="C33" s="5" t="s">
        <v>99</v>
      </c>
      <c r="D33" s="5" t="s">
        <v>256</v>
      </c>
      <c r="E33" s="8">
        <v>100.0</v>
      </c>
      <c r="F33" s="8">
        <v>4924.0</v>
      </c>
      <c r="G33" s="9" t="b">
        <v>1</v>
      </c>
      <c r="H33" s="7">
        <v>45867.26388888889</v>
      </c>
      <c r="I33" s="5" t="s">
        <v>343</v>
      </c>
      <c r="J33" s="8">
        <v>60.1816</v>
      </c>
      <c r="K33" s="8">
        <v>24.8368</v>
      </c>
      <c r="L33" s="5" t="s">
        <v>194</v>
      </c>
      <c r="M33" s="5" t="s">
        <v>195</v>
      </c>
      <c r="N33" s="5" t="s">
        <v>331</v>
      </c>
      <c r="O33" s="5" t="s">
        <v>216</v>
      </c>
      <c r="P33" s="5" t="s">
        <v>202</v>
      </c>
      <c r="Q33" s="5" t="s">
        <v>202</v>
      </c>
      <c r="R33" s="5" t="s">
        <v>199</v>
      </c>
      <c r="S33" s="5" t="s">
        <v>202</v>
      </c>
      <c r="T33" s="5" t="s">
        <v>201</v>
      </c>
      <c r="U33" s="5" t="s">
        <v>202</v>
      </c>
      <c r="V33" s="5" t="s">
        <v>202</v>
      </c>
      <c r="W33" s="5" t="s">
        <v>202</v>
      </c>
      <c r="X33" s="5" t="s">
        <v>202</v>
      </c>
      <c r="Y33" s="5" t="s">
        <v>200</v>
      </c>
      <c r="Z33" s="5" t="s">
        <v>202</v>
      </c>
      <c r="AA33" s="5" t="s">
        <v>202</v>
      </c>
      <c r="AB33" s="5" t="s">
        <v>198</v>
      </c>
      <c r="AC33" s="5" t="s">
        <v>202</v>
      </c>
      <c r="AD33" s="5" t="s">
        <v>200</v>
      </c>
      <c r="AE33" s="5" t="s">
        <v>344</v>
      </c>
      <c r="AF33" s="5" t="s">
        <v>206</v>
      </c>
      <c r="AG33" s="5" t="s">
        <v>202</v>
      </c>
      <c r="AH33" s="5" t="s">
        <v>202</v>
      </c>
      <c r="AI33" s="5" t="s">
        <v>202</v>
      </c>
      <c r="AJ33" s="5" t="s">
        <v>202</v>
      </c>
      <c r="AK33" s="5" t="s">
        <v>202</v>
      </c>
      <c r="AL33" s="5" t="s">
        <v>202</v>
      </c>
      <c r="AM33" s="5" t="s">
        <v>345</v>
      </c>
      <c r="AN33" s="5" t="s">
        <v>206</v>
      </c>
      <c r="AO33" s="5" t="s">
        <v>202</v>
      </c>
      <c r="AP33" s="5" t="s">
        <v>201</v>
      </c>
      <c r="AQ33" s="5" t="s">
        <v>202</v>
      </c>
      <c r="AR33" s="5" t="s">
        <v>204</v>
      </c>
      <c r="AS33" s="5" t="s">
        <v>204</v>
      </c>
      <c r="AT33" s="5" t="s">
        <v>204</v>
      </c>
      <c r="AU33" s="5" t="s">
        <v>204</v>
      </c>
      <c r="AV33" s="5" t="s">
        <v>346</v>
      </c>
    </row>
    <row r="34">
      <c r="A34" s="7">
        <v>45867.26666666667</v>
      </c>
      <c r="B34" s="7">
        <v>45867.27569444444</v>
      </c>
      <c r="C34" s="5" t="s">
        <v>99</v>
      </c>
      <c r="D34" s="5" t="s">
        <v>347</v>
      </c>
      <c r="E34" s="8">
        <v>100.0</v>
      </c>
      <c r="F34" s="8">
        <v>764.0</v>
      </c>
      <c r="G34" s="9" t="b">
        <v>1</v>
      </c>
      <c r="H34" s="7">
        <v>45867.27569444444</v>
      </c>
      <c r="I34" s="5" t="s">
        <v>348</v>
      </c>
      <c r="J34" s="8">
        <v>60.2141</v>
      </c>
      <c r="K34" s="8">
        <v>24.896</v>
      </c>
      <c r="L34" s="5" t="s">
        <v>194</v>
      </c>
      <c r="M34" s="5" t="s">
        <v>195</v>
      </c>
      <c r="N34" s="5" t="s">
        <v>331</v>
      </c>
      <c r="O34" s="5" t="s">
        <v>263</v>
      </c>
      <c r="P34" s="5" t="s">
        <v>201</v>
      </c>
      <c r="Q34" s="5" t="s">
        <v>202</v>
      </c>
      <c r="R34" s="5" t="s">
        <v>199</v>
      </c>
      <c r="S34" s="5" t="s">
        <v>202</v>
      </c>
      <c r="T34" s="5" t="s">
        <v>202</v>
      </c>
      <c r="U34" s="5" t="s">
        <v>201</v>
      </c>
      <c r="V34" s="5" t="s">
        <v>202</v>
      </c>
      <c r="W34" s="5" t="s">
        <v>201</v>
      </c>
      <c r="X34" s="5" t="s">
        <v>202</v>
      </c>
      <c r="Y34" s="5" t="s">
        <v>202</v>
      </c>
      <c r="Z34" s="5" t="s">
        <v>200</v>
      </c>
      <c r="AA34" s="5" t="s">
        <v>202</v>
      </c>
      <c r="AB34" s="5" t="s">
        <v>208</v>
      </c>
      <c r="AC34" s="5" t="s">
        <v>202</v>
      </c>
      <c r="AD34" s="5" t="s">
        <v>208</v>
      </c>
      <c r="AE34" s="5" t="s">
        <v>349</v>
      </c>
      <c r="AF34" s="5" t="s">
        <v>206</v>
      </c>
      <c r="AG34" s="5" t="s">
        <v>200</v>
      </c>
      <c r="AH34" s="5" t="s">
        <v>201</v>
      </c>
      <c r="AI34" s="5" t="s">
        <v>202</v>
      </c>
      <c r="AJ34" s="5" t="s">
        <v>200</v>
      </c>
      <c r="AK34" s="5" t="s">
        <v>202</v>
      </c>
      <c r="AL34" s="5" t="s">
        <v>202</v>
      </c>
      <c r="AM34" s="5" t="s">
        <v>350</v>
      </c>
      <c r="AN34" s="5" t="s">
        <v>206</v>
      </c>
      <c r="AO34" s="5" t="s">
        <v>202</v>
      </c>
      <c r="AP34" s="5" t="s">
        <v>201</v>
      </c>
      <c r="AQ34" s="5" t="s">
        <v>201</v>
      </c>
      <c r="AR34" s="5" t="s">
        <v>208</v>
      </c>
      <c r="AS34" s="5" t="s">
        <v>198</v>
      </c>
      <c r="AT34" s="5" t="s">
        <v>208</v>
      </c>
      <c r="AU34" s="5" t="s">
        <v>204</v>
      </c>
      <c r="AV34" s="5" t="s">
        <v>351</v>
      </c>
    </row>
    <row r="35">
      <c r="A35" s="7">
        <v>45867.26944444444</v>
      </c>
      <c r="B35" s="7">
        <v>45867.282638888886</v>
      </c>
      <c r="C35" s="5" t="s">
        <v>99</v>
      </c>
      <c r="D35" s="5" t="s">
        <v>192</v>
      </c>
      <c r="E35" s="8">
        <v>100.0</v>
      </c>
      <c r="F35" s="8">
        <v>1145.0</v>
      </c>
      <c r="G35" s="9" t="b">
        <v>1</v>
      </c>
      <c r="H35" s="7">
        <v>45867.282638888886</v>
      </c>
      <c r="I35" s="5" t="s">
        <v>352</v>
      </c>
      <c r="J35" s="8">
        <v>60.1816</v>
      </c>
      <c r="K35" s="8">
        <v>24.8368</v>
      </c>
      <c r="L35" s="5" t="s">
        <v>194</v>
      </c>
      <c r="M35" s="5" t="s">
        <v>195</v>
      </c>
      <c r="N35" s="5" t="s">
        <v>353</v>
      </c>
      <c r="O35" s="5" t="s">
        <v>197</v>
      </c>
      <c r="P35" s="5" t="s">
        <v>208</v>
      </c>
      <c r="Q35" s="5" t="s">
        <v>204</v>
      </c>
      <c r="R35" s="5" t="s">
        <v>199</v>
      </c>
      <c r="S35" s="5" t="s">
        <v>208</v>
      </c>
      <c r="T35" s="5" t="s">
        <v>200</v>
      </c>
      <c r="U35" s="5" t="s">
        <v>204</v>
      </c>
      <c r="V35" s="5" t="s">
        <v>203</v>
      </c>
      <c r="W35" s="5" t="s">
        <v>198</v>
      </c>
      <c r="X35" s="5" t="s">
        <v>208</v>
      </c>
      <c r="Y35" s="5" t="s">
        <v>203</v>
      </c>
      <c r="Z35" s="5" t="s">
        <v>198</v>
      </c>
      <c r="AA35" s="5" t="s">
        <v>204</v>
      </c>
      <c r="AB35" s="5" t="s">
        <v>204</v>
      </c>
      <c r="AC35" s="5" t="s">
        <v>198</v>
      </c>
      <c r="AD35" s="5" t="s">
        <v>201</v>
      </c>
      <c r="AE35" s="5" t="s">
        <v>354</v>
      </c>
      <c r="AF35" s="5" t="s">
        <v>206</v>
      </c>
      <c r="AG35" s="5" t="s">
        <v>203</v>
      </c>
      <c r="AH35" s="5" t="s">
        <v>198</v>
      </c>
      <c r="AI35" s="5" t="s">
        <v>200</v>
      </c>
      <c r="AJ35" s="5" t="s">
        <v>200</v>
      </c>
      <c r="AK35" s="5" t="s">
        <v>203</v>
      </c>
      <c r="AL35" s="5" t="s">
        <v>201</v>
      </c>
      <c r="AM35" s="5" t="s">
        <v>355</v>
      </c>
      <c r="AN35" s="5" t="s">
        <v>206</v>
      </c>
      <c r="AO35" s="5" t="s">
        <v>203</v>
      </c>
      <c r="AP35" s="5" t="s">
        <v>200</v>
      </c>
      <c r="AQ35" s="5" t="s">
        <v>200</v>
      </c>
      <c r="AR35" s="5" t="s">
        <v>198</v>
      </c>
      <c r="AS35" s="5" t="s">
        <v>208</v>
      </c>
      <c r="AT35" s="5" t="s">
        <v>200</v>
      </c>
      <c r="AU35" s="5" t="s">
        <v>204</v>
      </c>
      <c r="AV35" s="5" t="s">
        <v>356</v>
      </c>
    </row>
    <row r="36">
      <c r="A36" s="7">
        <v>45867.28888888889</v>
      </c>
      <c r="B36" s="7">
        <v>45867.29375</v>
      </c>
      <c r="C36" s="5" t="s">
        <v>99</v>
      </c>
      <c r="D36" s="5" t="s">
        <v>192</v>
      </c>
      <c r="E36" s="8">
        <v>100.0</v>
      </c>
      <c r="F36" s="8">
        <v>418.0</v>
      </c>
      <c r="G36" s="9" t="b">
        <v>1</v>
      </c>
      <c r="H36" s="7">
        <v>45867.29375</v>
      </c>
      <c r="I36" s="5" t="s">
        <v>357</v>
      </c>
      <c r="J36" s="8">
        <v>60.1816</v>
      </c>
      <c r="K36" s="8">
        <v>24.8368</v>
      </c>
      <c r="L36" s="5" t="s">
        <v>194</v>
      </c>
      <c r="M36" s="5" t="s">
        <v>195</v>
      </c>
      <c r="N36" s="5" t="s">
        <v>353</v>
      </c>
      <c r="O36" s="5" t="s">
        <v>263</v>
      </c>
      <c r="P36" s="5" t="s">
        <v>208</v>
      </c>
      <c r="Q36" s="5" t="s">
        <v>203</v>
      </c>
      <c r="R36" s="5" t="s">
        <v>199</v>
      </c>
      <c r="S36" s="5" t="s">
        <v>198</v>
      </c>
      <c r="T36" s="5" t="s">
        <v>204</v>
      </c>
      <c r="U36" s="5" t="s">
        <v>204</v>
      </c>
      <c r="V36" s="5" t="s">
        <v>198</v>
      </c>
      <c r="W36" s="5" t="s">
        <v>198</v>
      </c>
      <c r="X36" s="5" t="s">
        <v>202</v>
      </c>
      <c r="Y36" s="5" t="s">
        <v>202</v>
      </c>
      <c r="Z36" s="5" t="s">
        <v>202</v>
      </c>
      <c r="AA36" s="5" t="s">
        <v>208</v>
      </c>
      <c r="AB36" s="5" t="s">
        <v>204</v>
      </c>
      <c r="AC36" s="5" t="s">
        <v>208</v>
      </c>
      <c r="AD36" s="5" t="s">
        <v>201</v>
      </c>
      <c r="AE36" s="11" t="s">
        <v>358</v>
      </c>
      <c r="AF36" s="5" t="s">
        <v>206</v>
      </c>
      <c r="AG36" s="5" t="s">
        <v>203</v>
      </c>
      <c r="AH36" s="5" t="s">
        <v>200</v>
      </c>
      <c r="AI36" s="5" t="s">
        <v>202</v>
      </c>
      <c r="AJ36" s="5" t="s">
        <v>198</v>
      </c>
      <c r="AK36" s="5" t="s">
        <v>201</v>
      </c>
      <c r="AL36" s="5" t="s">
        <v>200</v>
      </c>
      <c r="AM36" s="5" t="s">
        <v>359</v>
      </c>
      <c r="AN36" s="5" t="s">
        <v>206</v>
      </c>
      <c r="AO36" s="5" t="s">
        <v>200</v>
      </c>
      <c r="AP36" s="5" t="s">
        <v>202</v>
      </c>
      <c r="AQ36" s="5" t="s">
        <v>198</v>
      </c>
      <c r="AR36" s="5" t="s">
        <v>198</v>
      </c>
      <c r="AS36" s="5" t="s">
        <v>198</v>
      </c>
      <c r="AT36" s="5" t="s">
        <v>200</v>
      </c>
      <c r="AU36" s="5" t="s">
        <v>198</v>
      </c>
      <c r="AV36" s="5" t="s">
        <v>360</v>
      </c>
    </row>
    <row r="37">
      <c r="A37" s="7">
        <v>45867.274305555555</v>
      </c>
      <c r="B37" s="7">
        <v>45867.29375</v>
      </c>
      <c r="C37" s="5" t="s">
        <v>99</v>
      </c>
      <c r="D37" s="5" t="s">
        <v>256</v>
      </c>
      <c r="E37" s="8">
        <v>100.0</v>
      </c>
      <c r="F37" s="8">
        <v>1716.0</v>
      </c>
      <c r="G37" s="9" t="b">
        <v>1</v>
      </c>
      <c r="H37" s="7">
        <v>45867.29375</v>
      </c>
      <c r="I37" s="5" t="s">
        <v>361</v>
      </c>
      <c r="J37" s="8">
        <v>60.1816</v>
      </c>
      <c r="K37" s="8">
        <v>24.8368</v>
      </c>
      <c r="L37" s="5" t="s">
        <v>194</v>
      </c>
      <c r="M37" s="5" t="s">
        <v>195</v>
      </c>
      <c r="N37" s="5" t="s">
        <v>362</v>
      </c>
      <c r="O37" s="5" t="s">
        <v>216</v>
      </c>
      <c r="P37" s="5" t="s">
        <v>200</v>
      </c>
      <c r="Q37" s="5" t="s">
        <v>201</v>
      </c>
      <c r="R37" s="5" t="s">
        <v>199</v>
      </c>
      <c r="S37" s="5" t="s">
        <v>202</v>
      </c>
      <c r="T37" s="5" t="s">
        <v>201</v>
      </c>
      <c r="U37" s="5" t="s">
        <v>198</v>
      </c>
      <c r="V37" s="5" t="s">
        <v>202</v>
      </c>
      <c r="W37" s="5" t="s">
        <v>201</v>
      </c>
      <c r="X37" s="5" t="s">
        <v>201</v>
      </c>
      <c r="Y37" s="5" t="s">
        <v>201</v>
      </c>
      <c r="Z37" s="5" t="s">
        <v>201</v>
      </c>
      <c r="AA37" s="5" t="s">
        <v>208</v>
      </c>
      <c r="AB37" s="5" t="s">
        <v>200</v>
      </c>
      <c r="AC37" s="5" t="s">
        <v>200</v>
      </c>
      <c r="AD37" s="5" t="s">
        <v>203</v>
      </c>
      <c r="AE37" s="11" t="s">
        <v>363</v>
      </c>
      <c r="AF37" s="5" t="s">
        <v>206</v>
      </c>
      <c r="AG37" s="5" t="s">
        <v>202</v>
      </c>
      <c r="AH37" s="5" t="s">
        <v>202</v>
      </c>
      <c r="AI37" s="5" t="s">
        <v>201</v>
      </c>
      <c r="AJ37" s="5" t="s">
        <v>201</v>
      </c>
      <c r="AK37" s="5" t="s">
        <v>201</v>
      </c>
      <c r="AL37" s="5" t="s">
        <v>201</v>
      </c>
      <c r="AM37" s="5" t="s">
        <v>364</v>
      </c>
      <c r="AN37" s="5" t="s">
        <v>206</v>
      </c>
      <c r="AO37" s="5" t="s">
        <v>201</v>
      </c>
      <c r="AP37" s="5" t="s">
        <v>202</v>
      </c>
      <c r="AQ37" s="5" t="s">
        <v>201</v>
      </c>
      <c r="AR37" s="5" t="s">
        <v>204</v>
      </c>
      <c r="AS37" s="5" t="s">
        <v>204</v>
      </c>
      <c r="AT37" s="5" t="s">
        <v>204</v>
      </c>
      <c r="AU37" s="5" t="s">
        <v>204</v>
      </c>
      <c r="AV37" s="11" t="s">
        <v>365</v>
      </c>
    </row>
    <row r="38">
      <c r="A38" s="7">
        <v>45867.294444444444</v>
      </c>
      <c r="B38" s="7">
        <v>45867.305555555555</v>
      </c>
      <c r="C38" s="5" t="s">
        <v>99</v>
      </c>
      <c r="D38" s="5" t="s">
        <v>256</v>
      </c>
      <c r="E38" s="8">
        <v>100.0</v>
      </c>
      <c r="F38" s="8">
        <v>1001.0</v>
      </c>
      <c r="G38" s="9" t="b">
        <v>1</v>
      </c>
      <c r="H38" s="7">
        <v>45867.305555555555</v>
      </c>
      <c r="I38" s="5" t="s">
        <v>366</v>
      </c>
      <c r="J38" s="8">
        <v>60.1816</v>
      </c>
      <c r="K38" s="8">
        <v>24.8368</v>
      </c>
      <c r="L38" s="5" t="s">
        <v>194</v>
      </c>
      <c r="M38" s="5" t="s">
        <v>195</v>
      </c>
      <c r="N38" s="5" t="s">
        <v>353</v>
      </c>
      <c r="O38" s="5" t="s">
        <v>216</v>
      </c>
      <c r="P38" s="5" t="s">
        <v>203</v>
      </c>
      <c r="Q38" s="5" t="s">
        <v>208</v>
      </c>
      <c r="R38" s="5" t="s">
        <v>199</v>
      </c>
      <c r="S38" s="5" t="s">
        <v>203</v>
      </c>
      <c r="T38" s="5" t="s">
        <v>208</v>
      </c>
      <c r="U38" s="5" t="s">
        <v>204</v>
      </c>
      <c r="V38" s="5" t="s">
        <v>198</v>
      </c>
      <c r="W38" s="5" t="s">
        <v>202</v>
      </c>
      <c r="X38" s="5" t="s">
        <v>198</v>
      </c>
      <c r="Y38" s="5" t="s">
        <v>202</v>
      </c>
      <c r="Z38" s="5" t="s">
        <v>202</v>
      </c>
      <c r="AA38" s="5" t="s">
        <v>204</v>
      </c>
      <c r="AB38" s="5" t="s">
        <v>204</v>
      </c>
      <c r="AC38" s="5" t="s">
        <v>200</v>
      </c>
      <c r="AD38" s="5" t="s">
        <v>201</v>
      </c>
      <c r="AE38" s="5" t="s">
        <v>367</v>
      </c>
      <c r="AF38" s="5" t="s">
        <v>206</v>
      </c>
      <c r="AG38" s="5" t="s">
        <v>202</v>
      </c>
      <c r="AH38" s="5" t="s">
        <v>203</v>
      </c>
      <c r="AI38" s="5" t="s">
        <v>200</v>
      </c>
      <c r="AJ38" s="5" t="s">
        <v>202</v>
      </c>
      <c r="AK38" s="5" t="s">
        <v>202</v>
      </c>
      <c r="AL38" s="5" t="s">
        <v>203</v>
      </c>
      <c r="AM38" s="5" t="s">
        <v>368</v>
      </c>
      <c r="AN38" s="5" t="s">
        <v>206</v>
      </c>
      <c r="AO38" s="5" t="s">
        <v>203</v>
      </c>
      <c r="AP38" s="5" t="s">
        <v>202</v>
      </c>
      <c r="AQ38" s="5" t="s">
        <v>200</v>
      </c>
      <c r="AR38" s="5" t="s">
        <v>204</v>
      </c>
      <c r="AS38" s="5" t="s">
        <v>204</v>
      </c>
      <c r="AT38" s="5" t="s">
        <v>204</v>
      </c>
      <c r="AU38" s="5" t="s">
        <v>204</v>
      </c>
      <c r="AV38" s="5" t="s">
        <v>369</v>
      </c>
    </row>
    <row r="39">
      <c r="A39" s="7">
        <v>45867.308333333334</v>
      </c>
      <c r="B39" s="7">
        <v>45867.31458333333</v>
      </c>
      <c r="C39" s="5" t="s">
        <v>99</v>
      </c>
      <c r="D39" s="5" t="s">
        <v>256</v>
      </c>
      <c r="E39" s="8">
        <v>100.0</v>
      </c>
      <c r="F39" s="8">
        <v>594.0</v>
      </c>
      <c r="G39" s="9" t="b">
        <v>1</v>
      </c>
      <c r="H39" s="7">
        <v>45867.31458333333</v>
      </c>
      <c r="I39" s="5" t="s">
        <v>370</v>
      </c>
      <c r="J39" s="8">
        <v>60.1816</v>
      </c>
      <c r="K39" s="8">
        <v>24.8368</v>
      </c>
      <c r="L39" s="5" t="s">
        <v>194</v>
      </c>
      <c r="M39" s="5" t="s">
        <v>195</v>
      </c>
      <c r="N39" s="5" t="s">
        <v>353</v>
      </c>
      <c r="O39" s="5" t="s">
        <v>211</v>
      </c>
      <c r="P39" s="5" t="s">
        <v>200</v>
      </c>
      <c r="Q39" s="5" t="s">
        <v>204</v>
      </c>
      <c r="R39" s="5" t="s">
        <v>199</v>
      </c>
      <c r="S39" s="5" t="s">
        <v>204</v>
      </c>
      <c r="T39" s="5" t="s">
        <v>200</v>
      </c>
      <c r="U39" s="5" t="s">
        <v>198</v>
      </c>
      <c r="V39" s="5" t="s">
        <v>208</v>
      </c>
      <c r="W39" s="5" t="s">
        <v>202</v>
      </c>
      <c r="X39" s="5" t="s">
        <v>203</v>
      </c>
      <c r="Y39" s="5" t="s">
        <v>200</v>
      </c>
      <c r="Z39" s="5" t="s">
        <v>200</v>
      </c>
      <c r="AA39" s="5" t="s">
        <v>202</v>
      </c>
      <c r="AB39" s="5" t="s">
        <v>198</v>
      </c>
      <c r="AC39" s="5" t="s">
        <v>200</v>
      </c>
      <c r="AD39" s="5" t="s">
        <v>203</v>
      </c>
      <c r="AE39" s="5" t="s">
        <v>371</v>
      </c>
      <c r="AF39" s="5" t="s">
        <v>206</v>
      </c>
      <c r="AG39" s="5" t="s">
        <v>202</v>
      </c>
      <c r="AH39" s="5" t="s">
        <v>200</v>
      </c>
      <c r="AI39" s="5" t="s">
        <v>200</v>
      </c>
      <c r="AJ39" s="5" t="s">
        <v>208</v>
      </c>
      <c r="AK39" s="5" t="s">
        <v>203</v>
      </c>
      <c r="AL39" s="5" t="s">
        <v>204</v>
      </c>
      <c r="AM39" s="5" t="s">
        <v>372</v>
      </c>
      <c r="AN39" s="5" t="s">
        <v>206</v>
      </c>
      <c r="AO39" s="5" t="s">
        <v>200</v>
      </c>
      <c r="AP39" s="5" t="s">
        <v>200</v>
      </c>
      <c r="AQ39" s="5" t="s">
        <v>202</v>
      </c>
      <c r="AR39" s="5" t="s">
        <v>204</v>
      </c>
      <c r="AS39" s="5" t="s">
        <v>204</v>
      </c>
      <c r="AT39" s="5" t="s">
        <v>204</v>
      </c>
      <c r="AU39" s="5" t="s">
        <v>204</v>
      </c>
      <c r="AV39" s="5" t="s">
        <v>373</v>
      </c>
    </row>
    <row r="40">
      <c r="A40" s="7">
        <v>45867.330555555556</v>
      </c>
      <c r="B40" s="7">
        <v>45867.34583333333</v>
      </c>
      <c r="C40" s="5" t="s">
        <v>99</v>
      </c>
      <c r="D40" s="5" t="s">
        <v>192</v>
      </c>
      <c r="E40" s="8">
        <v>100.0</v>
      </c>
      <c r="F40" s="8">
        <v>1333.0</v>
      </c>
      <c r="G40" s="9" t="b">
        <v>1</v>
      </c>
      <c r="H40" s="7">
        <v>45867.34583333333</v>
      </c>
      <c r="I40" s="5" t="s">
        <v>374</v>
      </c>
      <c r="J40" s="8">
        <v>60.1816</v>
      </c>
      <c r="K40" s="8">
        <v>24.8368</v>
      </c>
      <c r="L40" s="5" t="s">
        <v>194</v>
      </c>
      <c r="M40" s="5" t="s">
        <v>195</v>
      </c>
      <c r="N40" s="5" t="s">
        <v>362</v>
      </c>
      <c r="O40" s="5" t="s">
        <v>263</v>
      </c>
      <c r="P40" s="5" t="s">
        <v>202</v>
      </c>
      <c r="Q40" s="5" t="s">
        <v>202</v>
      </c>
      <c r="R40" s="5" t="s">
        <v>199</v>
      </c>
      <c r="S40" s="5" t="s">
        <v>201</v>
      </c>
      <c r="T40" s="5" t="s">
        <v>198</v>
      </c>
      <c r="U40" s="5" t="s">
        <v>200</v>
      </c>
      <c r="V40" s="5" t="s">
        <v>202</v>
      </c>
      <c r="W40" s="5" t="s">
        <v>201</v>
      </c>
      <c r="X40" s="5" t="s">
        <v>201</v>
      </c>
      <c r="Y40" s="5" t="s">
        <v>201</v>
      </c>
      <c r="Z40" s="5" t="s">
        <v>201</v>
      </c>
      <c r="AA40" s="5" t="s">
        <v>200</v>
      </c>
      <c r="AB40" s="5" t="s">
        <v>200</v>
      </c>
      <c r="AC40" s="5" t="s">
        <v>201</v>
      </c>
      <c r="AD40" s="5" t="s">
        <v>200</v>
      </c>
      <c r="AE40" s="5" t="s">
        <v>375</v>
      </c>
      <c r="AF40" s="5" t="s">
        <v>206</v>
      </c>
      <c r="AG40" s="5" t="s">
        <v>202</v>
      </c>
      <c r="AH40" s="5" t="s">
        <v>201</v>
      </c>
      <c r="AI40" s="5" t="s">
        <v>201</v>
      </c>
      <c r="AJ40" s="5" t="s">
        <v>198</v>
      </c>
      <c r="AK40" s="5" t="s">
        <v>203</v>
      </c>
      <c r="AL40" s="5" t="s">
        <v>203</v>
      </c>
      <c r="AM40" s="5" t="s">
        <v>376</v>
      </c>
      <c r="AN40" s="5" t="s">
        <v>206</v>
      </c>
      <c r="AO40" s="5" t="s">
        <v>202</v>
      </c>
      <c r="AP40" s="5" t="s">
        <v>202</v>
      </c>
      <c r="AQ40" s="5" t="s">
        <v>202</v>
      </c>
      <c r="AR40" s="5" t="s">
        <v>208</v>
      </c>
      <c r="AS40" s="5" t="s">
        <v>202</v>
      </c>
      <c r="AT40" s="5" t="s">
        <v>208</v>
      </c>
      <c r="AU40" s="5" t="s">
        <v>208</v>
      </c>
      <c r="AV40" s="5" t="s">
        <v>377</v>
      </c>
    </row>
    <row r="41">
      <c r="A41" s="7">
        <v>45868.01527777778</v>
      </c>
      <c r="B41" s="7">
        <v>45868.02847222222</v>
      </c>
      <c r="C41" s="5" t="s">
        <v>99</v>
      </c>
      <c r="D41" s="5" t="s">
        <v>192</v>
      </c>
      <c r="E41" s="8">
        <v>100.0</v>
      </c>
      <c r="F41" s="8">
        <v>1140.0</v>
      </c>
      <c r="G41" s="9" t="b">
        <v>1</v>
      </c>
      <c r="H41" s="7">
        <v>45868.02847222222</v>
      </c>
      <c r="I41" s="5" t="s">
        <v>378</v>
      </c>
      <c r="J41" s="8">
        <v>60.1816</v>
      </c>
      <c r="K41" s="8">
        <v>24.8368</v>
      </c>
      <c r="L41" s="5" t="s">
        <v>194</v>
      </c>
      <c r="M41" s="5" t="s">
        <v>195</v>
      </c>
      <c r="N41" s="5" t="s">
        <v>379</v>
      </c>
      <c r="O41" s="5" t="s">
        <v>197</v>
      </c>
      <c r="P41" s="5" t="s">
        <v>202</v>
      </c>
      <c r="Q41" s="5" t="s">
        <v>202</v>
      </c>
      <c r="R41" s="5" t="s">
        <v>199</v>
      </c>
      <c r="S41" s="5" t="s">
        <v>202</v>
      </c>
      <c r="T41" s="5" t="s">
        <v>201</v>
      </c>
      <c r="U41" s="5" t="s">
        <v>201</v>
      </c>
      <c r="V41" s="5" t="s">
        <v>202</v>
      </c>
      <c r="W41" s="5" t="s">
        <v>201</v>
      </c>
      <c r="X41" s="5" t="s">
        <v>201</v>
      </c>
      <c r="Y41" s="5" t="s">
        <v>201</v>
      </c>
      <c r="Z41" s="5" t="s">
        <v>202</v>
      </c>
      <c r="AA41" s="5" t="s">
        <v>202</v>
      </c>
      <c r="AB41" s="5" t="s">
        <v>200</v>
      </c>
      <c r="AC41" s="5" t="s">
        <v>202</v>
      </c>
      <c r="AD41" s="5" t="s">
        <v>200</v>
      </c>
      <c r="AE41" s="5" t="s">
        <v>380</v>
      </c>
      <c r="AF41" s="5" t="s">
        <v>206</v>
      </c>
      <c r="AG41" s="5" t="s">
        <v>201</v>
      </c>
      <c r="AH41" s="5" t="s">
        <v>201</v>
      </c>
      <c r="AI41" s="5" t="s">
        <v>201</v>
      </c>
      <c r="AJ41" s="5" t="s">
        <v>201</v>
      </c>
      <c r="AK41" s="5" t="s">
        <v>201</v>
      </c>
      <c r="AL41" s="5" t="s">
        <v>202</v>
      </c>
      <c r="AM41" s="5" t="s">
        <v>381</v>
      </c>
      <c r="AN41" s="5" t="s">
        <v>206</v>
      </c>
      <c r="AO41" s="5" t="s">
        <v>202</v>
      </c>
      <c r="AP41" s="5" t="s">
        <v>202</v>
      </c>
      <c r="AQ41" s="5" t="s">
        <v>201</v>
      </c>
      <c r="AR41" s="5" t="s">
        <v>208</v>
      </c>
      <c r="AS41" s="5" t="s">
        <v>204</v>
      </c>
      <c r="AT41" s="5" t="s">
        <v>208</v>
      </c>
      <c r="AU41" s="5" t="s">
        <v>204</v>
      </c>
      <c r="AV41" s="5" t="s">
        <v>382</v>
      </c>
    </row>
    <row r="42">
      <c r="A42" s="7">
        <v>45868.01527777778</v>
      </c>
      <c r="B42" s="7">
        <v>45868.040972222225</v>
      </c>
      <c r="C42" s="5" t="s">
        <v>99</v>
      </c>
      <c r="D42" s="5" t="s">
        <v>383</v>
      </c>
      <c r="E42" s="8">
        <v>100.0</v>
      </c>
      <c r="F42" s="8">
        <v>2166.0</v>
      </c>
      <c r="G42" s="9" t="b">
        <v>1</v>
      </c>
      <c r="H42" s="7">
        <v>45868.040972222225</v>
      </c>
      <c r="I42" s="5" t="s">
        <v>384</v>
      </c>
      <c r="J42" s="8">
        <v>60.1816</v>
      </c>
      <c r="K42" s="8">
        <v>24.8368</v>
      </c>
      <c r="L42" s="5" t="s">
        <v>194</v>
      </c>
      <c r="M42" s="5" t="s">
        <v>195</v>
      </c>
      <c r="N42" s="5" t="s">
        <v>385</v>
      </c>
      <c r="O42" s="5" t="s">
        <v>211</v>
      </c>
      <c r="P42" s="5" t="s">
        <v>203</v>
      </c>
      <c r="Q42" s="5" t="s">
        <v>200</v>
      </c>
      <c r="R42" s="5" t="s">
        <v>199</v>
      </c>
      <c r="S42" s="5" t="s">
        <v>202</v>
      </c>
      <c r="T42" s="5" t="s">
        <v>202</v>
      </c>
      <c r="U42" s="5" t="s">
        <v>198</v>
      </c>
      <c r="V42" s="5" t="s">
        <v>198</v>
      </c>
      <c r="W42" s="5" t="s">
        <v>202</v>
      </c>
      <c r="X42" s="5" t="s">
        <v>200</v>
      </c>
      <c r="Y42" s="5" t="s">
        <v>200</v>
      </c>
      <c r="Z42" s="5" t="s">
        <v>202</v>
      </c>
      <c r="AA42" s="5" t="s">
        <v>203</v>
      </c>
      <c r="AB42" s="5" t="s">
        <v>203</v>
      </c>
      <c r="AC42" s="5" t="s">
        <v>200</v>
      </c>
      <c r="AD42" s="5" t="s">
        <v>203</v>
      </c>
      <c r="AE42" s="5" t="s">
        <v>386</v>
      </c>
      <c r="AF42" s="5" t="s">
        <v>206</v>
      </c>
      <c r="AG42" s="5" t="s">
        <v>202</v>
      </c>
      <c r="AH42" s="5" t="s">
        <v>202</v>
      </c>
      <c r="AI42" s="5" t="s">
        <v>201</v>
      </c>
      <c r="AJ42" s="5" t="s">
        <v>202</v>
      </c>
      <c r="AK42" s="5" t="s">
        <v>200</v>
      </c>
      <c r="AL42" s="5" t="s">
        <v>203</v>
      </c>
      <c r="AM42" s="5" t="s">
        <v>387</v>
      </c>
      <c r="AN42" s="5" t="s">
        <v>206</v>
      </c>
      <c r="AO42" s="5" t="s">
        <v>201</v>
      </c>
      <c r="AP42" s="5" t="s">
        <v>202</v>
      </c>
      <c r="AQ42" s="5" t="s">
        <v>202</v>
      </c>
      <c r="AR42" s="5" t="s">
        <v>204</v>
      </c>
      <c r="AS42" s="5" t="s">
        <v>204</v>
      </c>
      <c r="AT42" s="5" t="s">
        <v>204</v>
      </c>
      <c r="AU42" s="5" t="s">
        <v>204</v>
      </c>
      <c r="AV42" s="5" t="s">
        <v>388</v>
      </c>
    </row>
    <row r="43">
      <c r="A43" s="7">
        <v>45868.02361111111</v>
      </c>
      <c r="B43" s="7">
        <v>45868.041666666664</v>
      </c>
      <c r="C43" s="5" t="s">
        <v>99</v>
      </c>
      <c r="D43" s="5" t="s">
        <v>389</v>
      </c>
      <c r="E43" s="8">
        <v>100.0</v>
      </c>
      <c r="F43" s="8">
        <v>1527.0</v>
      </c>
      <c r="G43" s="9" t="b">
        <v>1</v>
      </c>
      <c r="H43" s="7">
        <v>45868.041666666664</v>
      </c>
      <c r="I43" s="5" t="s">
        <v>390</v>
      </c>
      <c r="J43" s="8">
        <v>60.1816</v>
      </c>
      <c r="K43" s="8">
        <v>24.8368</v>
      </c>
      <c r="L43" s="5" t="s">
        <v>194</v>
      </c>
      <c r="M43" s="5" t="s">
        <v>195</v>
      </c>
      <c r="N43" s="5" t="s">
        <v>379</v>
      </c>
      <c r="O43" s="5" t="s">
        <v>211</v>
      </c>
      <c r="P43" s="5" t="s">
        <v>202</v>
      </c>
      <c r="Q43" s="5" t="s">
        <v>202</v>
      </c>
      <c r="R43" s="5" t="s">
        <v>199</v>
      </c>
      <c r="S43" s="5" t="s">
        <v>202</v>
      </c>
      <c r="T43" s="5" t="s">
        <v>201</v>
      </c>
      <c r="U43" s="5" t="s">
        <v>201</v>
      </c>
      <c r="V43" s="5" t="s">
        <v>202</v>
      </c>
      <c r="W43" s="5" t="s">
        <v>201</v>
      </c>
      <c r="X43" s="5" t="s">
        <v>201</v>
      </c>
      <c r="Y43" s="5" t="s">
        <v>201</v>
      </c>
      <c r="Z43" s="5" t="s">
        <v>202</v>
      </c>
      <c r="AA43" s="5" t="s">
        <v>202</v>
      </c>
      <c r="AB43" s="5" t="s">
        <v>203</v>
      </c>
      <c r="AC43" s="5" t="s">
        <v>202</v>
      </c>
      <c r="AD43" s="5" t="s">
        <v>208</v>
      </c>
      <c r="AE43" s="5" t="s">
        <v>391</v>
      </c>
      <c r="AF43" s="5" t="s">
        <v>206</v>
      </c>
      <c r="AG43" s="5" t="s">
        <v>202</v>
      </c>
      <c r="AH43" s="5" t="s">
        <v>202</v>
      </c>
      <c r="AI43" s="5" t="s">
        <v>202</v>
      </c>
      <c r="AJ43" s="5" t="s">
        <v>201</v>
      </c>
      <c r="AK43" s="5" t="s">
        <v>202</v>
      </c>
      <c r="AL43" s="5" t="s">
        <v>201</v>
      </c>
      <c r="AM43" s="5" t="s">
        <v>392</v>
      </c>
      <c r="AN43" s="5" t="s">
        <v>206</v>
      </c>
      <c r="AO43" s="5" t="s">
        <v>201</v>
      </c>
      <c r="AP43" s="5" t="s">
        <v>201</v>
      </c>
      <c r="AQ43" s="5" t="s">
        <v>202</v>
      </c>
      <c r="AR43" s="5" t="s">
        <v>204</v>
      </c>
      <c r="AS43" s="5" t="s">
        <v>204</v>
      </c>
      <c r="AT43" s="5" t="s">
        <v>204</v>
      </c>
      <c r="AU43" s="5" t="s">
        <v>204</v>
      </c>
      <c r="AV43" s="5" t="s">
        <v>393</v>
      </c>
    </row>
    <row r="44">
      <c r="A44" s="7">
        <v>45868.04375</v>
      </c>
      <c r="B44" s="7">
        <v>45868.05416666667</v>
      </c>
      <c r="C44" s="5" t="s">
        <v>99</v>
      </c>
      <c r="D44" s="5" t="s">
        <v>389</v>
      </c>
      <c r="E44" s="8">
        <v>100.0</v>
      </c>
      <c r="F44" s="8">
        <v>866.0</v>
      </c>
      <c r="G44" s="9" t="b">
        <v>1</v>
      </c>
      <c r="H44" s="7">
        <v>45868.05416666667</v>
      </c>
      <c r="I44" s="5" t="s">
        <v>394</v>
      </c>
      <c r="J44" s="8">
        <v>60.1816</v>
      </c>
      <c r="K44" s="8">
        <v>24.8368</v>
      </c>
      <c r="L44" s="5" t="s">
        <v>194</v>
      </c>
      <c r="M44" s="5" t="s">
        <v>195</v>
      </c>
      <c r="N44" s="5" t="s">
        <v>379</v>
      </c>
      <c r="O44" s="5" t="s">
        <v>216</v>
      </c>
      <c r="P44" s="5" t="s">
        <v>202</v>
      </c>
      <c r="Q44" s="5" t="s">
        <v>200</v>
      </c>
      <c r="R44" s="5" t="s">
        <v>199</v>
      </c>
      <c r="S44" s="5" t="s">
        <v>201</v>
      </c>
      <c r="T44" s="5" t="s">
        <v>201</v>
      </c>
      <c r="U44" s="5" t="s">
        <v>201</v>
      </c>
      <c r="V44" s="5" t="s">
        <v>202</v>
      </c>
      <c r="W44" s="5" t="s">
        <v>202</v>
      </c>
      <c r="X44" s="5" t="s">
        <v>201</v>
      </c>
      <c r="Y44" s="5" t="s">
        <v>201</v>
      </c>
      <c r="Z44" s="5" t="s">
        <v>202</v>
      </c>
      <c r="AA44" s="5" t="s">
        <v>200</v>
      </c>
      <c r="AB44" s="5" t="s">
        <v>202</v>
      </c>
      <c r="AC44" s="5" t="s">
        <v>202</v>
      </c>
      <c r="AD44" s="5" t="s">
        <v>198</v>
      </c>
      <c r="AE44" s="5" t="s">
        <v>395</v>
      </c>
      <c r="AF44" s="5" t="s">
        <v>206</v>
      </c>
      <c r="AG44" s="5" t="s">
        <v>202</v>
      </c>
      <c r="AH44" s="5" t="s">
        <v>202</v>
      </c>
      <c r="AI44" s="5" t="s">
        <v>201</v>
      </c>
      <c r="AJ44" s="5" t="s">
        <v>201</v>
      </c>
      <c r="AK44" s="5" t="s">
        <v>201</v>
      </c>
      <c r="AL44" s="5" t="s">
        <v>201</v>
      </c>
      <c r="AM44" s="5" t="s">
        <v>396</v>
      </c>
      <c r="AN44" s="5" t="s">
        <v>206</v>
      </c>
      <c r="AO44" s="5" t="s">
        <v>202</v>
      </c>
      <c r="AP44" s="5" t="s">
        <v>202</v>
      </c>
      <c r="AQ44" s="5" t="s">
        <v>202</v>
      </c>
      <c r="AR44" s="5" t="s">
        <v>204</v>
      </c>
      <c r="AS44" s="5" t="s">
        <v>204</v>
      </c>
      <c r="AT44" s="5" t="s">
        <v>204</v>
      </c>
      <c r="AU44" s="5" t="s">
        <v>204</v>
      </c>
      <c r="AV44" s="5" t="s">
        <v>397</v>
      </c>
    </row>
    <row r="45">
      <c r="A45" s="7">
        <v>45868.04513888889</v>
      </c>
      <c r="B45" s="7">
        <v>45868.055555555555</v>
      </c>
      <c r="C45" s="5" t="s">
        <v>99</v>
      </c>
      <c r="D45" s="5" t="s">
        <v>192</v>
      </c>
      <c r="E45" s="8">
        <v>100.0</v>
      </c>
      <c r="F45" s="8">
        <v>863.0</v>
      </c>
      <c r="G45" s="9" t="b">
        <v>1</v>
      </c>
      <c r="H45" s="7">
        <v>45868.055555555555</v>
      </c>
      <c r="I45" s="5" t="s">
        <v>398</v>
      </c>
      <c r="J45" s="8">
        <v>60.1816</v>
      </c>
      <c r="K45" s="8">
        <v>24.8368</v>
      </c>
      <c r="L45" s="5" t="s">
        <v>194</v>
      </c>
      <c r="M45" s="5" t="s">
        <v>195</v>
      </c>
      <c r="N45" s="5" t="s">
        <v>385</v>
      </c>
      <c r="O45" s="5" t="s">
        <v>197</v>
      </c>
      <c r="P45" s="5" t="s">
        <v>201</v>
      </c>
      <c r="Q45" s="5" t="s">
        <v>202</v>
      </c>
      <c r="R45" s="5" t="s">
        <v>199</v>
      </c>
      <c r="S45" s="5" t="s">
        <v>202</v>
      </c>
      <c r="T45" s="5" t="s">
        <v>202</v>
      </c>
      <c r="U45" s="5" t="s">
        <v>201</v>
      </c>
      <c r="V45" s="5" t="s">
        <v>202</v>
      </c>
      <c r="W45" s="5" t="s">
        <v>201</v>
      </c>
      <c r="X45" s="5" t="s">
        <v>202</v>
      </c>
      <c r="Y45" s="5" t="s">
        <v>202</v>
      </c>
      <c r="Z45" s="5" t="s">
        <v>202</v>
      </c>
      <c r="AA45" s="5" t="s">
        <v>203</v>
      </c>
      <c r="AB45" s="5" t="s">
        <v>203</v>
      </c>
      <c r="AC45" s="5" t="s">
        <v>202</v>
      </c>
      <c r="AD45" s="5" t="s">
        <v>200</v>
      </c>
      <c r="AE45" s="5" t="s">
        <v>399</v>
      </c>
      <c r="AF45" s="5" t="s">
        <v>206</v>
      </c>
      <c r="AG45" s="5" t="s">
        <v>202</v>
      </c>
      <c r="AH45" s="5" t="s">
        <v>202</v>
      </c>
      <c r="AI45" s="5" t="s">
        <v>201</v>
      </c>
      <c r="AJ45" s="5" t="s">
        <v>202</v>
      </c>
      <c r="AK45" s="5" t="s">
        <v>202</v>
      </c>
      <c r="AL45" s="5" t="s">
        <v>203</v>
      </c>
      <c r="AM45" s="5" t="s">
        <v>400</v>
      </c>
      <c r="AN45" s="5" t="s">
        <v>206</v>
      </c>
      <c r="AO45" s="5" t="s">
        <v>202</v>
      </c>
      <c r="AP45" s="5" t="s">
        <v>202</v>
      </c>
      <c r="AQ45" s="5" t="s">
        <v>202</v>
      </c>
      <c r="AR45" s="5" t="s">
        <v>208</v>
      </c>
      <c r="AS45" s="5" t="s">
        <v>204</v>
      </c>
      <c r="AT45" s="5" t="s">
        <v>208</v>
      </c>
      <c r="AU45" s="5" t="s">
        <v>204</v>
      </c>
      <c r="AV45" s="5" t="s">
        <v>401</v>
      </c>
    </row>
    <row r="46">
      <c r="A46" s="7">
        <v>45868.06041666667</v>
      </c>
      <c r="B46" s="7">
        <v>45868.07083333333</v>
      </c>
      <c r="C46" s="5" t="s">
        <v>99</v>
      </c>
      <c r="D46" s="5" t="s">
        <v>389</v>
      </c>
      <c r="E46" s="8">
        <v>100.0</v>
      </c>
      <c r="F46" s="8">
        <v>942.0</v>
      </c>
      <c r="G46" s="9" t="b">
        <v>1</v>
      </c>
      <c r="H46" s="7">
        <v>45868.07083333333</v>
      </c>
      <c r="I46" s="5" t="s">
        <v>402</v>
      </c>
      <c r="J46" s="8">
        <v>60.1816</v>
      </c>
      <c r="K46" s="8">
        <v>24.8368</v>
      </c>
      <c r="L46" s="5" t="s">
        <v>194</v>
      </c>
      <c r="M46" s="5" t="s">
        <v>195</v>
      </c>
      <c r="N46" s="5" t="s">
        <v>385</v>
      </c>
      <c r="O46" s="5" t="s">
        <v>263</v>
      </c>
      <c r="P46" s="5" t="s">
        <v>202</v>
      </c>
      <c r="Q46" s="5" t="s">
        <v>200</v>
      </c>
      <c r="R46" s="5" t="s">
        <v>199</v>
      </c>
      <c r="S46" s="5" t="s">
        <v>202</v>
      </c>
      <c r="T46" s="5" t="s">
        <v>200</v>
      </c>
      <c r="U46" s="5" t="s">
        <v>201</v>
      </c>
      <c r="V46" s="5" t="s">
        <v>200</v>
      </c>
      <c r="W46" s="5" t="s">
        <v>201</v>
      </c>
      <c r="X46" s="5" t="s">
        <v>202</v>
      </c>
      <c r="Y46" s="5" t="s">
        <v>200</v>
      </c>
      <c r="Z46" s="5" t="s">
        <v>202</v>
      </c>
      <c r="AA46" s="5" t="s">
        <v>202</v>
      </c>
      <c r="AB46" s="5" t="s">
        <v>208</v>
      </c>
      <c r="AC46" s="5" t="s">
        <v>202</v>
      </c>
      <c r="AD46" s="5" t="s">
        <v>200</v>
      </c>
      <c r="AE46" s="5" t="s">
        <v>403</v>
      </c>
      <c r="AF46" s="5" t="s">
        <v>206</v>
      </c>
      <c r="AG46" s="5" t="s">
        <v>202</v>
      </c>
      <c r="AH46" s="5" t="s">
        <v>202</v>
      </c>
      <c r="AI46" s="5" t="s">
        <v>202</v>
      </c>
      <c r="AJ46" s="5" t="s">
        <v>202</v>
      </c>
      <c r="AK46" s="5" t="s">
        <v>202</v>
      </c>
      <c r="AL46" s="5" t="s">
        <v>203</v>
      </c>
      <c r="AM46" s="5" t="s">
        <v>404</v>
      </c>
      <c r="AN46" s="5" t="s">
        <v>206</v>
      </c>
      <c r="AO46" s="5" t="s">
        <v>202</v>
      </c>
      <c r="AP46" s="5" t="s">
        <v>200</v>
      </c>
      <c r="AQ46" s="5" t="s">
        <v>200</v>
      </c>
      <c r="AR46" s="5" t="s">
        <v>208</v>
      </c>
      <c r="AS46" s="5" t="s">
        <v>208</v>
      </c>
      <c r="AT46" s="5" t="s">
        <v>200</v>
      </c>
      <c r="AU46" s="5" t="s">
        <v>208</v>
      </c>
      <c r="AV46" s="5" t="s">
        <v>405</v>
      </c>
    </row>
    <row r="47">
      <c r="A47" s="7">
        <v>45868.06527777778</v>
      </c>
      <c r="B47" s="7">
        <v>45868.072916666664</v>
      </c>
      <c r="C47" s="5" t="s">
        <v>99</v>
      </c>
      <c r="D47" s="5" t="s">
        <v>192</v>
      </c>
      <c r="E47" s="8">
        <v>100.0</v>
      </c>
      <c r="F47" s="8">
        <v>659.0</v>
      </c>
      <c r="G47" s="9" t="b">
        <v>1</v>
      </c>
      <c r="H47" s="7">
        <v>45868.072916666664</v>
      </c>
      <c r="I47" s="5" t="s">
        <v>406</v>
      </c>
      <c r="J47" s="8">
        <v>60.1816</v>
      </c>
      <c r="K47" s="8">
        <v>24.8368</v>
      </c>
      <c r="L47" s="5" t="s">
        <v>194</v>
      </c>
      <c r="M47" s="5" t="s">
        <v>195</v>
      </c>
      <c r="N47" s="5" t="s">
        <v>379</v>
      </c>
      <c r="O47" s="5" t="s">
        <v>263</v>
      </c>
      <c r="P47" s="5" t="s">
        <v>202</v>
      </c>
      <c r="Q47" s="5" t="s">
        <v>202</v>
      </c>
      <c r="R47" s="5" t="s">
        <v>199</v>
      </c>
      <c r="S47" s="5" t="s">
        <v>202</v>
      </c>
      <c r="T47" s="5" t="s">
        <v>202</v>
      </c>
      <c r="U47" s="5" t="s">
        <v>202</v>
      </c>
      <c r="V47" s="5" t="s">
        <v>202</v>
      </c>
      <c r="W47" s="5" t="s">
        <v>201</v>
      </c>
      <c r="X47" s="5" t="s">
        <v>201</v>
      </c>
      <c r="Y47" s="5" t="s">
        <v>201</v>
      </c>
      <c r="Z47" s="5" t="s">
        <v>201</v>
      </c>
      <c r="AA47" s="5" t="s">
        <v>200</v>
      </c>
      <c r="AB47" s="5" t="s">
        <v>202</v>
      </c>
      <c r="AC47" s="5" t="s">
        <v>202</v>
      </c>
      <c r="AD47" s="5" t="s">
        <v>202</v>
      </c>
      <c r="AE47" s="5" t="s">
        <v>407</v>
      </c>
      <c r="AF47" s="5" t="s">
        <v>206</v>
      </c>
      <c r="AG47" s="5" t="s">
        <v>202</v>
      </c>
      <c r="AH47" s="5" t="s">
        <v>201</v>
      </c>
      <c r="AI47" s="5" t="s">
        <v>201</v>
      </c>
      <c r="AJ47" s="5" t="s">
        <v>201</v>
      </c>
      <c r="AK47" s="5" t="s">
        <v>201</v>
      </c>
      <c r="AL47" s="5" t="s">
        <v>201</v>
      </c>
      <c r="AM47" s="5" t="s">
        <v>408</v>
      </c>
      <c r="AN47" s="5" t="s">
        <v>206</v>
      </c>
      <c r="AO47" s="5" t="s">
        <v>201</v>
      </c>
      <c r="AP47" s="5" t="s">
        <v>201</v>
      </c>
      <c r="AQ47" s="5" t="s">
        <v>201</v>
      </c>
      <c r="AR47" s="5" t="s">
        <v>204</v>
      </c>
      <c r="AS47" s="5" t="s">
        <v>204</v>
      </c>
      <c r="AT47" s="5" t="s">
        <v>204</v>
      </c>
      <c r="AU47" s="5" t="s">
        <v>204</v>
      </c>
      <c r="AV47" s="5" t="s">
        <v>409</v>
      </c>
    </row>
    <row r="48">
      <c r="A48" s="7">
        <v>45868.080555555556</v>
      </c>
      <c r="B48" s="7">
        <v>45868.08541666667</v>
      </c>
      <c r="C48" s="5" t="s">
        <v>99</v>
      </c>
      <c r="D48" s="5" t="s">
        <v>192</v>
      </c>
      <c r="E48" s="8">
        <v>100.0</v>
      </c>
      <c r="F48" s="8">
        <v>380.0</v>
      </c>
      <c r="G48" s="9" t="b">
        <v>1</v>
      </c>
      <c r="H48" s="7">
        <v>45868.08541666667</v>
      </c>
      <c r="I48" s="5" t="s">
        <v>410</v>
      </c>
      <c r="J48" s="8">
        <v>60.1816</v>
      </c>
      <c r="K48" s="8">
        <v>24.8368</v>
      </c>
      <c r="L48" s="5" t="s">
        <v>194</v>
      </c>
      <c r="M48" s="5" t="s">
        <v>195</v>
      </c>
      <c r="N48" s="5" t="s">
        <v>411</v>
      </c>
      <c r="O48" s="5" t="s">
        <v>263</v>
      </c>
      <c r="P48" s="5" t="s">
        <v>198</v>
      </c>
      <c r="Q48" s="5" t="s">
        <v>198</v>
      </c>
      <c r="R48" s="5" t="s">
        <v>199</v>
      </c>
      <c r="S48" s="5" t="s">
        <v>202</v>
      </c>
      <c r="T48" s="5" t="s">
        <v>202</v>
      </c>
      <c r="U48" s="5" t="s">
        <v>198</v>
      </c>
      <c r="V48" s="5" t="s">
        <v>198</v>
      </c>
      <c r="W48" s="5" t="s">
        <v>200</v>
      </c>
      <c r="X48" s="5" t="s">
        <v>202</v>
      </c>
      <c r="Y48" s="5" t="s">
        <v>202</v>
      </c>
      <c r="Z48" s="5" t="s">
        <v>202</v>
      </c>
      <c r="AA48" s="5" t="s">
        <v>198</v>
      </c>
      <c r="AB48" s="5" t="s">
        <v>203</v>
      </c>
      <c r="AC48" s="5" t="s">
        <v>202</v>
      </c>
      <c r="AD48" s="5" t="s">
        <v>208</v>
      </c>
      <c r="AE48" s="11" t="s">
        <v>412</v>
      </c>
      <c r="AF48" s="5" t="s">
        <v>206</v>
      </c>
      <c r="AG48" s="5" t="s">
        <v>200</v>
      </c>
      <c r="AH48" s="5" t="s">
        <v>200</v>
      </c>
      <c r="AI48" s="5" t="s">
        <v>200</v>
      </c>
      <c r="AJ48" s="5" t="s">
        <v>200</v>
      </c>
      <c r="AK48" s="5" t="s">
        <v>200</v>
      </c>
      <c r="AL48" s="5" t="s">
        <v>202</v>
      </c>
      <c r="AM48" s="5" t="s">
        <v>413</v>
      </c>
      <c r="AN48" s="5" t="s">
        <v>206</v>
      </c>
      <c r="AO48" s="5" t="s">
        <v>202</v>
      </c>
      <c r="AP48" s="5" t="s">
        <v>201</v>
      </c>
      <c r="AQ48" s="5" t="s">
        <v>202</v>
      </c>
      <c r="AR48" s="5" t="s">
        <v>208</v>
      </c>
      <c r="AS48" s="5" t="s">
        <v>208</v>
      </c>
      <c r="AT48" s="5" t="s">
        <v>204</v>
      </c>
      <c r="AU48" s="5" t="s">
        <v>208</v>
      </c>
      <c r="AV48" s="5" t="s">
        <v>414</v>
      </c>
    </row>
    <row r="49">
      <c r="A49" s="7">
        <v>45868.07152777778</v>
      </c>
      <c r="B49" s="7">
        <v>45868.08541666667</v>
      </c>
      <c r="C49" s="5" t="s">
        <v>99</v>
      </c>
      <c r="D49" s="5" t="s">
        <v>389</v>
      </c>
      <c r="E49" s="8">
        <v>100.0</v>
      </c>
      <c r="F49" s="8">
        <v>1190.0</v>
      </c>
      <c r="G49" s="9" t="b">
        <v>1</v>
      </c>
      <c r="H49" s="7">
        <v>45868.08541666667</v>
      </c>
      <c r="I49" s="5" t="s">
        <v>415</v>
      </c>
      <c r="J49" s="8">
        <v>60.1816</v>
      </c>
      <c r="K49" s="8">
        <v>24.8368</v>
      </c>
      <c r="L49" s="5" t="s">
        <v>194</v>
      </c>
      <c r="M49" s="5" t="s">
        <v>195</v>
      </c>
      <c r="N49" s="5" t="s">
        <v>385</v>
      </c>
      <c r="O49" s="5" t="s">
        <v>216</v>
      </c>
      <c r="P49" s="5" t="s">
        <v>198</v>
      </c>
      <c r="Q49" s="5" t="s">
        <v>200</v>
      </c>
      <c r="R49" s="5" t="s">
        <v>199</v>
      </c>
      <c r="S49" s="5" t="s">
        <v>203</v>
      </c>
      <c r="T49" s="5" t="s">
        <v>198</v>
      </c>
      <c r="U49" s="5" t="s">
        <v>198</v>
      </c>
      <c r="V49" s="5" t="s">
        <v>200</v>
      </c>
      <c r="W49" s="5" t="s">
        <v>202</v>
      </c>
      <c r="X49" s="5" t="s">
        <v>202</v>
      </c>
      <c r="Y49" s="5" t="s">
        <v>202</v>
      </c>
      <c r="Z49" s="5" t="s">
        <v>200</v>
      </c>
      <c r="AA49" s="5" t="s">
        <v>198</v>
      </c>
      <c r="AB49" s="5" t="s">
        <v>198</v>
      </c>
      <c r="AC49" s="5" t="s">
        <v>202</v>
      </c>
      <c r="AD49" s="5" t="s">
        <v>200</v>
      </c>
      <c r="AE49" s="5" t="s">
        <v>416</v>
      </c>
      <c r="AF49" s="5" t="s">
        <v>206</v>
      </c>
      <c r="AG49" s="5" t="s">
        <v>202</v>
      </c>
      <c r="AH49" s="5" t="s">
        <v>200</v>
      </c>
      <c r="AI49" s="5" t="s">
        <v>202</v>
      </c>
      <c r="AJ49" s="5" t="s">
        <v>200</v>
      </c>
      <c r="AK49" s="5" t="s">
        <v>198</v>
      </c>
      <c r="AL49" s="5" t="s">
        <v>203</v>
      </c>
      <c r="AM49" s="5" t="s">
        <v>417</v>
      </c>
      <c r="AN49" s="5" t="s">
        <v>206</v>
      </c>
      <c r="AO49" s="5" t="s">
        <v>202</v>
      </c>
      <c r="AP49" s="5" t="s">
        <v>200</v>
      </c>
      <c r="AQ49" s="5" t="s">
        <v>198</v>
      </c>
      <c r="AR49" s="5" t="s">
        <v>204</v>
      </c>
      <c r="AS49" s="5" t="s">
        <v>204</v>
      </c>
      <c r="AT49" s="5" t="s">
        <v>208</v>
      </c>
      <c r="AU49" s="5" t="s">
        <v>204</v>
      </c>
      <c r="AV49" s="5" t="s">
        <v>418</v>
      </c>
    </row>
    <row r="50">
      <c r="A50" s="7">
        <v>45868.08263888889</v>
      </c>
      <c r="B50" s="7">
        <v>45868.089583333334</v>
      </c>
      <c r="C50" s="5" t="s">
        <v>99</v>
      </c>
      <c r="D50" s="5" t="s">
        <v>192</v>
      </c>
      <c r="E50" s="8">
        <v>100.0</v>
      </c>
      <c r="F50" s="8">
        <v>627.0</v>
      </c>
      <c r="G50" s="9" t="b">
        <v>1</v>
      </c>
      <c r="H50" s="7">
        <v>45868.089583333334</v>
      </c>
      <c r="I50" s="5" t="s">
        <v>419</v>
      </c>
      <c r="J50" s="8">
        <v>60.1816</v>
      </c>
      <c r="K50" s="8">
        <v>24.8368</v>
      </c>
      <c r="L50" s="5" t="s">
        <v>194</v>
      </c>
      <c r="M50" s="5" t="s">
        <v>195</v>
      </c>
      <c r="N50" s="5" t="s">
        <v>411</v>
      </c>
      <c r="O50" s="5" t="s">
        <v>211</v>
      </c>
      <c r="P50" s="5" t="s">
        <v>208</v>
      </c>
      <c r="Q50" s="5" t="s">
        <v>208</v>
      </c>
      <c r="R50" s="5" t="s">
        <v>199</v>
      </c>
      <c r="S50" s="5" t="s">
        <v>208</v>
      </c>
      <c r="T50" s="5" t="s">
        <v>204</v>
      </c>
      <c r="U50" s="5" t="s">
        <v>204</v>
      </c>
      <c r="V50" s="5" t="s">
        <v>208</v>
      </c>
      <c r="W50" s="5" t="s">
        <v>202</v>
      </c>
      <c r="X50" s="5" t="s">
        <v>203</v>
      </c>
      <c r="Y50" s="5" t="s">
        <v>200</v>
      </c>
      <c r="Z50" s="5" t="s">
        <v>200</v>
      </c>
      <c r="AA50" s="5" t="s">
        <v>204</v>
      </c>
      <c r="AB50" s="5" t="s">
        <v>203</v>
      </c>
      <c r="AC50" s="5" t="s">
        <v>208</v>
      </c>
      <c r="AD50" s="5" t="s">
        <v>202</v>
      </c>
      <c r="AE50" s="5" t="s">
        <v>420</v>
      </c>
      <c r="AF50" s="5" t="s">
        <v>206</v>
      </c>
      <c r="AG50" s="5" t="s">
        <v>204</v>
      </c>
      <c r="AH50" s="5" t="s">
        <v>198</v>
      </c>
      <c r="AI50" s="5" t="s">
        <v>204</v>
      </c>
      <c r="AJ50" s="5" t="s">
        <v>203</v>
      </c>
      <c r="AK50" s="5" t="s">
        <v>200</v>
      </c>
      <c r="AL50" s="5" t="s">
        <v>202</v>
      </c>
      <c r="AM50" s="5" t="s">
        <v>421</v>
      </c>
      <c r="AN50" s="5" t="s">
        <v>206</v>
      </c>
      <c r="AO50" s="5" t="s">
        <v>200</v>
      </c>
      <c r="AP50" s="5" t="s">
        <v>203</v>
      </c>
      <c r="AQ50" s="5" t="s">
        <v>203</v>
      </c>
      <c r="AR50" s="5" t="s">
        <v>204</v>
      </c>
      <c r="AS50" s="5" t="s">
        <v>204</v>
      </c>
      <c r="AT50" s="5" t="s">
        <v>204</v>
      </c>
      <c r="AU50" s="5" t="s">
        <v>204</v>
      </c>
      <c r="AV50" s="5" t="s">
        <v>422</v>
      </c>
    </row>
    <row r="51">
      <c r="A51" s="7">
        <v>45868.092361111114</v>
      </c>
      <c r="B51" s="7">
        <v>45868.09583333333</v>
      </c>
      <c r="C51" s="5" t="s">
        <v>99</v>
      </c>
      <c r="D51" s="5" t="s">
        <v>192</v>
      </c>
      <c r="E51" s="8">
        <v>100.0</v>
      </c>
      <c r="F51" s="8">
        <v>323.0</v>
      </c>
      <c r="G51" s="9" t="b">
        <v>1</v>
      </c>
      <c r="H51" s="7">
        <v>45868.09583333333</v>
      </c>
      <c r="I51" s="5" t="s">
        <v>423</v>
      </c>
      <c r="J51" s="8">
        <v>60.1816</v>
      </c>
      <c r="K51" s="8">
        <v>24.8368</v>
      </c>
      <c r="L51" s="5" t="s">
        <v>194</v>
      </c>
      <c r="M51" s="5" t="s">
        <v>195</v>
      </c>
      <c r="N51" s="5" t="s">
        <v>411</v>
      </c>
      <c r="O51" s="5" t="s">
        <v>197</v>
      </c>
      <c r="P51" s="5" t="s">
        <v>203</v>
      </c>
      <c r="Q51" s="5" t="s">
        <v>198</v>
      </c>
      <c r="R51" s="5" t="s">
        <v>199</v>
      </c>
      <c r="S51" s="5" t="s">
        <v>200</v>
      </c>
      <c r="T51" s="5" t="s">
        <v>202</v>
      </c>
      <c r="U51" s="5" t="s">
        <v>203</v>
      </c>
      <c r="V51" s="5" t="s">
        <v>203</v>
      </c>
      <c r="W51" s="5" t="s">
        <v>202</v>
      </c>
      <c r="X51" s="5" t="s">
        <v>202</v>
      </c>
      <c r="Y51" s="5" t="s">
        <v>202</v>
      </c>
      <c r="Z51" s="5" t="s">
        <v>202</v>
      </c>
      <c r="AA51" s="5" t="s">
        <v>200</v>
      </c>
      <c r="AB51" s="5" t="s">
        <v>203</v>
      </c>
      <c r="AC51" s="5" t="s">
        <v>202</v>
      </c>
      <c r="AD51" s="5" t="s">
        <v>203</v>
      </c>
      <c r="AE51" s="11" t="s">
        <v>424</v>
      </c>
      <c r="AF51" s="5" t="s">
        <v>206</v>
      </c>
      <c r="AG51" s="5" t="s">
        <v>203</v>
      </c>
      <c r="AH51" s="5" t="s">
        <v>200</v>
      </c>
      <c r="AI51" s="5" t="s">
        <v>202</v>
      </c>
      <c r="AJ51" s="5" t="s">
        <v>203</v>
      </c>
      <c r="AK51" s="5" t="s">
        <v>202</v>
      </c>
      <c r="AL51" s="5" t="s">
        <v>202</v>
      </c>
      <c r="AM51" s="11" t="s">
        <v>425</v>
      </c>
      <c r="AN51" s="10"/>
      <c r="AO51" s="5" t="s">
        <v>202</v>
      </c>
      <c r="AP51" s="5" t="s">
        <v>202</v>
      </c>
      <c r="AQ51" s="5" t="s">
        <v>202</v>
      </c>
      <c r="AR51" s="5" t="s">
        <v>204</v>
      </c>
      <c r="AS51" s="5" t="s">
        <v>204</v>
      </c>
      <c r="AT51" s="5" t="s">
        <v>204</v>
      </c>
      <c r="AU51" s="5" t="s">
        <v>204</v>
      </c>
      <c r="AV51" s="5" t="s">
        <v>426</v>
      </c>
    </row>
    <row r="52">
      <c r="A52" s="7">
        <v>45868.09166666667</v>
      </c>
      <c r="B52" s="7">
        <v>45868.10208333333</v>
      </c>
      <c r="C52" s="5" t="s">
        <v>99</v>
      </c>
      <c r="D52" s="5" t="s">
        <v>389</v>
      </c>
      <c r="E52" s="8">
        <v>100.0</v>
      </c>
      <c r="F52" s="8">
        <v>885.0</v>
      </c>
      <c r="G52" s="9" t="b">
        <v>1</v>
      </c>
      <c r="H52" s="7">
        <v>45868.10208333333</v>
      </c>
      <c r="I52" s="5" t="s">
        <v>427</v>
      </c>
      <c r="J52" s="8">
        <v>60.1816</v>
      </c>
      <c r="K52" s="8">
        <v>24.8368</v>
      </c>
      <c r="L52" s="5" t="s">
        <v>194</v>
      </c>
      <c r="M52" s="5" t="s">
        <v>195</v>
      </c>
      <c r="N52" s="5" t="s">
        <v>428</v>
      </c>
      <c r="O52" s="5" t="s">
        <v>216</v>
      </c>
      <c r="P52" s="5" t="s">
        <v>203</v>
      </c>
      <c r="Q52" s="5" t="s">
        <v>202</v>
      </c>
      <c r="R52" s="5" t="s">
        <v>199</v>
      </c>
      <c r="S52" s="5" t="s">
        <v>202</v>
      </c>
      <c r="T52" s="5" t="s">
        <v>202</v>
      </c>
      <c r="U52" s="5" t="s">
        <v>202</v>
      </c>
      <c r="V52" s="5" t="s">
        <v>198</v>
      </c>
      <c r="W52" s="5" t="s">
        <v>202</v>
      </c>
      <c r="X52" s="5" t="s">
        <v>202</v>
      </c>
      <c r="Y52" s="5" t="s">
        <v>202</v>
      </c>
      <c r="Z52" s="5" t="s">
        <v>202</v>
      </c>
      <c r="AA52" s="5" t="s">
        <v>198</v>
      </c>
      <c r="AB52" s="5" t="s">
        <v>203</v>
      </c>
      <c r="AC52" s="5" t="s">
        <v>202</v>
      </c>
      <c r="AD52" s="5" t="s">
        <v>202</v>
      </c>
      <c r="AE52" s="5" t="s">
        <v>429</v>
      </c>
      <c r="AF52" s="5" t="s">
        <v>206</v>
      </c>
      <c r="AG52" s="5" t="s">
        <v>200</v>
      </c>
      <c r="AH52" s="5" t="s">
        <v>200</v>
      </c>
      <c r="AI52" s="5" t="s">
        <v>200</v>
      </c>
      <c r="AJ52" s="5" t="s">
        <v>202</v>
      </c>
      <c r="AK52" s="5" t="s">
        <v>203</v>
      </c>
      <c r="AL52" s="5" t="s">
        <v>200</v>
      </c>
      <c r="AM52" s="5" t="s">
        <v>430</v>
      </c>
      <c r="AN52" s="5" t="s">
        <v>206</v>
      </c>
      <c r="AO52" s="5" t="s">
        <v>202</v>
      </c>
      <c r="AP52" s="5" t="s">
        <v>200</v>
      </c>
      <c r="AQ52" s="5" t="s">
        <v>203</v>
      </c>
      <c r="AR52" s="5" t="s">
        <v>204</v>
      </c>
      <c r="AS52" s="5" t="s">
        <v>204</v>
      </c>
      <c r="AT52" s="5" t="s">
        <v>204</v>
      </c>
      <c r="AU52" s="5" t="s">
        <v>204</v>
      </c>
      <c r="AV52" s="5" t="s">
        <v>431</v>
      </c>
    </row>
    <row r="53">
      <c r="A53" s="7">
        <v>45868.15555555555</v>
      </c>
      <c r="B53" s="7">
        <v>45868.16805555556</v>
      </c>
      <c r="C53" s="5" t="s">
        <v>99</v>
      </c>
      <c r="D53" s="5" t="s">
        <v>389</v>
      </c>
      <c r="E53" s="8">
        <v>100.0</v>
      </c>
      <c r="F53" s="8">
        <v>1034.0</v>
      </c>
      <c r="G53" s="9" t="b">
        <v>1</v>
      </c>
      <c r="H53" s="7">
        <v>45868.16805555556</v>
      </c>
      <c r="I53" s="5" t="s">
        <v>432</v>
      </c>
      <c r="J53" s="8">
        <v>60.1816</v>
      </c>
      <c r="K53" s="8">
        <v>24.8368</v>
      </c>
      <c r="L53" s="5" t="s">
        <v>194</v>
      </c>
      <c r="M53" s="5" t="s">
        <v>195</v>
      </c>
      <c r="N53" s="5" t="s">
        <v>433</v>
      </c>
      <c r="O53" s="5" t="s">
        <v>216</v>
      </c>
      <c r="P53" s="5" t="s">
        <v>198</v>
      </c>
      <c r="Q53" s="5" t="s">
        <v>208</v>
      </c>
      <c r="R53" s="5" t="s">
        <v>199</v>
      </c>
      <c r="S53" s="5" t="s">
        <v>200</v>
      </c>
      <c r="T53" s="5" t="s">
        <v>203</v>
      </c>
      <c r="U53" s="5" t="s">
        <v>208</v>
      </c>
      <c r="V53" s="5" t="s">
        <v>208</v>
      </c>
      <c r="W53" s="5" t="s">
        <v>208</v>
      </c>
      <c r="X53" s="5" t="s">
        <v>202</v>
      </c>
      <c r="Y53" s="5" t="s">
        <v>202</v>
      </c>
      <c r="Z53" s="5" t="s">
        <v>198</v>
      </c>
      <c r="AA53" s="5" t="s">
        <v>208</v>
      </c>
      <c r="AB53" s="5" t="s">
        <v>208</v>
      </c>
      <c r="AC53" s="5" t="s">
        <v>202</v>
      </c>
      <c r="AD53" s="5" t="s">
        <v>202</v>
      </c>
      <c r="AE53" s="5" t="s">
        <v>434</v>
      </c>
      <c r="AF53" s="5" t="s">
        <v>206</v>
      </c>
      <c r="AG53" s="5" t="s">
        <v>202</v>
      </c>
      <c r="AH53" s="5" t="s">
        <v>203</v>
      </c>
      <c r="AI53" s="5" t="s">
        <v>198</v>
      </c>
      <c r="AJ53" s="5" t="s">
        <v>202</v>
      </c>
      <c r="AK53" s="5" t="s">
        <v>203</v>
      </c>
      <c r="AL53" s="5" t="s">
        <v>208</v>
      </c>
      <c r="AM53" s="5" t="s">
        <v>435</v>
      </c>
      <c r="AN53" s="5" t="s">
        <v>206</v>
      </c>
      <c r="AO53" s="5" t="s">
        <v>202</v>
      </c>
      <c r="AP53" s="5" t="s">
        <v>200</v>
      </c>
      <c r="AQ53" s="5" t="s">
        <v>198</v>
      </c>
      <c r="AR53" s="5" t="s">
        <v>208</v>
      </c>
      <c r="AS53" s="5" t="s">
        <v>208</v>
      </c>
      <c r="AT53" s="5" t="s">
        <v>204</v>
      </c>
      <c r="AU53" s="5" t="s">
        <v>204</v>
      </c>
      <c r="AV53" s="11" t="s">
        <v>436</v>
      </c>
    </row>
    <row r="54">
      <c r="A54" s="7">
        <v>45868.16875</v>
      </c>
      <c r="B54" s="7">
        <v>45868.180555555555</v>
      </c>
      <c r="C54" s="5" t="s">
        <v>99</v>
      </c>
      <c r="D54" s="5" t="s">
        <v>389</v>
      </c>
      <c r="E54" s="8">
        <v>100.0</v>
      </c>
      <c r="F54" s="8">
        <v>1006.0</v>
      </c>
      <c r="G54" s="9" t="b">
        <v>1</v>
      </c>
      <c r="H54" s="7">
        <v>45868.180555555555</v>
      </c>
      <c r="I54" s="5" t="s">
        <v>437</v>
      </c>
      <c r="J54" s="8">
        <v>60.1816</v>
      </c>
      <c r="K54" s="8">
        <v>24.8368</v>
      </c>
      <c r="L54" s="5" t="s">
        <v>194</v>
      </c>
      <c r="M54" s="5" t="s">
        <v>195</v>
      </c>
      <c r="N54" s="5" t="s">
        <v>433</v>
      </c>
      <c r="O54" s="5" t="s">
        <v>211</v>
      </c>
      <c r="P54" s="5" t="s">
        <v>208</v>
      </c>
      <c r="Q54" s="5" t="s">
        <v>200</v>
      </c>
      <c r="R54" s="5" t="s">
        <v>199</v>
      </c>
      <c r="S54" s="5" t="s">
        <v>202</v>
      </c>
      <c r="T54" s="5" t="s">
        <v>200</v>
      </c>
      <c r="U54" s="5" t="s">
        <v>203</v>
      </c>
      <c r="V54" s="5" t="s">
        <v>200</v>
      </c>
      <c r="W54" s="5" t="s">
        <v>200</v>
      </c>
      <c r="X54" s="5" t="s">
        <v>201</v>
      </c>
      <c r="Y54" s="5" t="s">
        <v>202</v>
      </c>
      <c r="Z54" s="5" t="s">
        <v>198</v>
      </c>
      <c r="AA54" s="5" t="s">
        <v>200</v>
      </c>
      <c r="AB54" s="5" t="s">
        <v>200</v>
      </c>
      <c r="AC54" s="5" t="s">
        <v>202</v>
      </c>
      <c r="AD54" s="5" t="s">
        <v>202</v>
      </c>
      <c r="AE54" s="11" t="s">
        <v>438</v>
      </c>
      <c r="AF54" s="5" t="s">
        <v>206</v>
      </c>
      <c r="AG54" s="5" t="s">
        <v>202</v>
      </c>
      <c r="AH54" s="5" t="s">
        <v>203</v>
      </c>
      <c r="AI54" s="5" t="s">
        <v>200</v>
      </c>
      <c r="AJ54" s="5" t="s">
        <v>200</v>
      </c>
      <c r="AK54" s="5" t="s">
        <v>200</v>
      </c>
      <c r="AL54" s="5" t="s">
        <v>202</v>
      </c>
      <c r="AM54" s="11" t="s">
        <v>439</v>
      </c>
      <c r="AN54" s="5" t="s">
        <v>206</v>
      </c>
      <c r="AO54" s="5" t="s">
        <v>200</v>
      </c>
      <c r="AP54" s="5" t="s">
        <v>202</v>
      </c>
      <c r="AQ54" s="5" t="s">
        <v>201</v>
      </c>
      <c r="AR54" s="5" t="s">
        <v>204</v>
      </c>
      <c r="AS54" s="5" t="s">
        <v>208</v>
      </c>
      <c r="AT54" s="5" t="s">
        <v>204</v>
      </c>
      <c r="AU54" s="5" t="s">
        <v>204</v>
      </c>
      <c r="AV54" s="5" t="s">
        <v>440</v>
      </c>
    </row>
    <row r="55">
      <c r="A55" s="7">
        <v>45868.17222222222</v>
      </c>
      <c r="B55" s="7">
        <v>45868.183333333334</v>
      </c>
      <c r="C55" s="5" t="s">
        <v>99</v>
      </c>
      <c r="D55" s="5" t="s">
        <v>192</v>
      </c>
      <c r="E55" s="8">
        <v>100.0</v>
      </c>
      <c r="F55" s="8">
        <v>961.0</v>
      </c>
      <c r="G55" s="9" t="b">
        <v>1</v>
      </c>
      <c r="H55" s="7">
        <v>45868.183333333334</v>
      </c>
      <c r="I55" s="5" t="s">
        <v>441</v>
      </c>
      <c r="J55" s="8">
        <v>60.1816</v>
      </c>
      <c r="K55" s="8">
        <v>24.8368</v>
      </c>
      <c r="L55" s="5" t="s">
        <v>194</v>
      </c>
      <c r="M55" s="5" t="s">
        <v>195</v>
      </c>
      <c r="N55" s="5" t="s">
        <v>442</v>
      </c>
      <c r="O55" s="5" t="s">
        <v>197</v>
      </c>
      <c r="P55" s="5" t="s">
        <v>198</v>
      </c>
      <c r="Q55" s="5" t="s">
        <v>200</v>
      </c>
      <c r="R55" s="5" t="s">
        <v>199</v>
      </c>
      <c r="S55" s="5" t="s">
        <v>198</v>
      </c>
      <c r="T55" s="5" t="s">
        <v>200</v>
      </c>
      <c r="U55" s="5" t="s">
        <v>200</v>
      </c>
      <c r="V55" s="5" t="s">
        <v>202</v>
      </c>
      <c r="W55" s="5" t="s">
        <v>202</v>
      </c>
      <c r="X55" s="5" t="s">
        <v>202</v>
      </c>
      <c r="Y55" s="5" t="s">
        <v>202</v>
      </c>
      <c r="Z55" s="5" t="s">
        <v>202</v>
      </c>
      <c r="AA55" s="5" t="s">
        <v>203</v>
      </c>
      <c r="AB55" s="5" t="s">
        <v>200</v>
      </c>
      <c r="AC55" s="5" t="s">
        <v>202</v>
      </c>
      <c r="AD55" s="5" t="s">
        <v>203</v>
      </c>
      <c r="AE55" s="5" t="s">
        <v>443</v>
      </c>
      <c r="AF55" s="5" t="s">
        <v>206</v>
      </c>
      <c r="AG55" s="5" t="s">
        <v>198</v>
      </c>
      <c r="AH55" s="5" t="s">
        <v>198</v>
      </c>
      <c r="AI55" s="5" t="s">
        <v>198</v>
      </c>
      <c r="AJ55" s="5" t="s">
        <v>198</v>
      </c>
      <c r="AK55" s="5" t="s">
        <v>203</v>
      </c>
      <c r="AL55" s="5" t="s">
        <v>200</v>
      </c>
      <c r="AM55" s="5" t="s">
        <v>444</v>
      </c>
      <c r="AN55" s="5" t="s">
        <v>206</v>
      </c>
      <c r="AO55" s="5" t="s">
        <v>203</v>
      </c>
      <c r="AP55" s="5" t="s">
        <v>200</v>
      </c>
      <c r="AQ55" s="5" t="s">
        <v>200</v>
      </c>
      <c r="AR55" s="5" t="s">
        <v>208</v>
      </c>
      <c r="AS55" s="5" t="s">
        <v>198</v>
      </c>
      <c r="AT55" s="5" t="s">
        <v>200</v>
      </c>
      <c r="AU55" s="5" t="s">
        <v>198</v>
      </c>
      <c r="AV55" s="5" t="s">
        <v>445</v>
      </c>
    </row>
    <row r="56">
      <c r="A56" s="7">
        <v>45868.18402777778</v>
      </c>
      <c r="B56" s="7">
        <v>45868.19375</v>
      </c>
      <c r="C56" s="5" t="s">
        <v>99</v>
      </c>
      <c r="D56" s="5" t="s">
        <v>389</v>
      </c>
      <c r="E56" s="8">
        <v>100.0</v>
      </c>
      <c r="F56" s="8">
        <v>829.0</v>
      </c>
      <c r="G56" s="9" t="b">
        <v>1</v>
      </c>
      <c r="H56" s="7">
        <v>45868.19375</v>
      </c>
      <c r="I56" s="5" t="s">
        <v>446</v>
      </c>
      <c r="J56" s="8">
        <v>60.1816</v>
      </c>
      <c r="K56" s="8">
        <v>24.8368</v>
      </c>
      <c r="L56" s="5" t="s">
        <v>194</v>
      </c>
      <c r="M56" s="5" t="s">
        <v>195</v>
      </c>
      <c r="N56" s="5" t="s">
        <v>442</v>
      </c>
      <c r="O56" s="5" t="s">
        <v>197</v>
      </c>
      <c r="P56" s="5" t="s">
        <v>200</v>
      </c>
      <c r="Q56" s="5" t="s">
        <v>198</v>
      </c>
      <c r="R56" s="5" t="s">
        <v>199</v>
      </c>
      <c r="S56" s="5" t="s">
        <v>203</v>
      </c>
      <c r="T56" s="5" t="s">
        <v>200</v>
      </c>
      <c r="U56" s="5" t="s">
        <v>201</v>
      </c>
      <c r="V56" s="5" t="s">
        <v>202</v>
      </c>
      <c r="W56" s="5" t="s">
        <v>201</v>
      </c>
      <c r="X56" s="5" t="s">
        <v>201</v>
      </c>
      <c r="Y56" s="5" t="s">
        <v>202</v>
      </c>
      <c r="Z56" s="5" t="s">
        <v>202</v>
      </c>
      <c r="AA56" s="5" t="s">
        <v>198</v>
      </c>
      <c r="AB56" s="5" t="s">
        <v>200</v>
      </c>
      <c r="AC56" s="5" t="s">
        <v>200</v>
      </c>
      <c r="AD56" s="5" t="s">
        <v>200</v>
      </c>
      <c r="AE56" s="5" t="s">
        <v>447</v>
      </c>
      <c r="AF56" s="5" t="s">
        <v>206</v>
      </c>
      <c r="AG56" s="5" t="s">
        <v>200</v>
      </c>
      <c r="AH56" s="5" t="s">
        <v>200</v>
      </c>
      <c r="AI56" s="5" t="s">
        <v>203</v>
      </c>
      <c r="AJ56" s="5" t="s">
        <v>200</v>
      </c>
      <c r="AK56" s="5" t="s">
        <v>198</v>
      </c>
      <c r="AL56" s="5" t="s">
        <v>200</v>
      </c>
      <c r="AM56" s="5" t="s">
        <v>448</v>
      </c>
      <c r="AN56" s="5" t="s">
        <v>206</v>
      </c>
      <c r="AO56" s="5" t="s">
        <v>202</v>
      </c>
      <c r="AP56" s="5" t="s">
        <v>202</v>
      </c>
      <c r="AQ56" s="5" t="s">
        <v>202</v>
      </c>
      <c r="AR56" s="5" t="s">
        <v>208</v>
      </c>
      <c r="AS56" s="5" t="s">
        <v>204</v>
      </c>
      <c r="AT56" s="5" t="s">
        <v>208</v>
      </c>
      <c r="AU56" s="5" t="s">
        <v>204</v>
      </c>
      <c r="AV56" s="5" t="s">
        <v>449</v>
      </c>
    </row>
    <row r="57">
      <c r="A57" s="7">
        <v>45868.18402777778</v>
      </c>
      <c r="B57" s="7">
        <v>45868.20138888889</v>
      </c>
      <c r="C57" s="5" t="s">
        <v>99</v>
      </c>
      <c r="D57" s="5" t="s">
        <v>192</v>
      </c>
      <c r="E57" s="8">
        <v>100.0</v>
      </c>
      <c r="F57" s="8">
        <v>1471.0</v>
      </c>
      <c r="G57" s="9" t="b">
        <v>1</v>
      </c>
      <c r="H57" s="7">
        <v>45868.20138888889</v>
      </c>
      <c r="I57" s="5" t="s">
        <v>450</v>
      </c>
      <c r="J57" s="8">
        <v>60.1816</v>
      </c>
      <c r="K57" s="8">
        <v>24.8368</v>
      </c>
      <c r="L57" s="5" t="s">
        <v>194</v>
      </c>
      <c r="M57" s="5" t="s">
        <v>195</v>
      </c>
      <c r="N57" s="5" t="s">
        <v>433</v>
      </c>
      <c r="O57" s="5" t="s">
        <v>197</v>
      </c>
      <c r="P57" s="5" t="s">
        <v>202</v>
      </c>
      <c r="Q57" s="5" t="s">
        <v>202</v>
      </c>
      <c r="R57" s="5" t="s">
        <v>199</v>
      </c>
      <c r="S57" s="5" t="s">
        <v>202</v>
      </c>
      <c r="T57" s="5" t="s">
        <v>201</v>
      </c>
      <c r="U57" s="5" t="s">
        <v>201</v>
      </c>
      <c r="V57" s="5" t="s">
        <v>202</v>
      </c>
      <c r="W57" s="5" t="s">
        <v>203</v>
      </c>
      <c r="X57" s="5" t="s">
        <v>202</v>
      </c>
      <c r="Y57" s="5" t="s">
        <v>202</v>
      </c>
      <c r="Z57" s="5" t="s">
        <v>202</v>
      </c>
      <c r="AA57" s="5" t="s">
        <v>202</v>
      </c>
      <c r="AB57" s="5" t="s">
        <v>200</v>
      </c>
      <c r="AC57" s="5" t="s">
        <v>201</v>
      </c>
      <c r="AD57" s="5" t="s">
        <v>202</v>
      </c>
      <c r="AE57" s="11" t="s">
        <v>451</v>
      </c>
      <c r="AF57" s="5" t="s">
        <v>206</v>
      </c>
      <c r="AG57" s="5" t="s">
        <v>202</v>
      </c>
      <c r="AH57" s="5" t="s">
        <v>202</v>
      </c>
      <c r="AI57" s="5" t="s">
        <v>202</v>
      </c>
      <c r="AJ57" s="5" t="s">
        <v>200</v>
      </c>
      <c r="AK57" s="5" t="s">
        <v>200</v>
      </c>
      <c r="AL57" s="5" t="s">
        <v>202</v>
      </c>
      <c r="AM57" s="5" t="s">
        <v>452</v>
      </c>
      <c r="AN57" s="5" t="s">
        <v>206</v>
      </c>
      <c r="AO57" s="5" t="s">
        <v>202</v>
      </c>
      <c r="AP57" s="5" t="s">
        <v>208</v>
      </c>
      <c r="AQ57" s="5" t="s">
        <v>201</v>
      </c>
      <c r="AR57" s="5" t="s">
        <v>208</v>
      </c>
      <c r="AS57" s="5" t="s">
        <v>208</v>
      </c>
      <c r="AT57" s="5" t="s">
        <v>200</v>
      </c>
      <c r="AU57" s="5" t="s">
        <v>202</v>
      </c>
      <c r="AV57" s="11" t="s">
        <v>453</v>
      </c>
    </row>
    <row r="58">
      <c r="A58" s="7">
        <v>45868.19513888889</v>
      </c>
      <c r="B58" s="7">
        <v>45868.20208333333</v>
      </c>
      <c r="C58" s="5" t="s">
        <v>99</v>
      </c>
      <c r="D58" s="5" t="s">
        <v>389</v>
      </c>
      <c r="E58" s="8">
        <v>100.0</v>
      </c>
      <c r="F58" s="8">
        <v>626.0</v>
      </c>
      <c r="G58" s="9" t="b">
        <v>1</v>
      </c>
      <c r="H58" s="7">
        <v>45868.20208333333</v>
      </c>
      <c r="I58" s="5" t="s">
        <v>454</v>
      </c>
      <c r="J58" s="8">
        <v>60.1816</v>
      </c>
      <c r="K58" s="8">
        <v>24.8368</v>
      </c>
      <c r="L58" s="5" t="s">
        <v>194</v>
      </c>
      <c r="M58" s="5" t="s">
        <v>195</v>
      </c>
      <c r="N58" s="5" t="s">
        <v>442</v>
      </c>
      <c r="O58" s="5" t="s">
        <v>216</v>
      </c>
      <c r="P58" s="5" t="s">
        <v>200</v>
      </c>
      <c r="Q58" s="5" t="s">
        <v>200</v>
      </c>
      <c r="R58" s="5" t="s">
        <v>199</v>
      </c>
      <c r="S58" s="5" t="s">
        <v>200</v>
      </c>
      <c r="T58" s="5" t="s">
        <v>200</v>
      </c>
      <c r="U58" s="5" t="s">
        <v>202</v>
      </c>
      <c r="V58" s="5" t="s">
        <v>200</v>
      </c>
      <c r="W58" s="5" t="s">
        <v>200</v>
      </c>
      <c r="X58" s="5" t="s">
        <v>200</v>
      </c>
      <c r="Y58" s="5" t="s">
        <v>200</v>
      </c>
      <c r="Z58" s="5" t="s">
        <v>200</v>
      </c>
      <c r="AA58" s="5" t="s">
        <v>203</v>
      </c>
      <c r="AB58" s="5" t="s">
        <v>198</v>
      </c>
      <c r="AC58" s="5" t="s">
        <v>200</v>
      </c>
      <c r="AD58" s="5" t="s">
        <v>208</v>
      </c>
      <c r="AE58" s="5" t="s">
        <v>455</v>
      </c>
      <c r="AF58" s="5" t="s">
        <v>206</v>
      </c>
      <c r="AG58" s="5" t="s">
        <v>200</v>
      </c>
      <c r="AH58" s="5" t="s">
        <v>200</v>
      </c>
      <c r="AI58" s="5" t="s">
        <v>200</v>
      </c>
      <c r="AJ58" s="5" t="s">
        <v>202</v>
      </c>
      <c r="AK58" s="5" t="s">
        <v>202</v>
      </c>
      <c r="AL58" s="5" t="s">
        <v>202</v>
      </c>
      <c r="AM58" s="5" t="s">
        <v>456</v>
      </c>
      <c r="AN58" s="5" t="s">
        <v>206</v>
      </c>
      <c r="AO58" s="5" t="s">
        <v>202</v>
      </c>
      <c r="AP58" s="5" t="s">
        <v>202</v>
      </c>
      <c r="AQ58" s="5" t="s">
        <v>202</v>
      </c>
      <c r="AR58" s="5" t="s">
        <v>208</v>
      </c>
      <c r="AS58" s="5" t="s">
        <v>208</v>
      </c>
      <c r="AT58" s="5" t="s">
        <v>208</v>
      </c>
      <c r="AU58" s="5" t="s">
        <v>208</v>
      </c>
      <c r="AV58" s="5" t="s">
        <v>457</v>
      </c>
    </row>
    <row r="59">
      <c r="A59" s="7">
        <v>45868.21111111111</v>
      </c>
      <c r="B59" s="7">
        <v>45868.21527777778</v>
      </c>
      <c r="C59" s="5" t="s">
        <v>99</v>
      </c>
      <c r="D59" s="5" t="s">
        <v>389</v>
      </c>
      <c r="E59" s="8">
        <v>100.0</v>
      </c>
      <c r="F59" s="8">
        <v>319.0</v>
      </c>
      <c r="G59" s="9" t="b">
        <v>1</v>
      </c>
      <c r="H59" s="7">
        <v>45868.21527777778</v>
      </c>
      <c r="I59" s="5" t="s">
        <v>458</v>
      </c>
      <c r="J59" s="8">
        <v>60.1816</v>
      </c>
      <c r="K59" s="8">
        <v>24.8368</v>
      </c>
      <c r="L59" s="5" t="s">
        <v>194</v>
      </c>
      <c r="M59" s="5" t="s">
        <v>195</v>
      </c>
      <c r="N59" s="5" t="s">
        <v>442</v>
      </c>
      <c r="O59" s="5" t="s">
        <v>263</v>
      </c>
      <c r="P59" s="5" t="s">
        <v>200</v>
      </c>
      <c r="Q59" s="5" t="s">
        <v>200</v>
      </c>
      <c r="R59" s="5" t="s">
        <v>199</v>
      </c>
      <c r="S59" s="5" t="s">
        <v>202</v>
      </c>
      <c r="T59" s="5" t="s">
        <v>200</v>
      </c>
      <c r="U59" s="5" t="s">
        <v>200</v>
      </c>
      <c r="V59" s="5" t="s">
        <v>202</v>
      </c>
      <c r="W59" s="5" t="s">
        <v>202</v>
      </c>
      <c r="X59" s="5" t="s">
        <v>202</v>
      </c>
      <c r="Y59" s="5" t="s">
        <v>202</v>
      </c>
      <c r="Z59" s="5" t="s">
        <v>202</v>
      </c>
      <c r="AA59" s="5" t="s">
        <v>200</v>
      </c>
      <c r="AB59" s="5" t="s">
        <v>203</v>
      </c>
      <c r="AC59" s="5" t="s">
        <v>202</v>
      </c>
      <c r="AD59" s="5" t="s">
        <v>203</v>
      </c>
      <c r="AE59" s="5" t="s">
        <v>459</v>
      </c>
      <c r="AF59" s="5" t="s">
        <v>206</v>
      </c>
      <c r="AG59" s="5" t="s">
        <v>202</v>
      </c>
      <c r="AH59" s="5" t="s">
        <v>202</v>
      </c>
      <c r="AI59" s="5" t="s">
        <v>202</v>
      </c>
      <c r="AJ59" s="5" t="s">
        <v>203</v>
      </c>
      <c r="AK59" s="5" t="s">
        <v>202</v>
      </c>
      <c r="AL59" s="5" t="s">
        <v>202</v>
      </c>
      <c r="AM59" s="5" t="s">
        <v>460</v>
      </c>
      <c r="AN59" s="5" t="s">
        <v>206</v>
      </c>
      <c r="AO59" s="5" t="s">
        <v>200</v>
      </c>
      <c r="AP59" s="5" t="s">
        <v>200</v>
      </c>
      <c r="AQ59" s="5" t="s">
        <v>203</v>
      </c>
      <c r="AR59" s="5" t="s">
        <v>198</v>
      </c>
      <c r="AS59" s="5" t="s">
        <v>198</v>
      </c>
      <c r="AT59" s="5" t="s">
        <v>200</v>
      </c>
      <c r="AU59" s="5" t="s">
        <v>200</v>
      </c>
      <c r="AV59" s="5" t="s">
        <v>461</v>
      </c>
    </row>
    <row r="60">
      <c r="A60" s="7">
        <v>45868.20694444444</v>
      </c>
      <c r="B60" s="7">
        <v>45868.21597222222</v>
      </c>
      <c r="C60" s="5" t="s">
        <v>99</v>
      </c>
      <c r="D60" s="5" t="s">
        <v>383</v>
      </c>
      <c r="E60" s="8">
        <v>100.0</v>
      </c>
      <c r="F60" s="8">
        <v>746.0</v>
      </c>
      <c r="G60" s="9" t="b">
        <v>1</v>
      </c>
      <c r="H60" s="7">
        <v>45868.21597222222</v>
      </c>
      <c r="I60" s="5" t="s">
        <v>462</v>
      </c>
      <c r="J60" s="8">
        <v>60.1816</v>
      </c>
      <c r="K60" s="8">
        <v>24.8368</v>
      </c>
      <c r="L60" s="5" t="s">
        <v>194</v>
      </c>
      <c r="M60" s="5" t="s">
        <v>195</v>
      </c>
      <c r="N60" s="5" t="s">
        <v>433</v>
      </c>
      <c r="O60" s="5" t="s">
        <v>263</v>
      </c>
      <c r="P60" s="5" t="s">
        <v>202</v>
      </c>
      <c r="Q60" s="5" t="s">
        <v>200</v>
      </c>
      <c r="R60" s="5" t="s">
        <v>199</v>
      </c>
      <c r="S60" s="5" t="s">
        <v>202</v>
      </c>
      <c r="T60" s="5" t="s">
        <v>201</v>
      </c>
      <c r="U60" s="5" t="s">
        <v>202</v>
      </c>
      <c r="V60" s="5" t="s">
        <v>202</v>
      </c>
      <c r="W60" s="5" t="s">
        <v>200</v>
      </c>
      <c r="X60" s="5" t="s">
        <v>202</v>
      </c>
      <c r="Y60" s="5" t="s">
        <v>202</v>
      </c>
      <c r="Z60" s="5" t="s">
        <v>202</v>
      </c>
      <c r="AA60" s="5" t="s">
        <v>208</v>
      </c>
      <c r="AB60" s="5" t="s">
        <v>198</v>
      </c>
      <c r="AC60" s="5" t="s">
        <v>200</v>
      </c>
      <c r="AD60" s="5" t="s">
        <v>202</v>
      </c>
      <c r="AE60" s="11" t="s">
        <v>463</v>
      </c>
      <c r="AF60" s="5" t="s">
        <v>206</v>
      </c>
      <c r="AG60" s="5" t="s">
        <v>202</v>
      </c>
      <c r="AH60" s="5" t="s">
        <v>202</v>
      </c>
      <c r="AI60" s="5" t="s">
        <v>202</v>
      </c>
      <c r="AJ60" s="5" t="s">
        <v>200</v>
      </c>
      <c r="AK60" s="5" t="s">
        <v>200</v>
      </c>
      <c r="AL60" s="5" t="s">
        <v>202</v>
      </c>
      <c r="AM60" s="5" t="s">
        <v>464</v>
      </c>
      <c r="AN60" s="5" t="s">
        <v>206</v>
      </c>
      <c r="AO60" s="5" t="s">
        <v>202</v>
      </c>
      <c r="AP60" s="5" t="s">
        <v>200</v>
      </c>
      <c r="AQ60" s="5" t="s">
        <v>201</v>
      </c>
      <c r="AR60" s="5" t="s">
        <v>208</v>
      </c>
      <c r="AS60" s="5" t="s">
        <v>208</v>
      </c>
      <c r="AT60" s="5" t="s">
        <v>202</v>
      </c>
      <c r="AU60" s="5" t="s">
        <v>200</v>
      </c>
      <c r="AV60" s="11" t="s">
        <v>465</v>
      </c>
    </row>
    <row r="61">
      <c r="A61" s="7">
        <v>45868.21805555555</v>
      </c>
      <c r="B61" s="7">
        <v>45868.222916666666</v>
      </c>
      <c r="C61" s="5" t="s">
        <v>99</v>
      </c>
      <c r="D61" s="5" t="s">
        <v>383</v>
      </c>
      <c r="E61" s="8">
        <v>100.0</v>
      </c>
      <c r="F61" s="8">
        <v>459.0</v>
      </c>
      <c r="G61" s="9" t="b">
        <v>1</v>
      </c>
      <c r="H61" s="7">
        <v>45868.222916666666</v>
      </c>
      <c r="I61" s="5" t="s">
        <v>466</v>
      </c>
      <c r="J61" s="8">
        <v>60.1816</v>
      </c>
      <c r="K61" s="8">
        <v>24.8368</v>
      </c>
      <c r="L61" s="5" t="s">
        <v>194</v>
      </c>
      <c r="M61" s="5" t="s">
        <v>195</v>
      </c>
      <c r="N61" s="5" t="s">
        <v>411</v>
      </c>
      <c r="O61" s="5" t="s">
        <v>211</v>
      </c>
      <c r="P61" s="5" t="s">
        <v>198</v>
      </c>
      <c r="Q61" s="5" t="s">
        <v>198</v>
      </c>
      <c r="R61" s="5" t="s">
        <v>199</v>
      </c>
      <c r="S61" s="5" t="s">
        <v>200</v>
      </c>
      <c r="T61" s="5" t="s">
        <v>200</v>
      </c>
      <c r="U61" s="5" t="s">
        <v>203</v>
      </c>
      <c r="V61" s="5" t="s">
        <v>200</v>
      </c>
      <c r="W61" s="5" t="s">
        <v>200</v>
      </c>
      <c r="X61" s="5" t="s">
        <v>202</v>
      </c>
      <c r="Y61" s="5" t="s">
        <v>200</v>
      </c>
      <c r="Z61" s="5" t="s">
        <v>200</v>
      </c>
      <c r="AA61" s="5" t="s">
        <v>203</v>
      </c>
      <c r="AB61" s="5" t="s">
        <v>203</v>
      </c>
      <c r="AC61" s="5" t="s">
        <v>200</v>
      </c>
      <c r="AD61" s="5" t="s">
        <v>201</v>
      </c>
      <c r="AE61" s="5" t="s">
        <v>467</v>
      </c>
      <c r="AF61" s="5" t="s">
        <v>206</v>
      </c>
      <c r="AG61" s="5" t="s">
        <v>200</v>
      </c>
      <c r="AH61" s="5" t="s">
        <v>202</v>
      </c>
      <c r="AI61" s="5" t="s">
        <v>202</v>
      </c>
      <c r="AJ61" s="5" t="s">
        <v>200</v>
      </c>
      <c r="AK61" s="5" t="s">
        <v>203</v>
      </c>
      <c r="AL61" s="5" t="s">
        <v>200</v>
      </c>
      <c r="AM61" s="5" t="s">
        <v>413</v>
      </c>
      <c r="AN61" s="5" t="s">
        <v>206</v>
      </c>
      <c r="AO61" s="5" t="s">
        <v>200</v>
      </c>
      <c r="AP61" s="5" t="s">
        <v>200</v>
      </c>
      <c r="AQ61" s="5" t="s">
        <v>202</v>
      </c>
      <c r="AR61" s="5" t="s">
        <v>204</v>
      </c>
      <c r="AS61" s="5" t="s">
        <v>204</v>
      </c>
      <c r="AT61" s="5" t="s">
        <v>204</v>
      </c>
      <c r="AU61" s="5" t="s">
        <v>204</v>
      </c>
      <c r="AV61" s="5" t="s">
        <v>413</v>
      </c>
    </row>
    <row r="62">
      <c r="A62" s="7">
        <v>45868.22638888889</v>
      </c>
      <c r="B62" s="7">
        <v>45868.22986111111</v>
      </c>
      <c r="C62" s="5" t="s">
        <v>99</v>
      </c>
      <c r="D62" s="5" t="s">
        <v>383</v>
      </c>
      <c r="E62" s="8">
        <v>100.0</v>
      </c>
      <c r="F62" s="8">
        <v>309.0</v>
      </c>
      <c r="G62" s="9" t="b">
        <v>1</v>
      </c>
      <c r="H62" s="7">
        <v>45868.22986111111</v>
      </c>
      <c r="I62" s="5" t="s">
        <v>468</v>
      </c>
      <c r="J62" s="8">
        <v>60.1816</v>
      </c>
      <c r="K62" s="8">
        <v>24.8368</v>
      </c>
      <c r="L62" s="5" t="s">
        <v>194</v>
      </c>
      <c r="M62" s="5" t="s">
        <v>195</v>
      </c>
      <c r="N62" s="5" t="s">
        <v>411</v>
      </c>
      <c r="O62" s="5" t="s">
        <v>216</v>
      </c>
      <c r="P62" s="5" t="s">
        <v>203</v>
      </c>
      <c r="Q62" s="5" t="s">
        <v>208</v>
      </c>
      <c r="R62" s="5" t="s">
        <v>199</v>
      </c>
      <c r="S62" s="5" t="s">
        <v>200</v>
      </c>
      <c r="T62" s="5" t="s">
        <v>202</v>
      </c>
      <c r="U62" s="5" t="s">
        <v>198</v>
      </c>
      <c r="V62" s="5" t="s">
        <v>208</v>
      </c>
      <c r="W62" s="5" t="s">
        <v>200</v>
      </c>
      <c r="X62" s="5" t="s">
        <v>200</v>
      </c>
      <c r="Y62" s="5" t="s">
        <v>200</v>
      </c>
      <c r="Z62" s="5" t="s">
        <v>200</v>
      </c>
      <c r="AA62" s="5" t="s">
        <v>198</v>
      </c>
      <c r="AB62" s="5" t="s">
        <v>203</v>
      </c>
      <c r="AC62" s="5" t="s">
        <v>200</v>
      </c>
      <c r="AD62" s="5" t="s">
        <v>198</v>
      </c>
      <c r="AE62" s="5" t="s">
        <v>413</v>
      </c>
      <c r="AF62" s="5" t="s">
        <v>206</v>
      </c>
      <c r="AG62" s="5" t="s">
        <v>200</v>
      </c>
      <c r="AH62" s="5" t="s">
        <v>200</v>
      </c>
      <c r="AI62" s="5" t="s">
        <v>203</v>
      </c>
      <c r="AJ62" s="5" t="s">
        <v>200</v>
      </c>
      <c r="AK62" s="5" t="s">
        <v>200</v>
      </c>
      <c r="AL62" s="5" t="s">
        <v>200</v>
      </c>
      <c r="AM62" s="5" t="s">
        <v>413</v>
      </c>
      <c r="AN62" s="5" t="s">
        <v>206</v>
      </c>
      <c r="AO62" s="5" t="s">
        <v>202</v>
      </c>
      <c r="AP62" s="5" t="s">
        <v>200</v>
      </c>
      <c r="AQ62" s="5" t="s">
        <v>200</v>
      </c>
      <c r="AR62" s="5" t="s">
        <v>204</v>
      </c>
      <c r="AS62" s="5" t="s">
        <v>204</v>
      </c>
      <c r="AT62" s="5" t="s">
        <v>204</v>
      </c>
      <c r="AU62" s="5" t="s">
        <v>204</v>
      </c>
      <c r="AV62" s="5" t="s">
        <v>413</v>
      </c>
    </row>
    <row r="63">
      <c r="A63" s="7">
        <v>45868.229166666664</v>
      </c>
      <c r="B63" s="7">
        <v>45868.2375</v>
      </c>
      <c r="C63" s="5" t="s">
        <v>99</v>
      </c>
      <c r="D63" s="5" t="s">
        <v>192</v>
      </c>
      <c r="E63" s="8">
        <v>100.0</v>
      </c>
      <c r="F63" s="8">
        <v>723.0</v>
      </c>
      <c r="G63" s="9" t="b">
        <v>1</v>
      </c>
      <c r="H63" s="7">
        <v>45868.2375</v>
      </c>
      <c r="I63" s="5" t="s">
        <v>469</v>
      </c>
      <c r="J63" s="8">
        <v>60.1816</v>
      </c>
      <c r="K63" s="8">
        <v>24.8368</v>
      </c>
      <c r="L63" s="5" t="s">
        <v>194</v>
      </c>
      <c r="M63" s="5" t="s">
        <v>195</v>
      </c>
      <c r="N63" s="5" t="s">
        <v>470</v>
      </c>
      <c r="O63" s="5" t="s">
        <v>197</v>
      </c>
      <c r="P63" s="5" t="s">
        <v>200</v>
      </c>
      <c r="Q63" s="5" t="s">
        <v>202</v>
      </c>
      <c r="R63" s="5" t="s">
        <v>199</v>
      </c>
      <c r="S63" s="5" t="s">
        <v>202</v>
      </c>
      <c r="T63" s="5" t="s">
        <v>202</v>
      </c>
      <c r="U63" s="5" t="s">
        <v>202</v>
      </c>
      <c r="V63" s="5" t="s">
        <v>202</v>
      </c>
      <c r="W63" s="5" t="s">
        <v>200</v>
      </c>
      <c r="X63" s="5" t="s">
        <v>202</v>
      </c>
      <c r="Y63" s="5" t="s">
        <v>202</v>
      </c>
      <c r="Z63" s="5" t="s">
        <v>202</v>
      </c>
      <c r="AA63" s="5" t="s">
        <v>203</v>
      </c>
      <c r="AB63" s="5" t="s">
        <v>203</v>
      </c>
      <c r="AC63" s="5" t="s">
        <v>200</v>
      </c>
      <c r="AD63" s="5" t="s">
        <v>200</v>
      </c>
      <c r="AE63" s="5" t="s">
        <v>471</v>
      </c>
      <c r="AF63" s="5" t="s">
        <v>206</v>
      </c>
      <c r="AG63" s="5" t="s">
        <v>203</v>
      </c>
      <c r="AH63" s="5" t="s">
        <v>203</v>
      </c>
      <c r="AI63" s="5" t="s">
        <v>200</v>
      </c>
      <c r="AJ63" s="5" t="s">
        <v>202</v>
      </c>
      <c r="AK63" s="5" t="s">
        <v>200</v>
      </c>
      <c r="AL63" s="5" t="s">
        <v>202</v>
      </c>
      <c r="AM63" s="5" t="s">
        <v>472</v>
      </c>
      <c r="AN63" s="5" t="s">
        <v>206</v>
      </c>
      <c r="AO63" s="5" t="s">
        <v>200</v>
      </c>
      <c r="AP63" s="5" t="s">
        <v>202</v>
      </c>
      <c r="AQ63" s="5" t="s">
        <v>202</v>
      </c>
      <c r="AR63" s="5" t="s">
        <v>200</v>
      </c>
      <c r="AS63" s="5" t="s">
        <v>200</v>
      </c>
      <c r="AT63" s="5" t="s">
        <v>201</v>
      </c>
      <c r="AU63" s="5" t="s">
        <v>208</v>
      </c>
      <c r="AV63" s="5" t="s">
        <v>473</v>
      </c>
    </row>
    <row r="64">
      <c r="A64" s="7">
        <v>45868.243055555555</v>
      </c>
      <c r="B64" s="7">
        <v>45868.24930555555</v>
      </c>
      <c r="C64" s="5" t="s">
        <v>99</v>
      </c>
      <c r="D64" s="5" t="s">
        <v>389</v>
      </c>
      <c r="E64" s="8">
        <v>100.0</v>
      </c>
      <c r="F64" s="8">
        <v>488.0</v>
      </c>
      <c r="G64" s="9" t="b">
        <v>1</v>
      </c>
      <c r="H64" s="7">
        <v>45868.24930555555</v>
      </c>
      <c r="I64" s="5" t="s">
        <v>474</v>
      </c>
      <c r="J64" s="8">
        <v>60.1816</v>
      </c>
      <c r="K64" s="8">
        <v>24.8368</v>
      </c>
      <c r="L64" s="5" t="s">
        <v>194</v>
      </c>
      <c r="M64" s="5" t="s">
        <v>195</v>
      </c>
      <c r="N64" s="5" t="s">
        <v>470</v>
      </c>
      <c r="O64" s="5" t="s">
        <v>263</v>
      </c>
      <c r="P64" s="5" t="s">
        <v>202</v>
      </c>
      <c r="Q64" s="5" t="s">
        <v>202</v>
      </c>
      <c r="R64" s="5" t="s">
        <v>199</v>
      </c>
      <c r="S64" s="5" t="s">
        <v>202</v>
      </c>
      <c r="T64" s="5" t="s">
        <v>200</v>
      </c>
      <c r="U64" s="5" t="s">
        <v>202</v>
      </c>
      <c r="V64" s="5" t="s">
        <v>202</v>
      </c>
      <c r="W64" s="5" t="s">
        <v>202</v>
      </c>
      <c r="X64" s="5" t="s">
        <v>202</v>
      </c>
      <c r="Y64" s="5" t="s">
        <v>201</v>
      </c>
      <c r="Z64" s="5" t="s">
        <v>202</v>
      </c>
      <c r="AA64" s="5" t="s">
        <v>202</v>
      </c>
      <c r="AB64" s="5" t="s">
        <v>200</v>
      </c>
      <c r="AC64" s="5" t="s">
        <v>202</v>
      </c>
      <c r="AD64" s="5" t="s">
        <v>201</v>
      </c>
      <c r="AE64" s="5" t="s">
        <v>475</v>
      </c>
      <c r="AF64" s="5" t="s">
        <v>206</v>
      </c>
      <c r="AG64" s="5" t="s">
        <v>202</v>
      </c>
      <c r="AH64" s="5" t="s">
        <v>200</v>
      </c>
      <c r="AI64" s="5" t="s">
        <v>202</v>
      </c>
      <c r="AJ64" s="5" t="s">
        <v>200</v>
      </c>
      <c r="AK64" s="5" t="s">
        <v>200</v>
      </c>
      <c r="AL64" s="5" t="s">
        <v>200</v>
      </c>
      <c r="AM64" s="5" t="s">
        <v>476</v>
      </c>
      <c r="AN64" s="5" t="s">
        <v>206</v>
      </c>
      <c r="AO64" s="5" t="s">
        <v>202</v>
      </c>
      <c r="AP64" s="5" t="s">
        <v>202</v>
      </c>
      <c r="AQ64" s="5" t="s">
        <v>202</v>
      </c>
      <c r="AR64" s="5" t="s">
        <v>200</v>
      </c>
      <c r="AS64" s="5" t="s">
        <v>200</v>
      </c>
      <c r="AT64" s="5" t="s">
        <v>202</v>
      </c>
      <c r="AU64" s="5" t="s">
        <v>203</v>
      </c>
      <c r="AV64" s="5" t="s">
        <v>477</v>
      </c>
    </row>
    <row r="65">
      <c r="A65" s="7">
        <v>45868.24930555555</v>
      </c>
      <c r="B65" s="7">
        <v>45868.256944444445</v>
      </c>
      <c r="C65" s="5" t="s">
        <v>99</v>
      </c>
      <c r="D65" s="5" t="s">
        <v>192</v>
      </c>
      <c r="E65" s="8">
        <v>100.0</v>
      </c>
      <c r="F65" s="8">
        <v>675.0</v>
      </c>
      <c r="G65" s="9" t="b">
        <v>1</v>
      </c>
      <c r="H65" s="7">
        <v>45868.256944444445</v>
      </c>
      <c r="I65" s="5" t="s">
        <v>478</v>
      </c>
      <c r="J65" s="8">
        <v>60.1816</v>
      </c>
      <c r="K65" s="8">
        <v>24.8368</v>
      </c>
      <c r="L65" s="5" t="s">
        <v>194</v>
      </c>
      <c r="M65" s="5" t="s">
        <v>195</v>
      </c>
      <c r="N65" s="5" t="s">
        <v>428</v>
      </c>
      <c r="O65" s="5" t="s">
        <v>197</v>
      </c>
      <c r="P65" s="5" t="s">
        <v>198</v>
      </c>
      <c r="Q65" s="5" t="s">
        <v>208</v>
      </c>
      <c r="R65" s="5" t="s">
        <v>199</v>
      </c>
      <c r="S65" s="5" t="s">
        <v>200</v>
      </c>
      <c r="T65" s="5" t="s">
        <v>200</v>
      </c>
      <c r="U65" s="5" t="s">
        <v>208</v>
      </c>
      <c r="V65" s="5" t="s">
        <v>208</v>
      </c>
      <c r="W65" s="5" t="s">
        <v>208</v>
      </c>
      <c r="X65" s="5" t="s">
        <v>200</v>
      </c>
      <c r="Y65" s="5" t="s">
        <v>200</v>
      </c>
      <c r="Z65" s="5" t="s">
        <v>200</v>
      </c>
      <c r="AA65" s="5" t="s">
        <v>208</v>
      </c>
      <c r="AB65" s="5" t="s">
        <v>203</v>
      </c>
      <c r="AC65" s="5" t="s">
        <v>200</v>
      </c>
      <c r="AD65" s="5" t="s">
        <v>208</v>
      </c>
      <c r="AE65" s="5" t="s">
        <v>479</v>
      </c>
      <c r="AF65" s="5" t="s">
        <v>206</v>
      </c>
      <c r="AG65" s="5" t="s">
        <v>200</v>
      </c>
      <c r="AH65" s="5" t="s">
        <v>200</v>
      </c>
      <c r="AI65" s="5" t="s">
        <v>200</v>
      </c>
      <c r="AJ65" s="5" t="s">
        <v>198</v>
      </c>
      <c r="AK65" s="5" t="s">
        <v>198</v>
      </c>
      <c r="AL65" s="5" t="s">
        <v>200</v>
      </c>
      <c r="AM65" s="5" t="s">
        <v>480</v>
      </c>
      <c r="AN65" s="5" t="s">
        <v>206</v>
      </c>
      <c r="AO65" s="5" t="s">
        <v>200</v>
      </c>
      <c r="AP65" s="5" t="s">
        <v>200</v>
      </c>
      <c r="AQ65" s="5" t="s">
        <v>203</v>
      </c>
      <c r="AR65" s="5" t="s">
        <v>200</v>
      </c>
      <c r="AS65" s="5" t="s">
        <v>200</v>
      </c>
      <c r="AT65" s="5" t="s">
        <v>200</v>
      </c>
      <c r="AU65" s="5" t="s">
        <v>198</v>
      </c>
      <c r="AV65" s="5" t="s">
        <v>481</v>
      </c>
    </row>
    <row r="66">
      <c r="A66" s="7">
        <v>45868.25</v>
      </c>
      <c r="B66" s="7">
        <v>45868.25833333333</v>
      </c>
      <c r="C66" s="5" t="s">
        <v>99</v>
      </c>
      <c r="D66" s="5" t="s">
        <v>389</v>
      </c>
      <c r="E66" s="8">
        <v>100.0</v>
      </c>
      <c r="F66" s="8">
        <v>735.0</v>
      </c>
      <c r="G66" s="9" t="b">
        <v>1</v>
      </c>
      <c r="H66" s="7">
        <v>45868.25833333333</v>
      </c>
      <c r="I66" s="5" t="s">
        <v>482</v>
      </c>
      <c r="J66" s="8">
        <v>60.1816</v>
      </c>
      <c r="K66" s="8">
        <v>24.8368</v>
      </c>
      <c r="L66" s="5" t="s">
        <v>194</v>
      </c>
      <c r="M66" s="5" t="s">
        <v>195</v>
      </c>
      <c r="N66" s="5" t="s">
        <v>470</v>
      </c>
      <c r="O66" s="5" t="s">
        <v>211</v>
      </c>
      <c r="P66" s="5" t="s">
        <v>203</v>
      </c>
      <c r="Q66" s="5" t="s">
        <v>202</v>
      </c>
      <c r="R66" s="5" t="s">
        <v>199</v>
      </c>
      <c r="S66" s="5" t="s">
        <v>200</v>
      </c>
      <c r="T66" s="5" t="s">
        <v>200</v>
      </c>
      <c r="U66" s="5" t="s">
        <v>200</v>
      </c>
      <c r="V66" s="5" t="s">
        <v>200</v>
      </c>
      <c r="W66" s="5" t="s">
        <v>203</v>
      </c>
      <c r="X66" s="5" t="s">
        <v>200</v>
      </c>
      <c r="Y66" s="5" t="s">
        <v>202</v>
      </c>
      <c r="Z66" s="5" t="s">
        <v>202</v>
      </c>
      <c r="AA66" s="5" t="s">
        <v>198</v>
      </c>
      <c r="AB66" s="5" t="s">
        <v>203</v>
      </c>
      <c r="AC66" s="5" t="s">
        <v>202</v>
      </c>
      <c r="AD66" s="5" t="s">
        <v>202</v>
      </c>
      <c r="AE66" s="5" t="s">
        <v>483</v>
      </c>
      <c r="AF66" s="5" t="s">
        <v>206</v>
      </c>
      <c r="AG66" s="5" t="s">
        <v>200</v>
      </c>
      <c r="AH66" s="5" t="s">
        <v>203</v>
      </c>
      <c r="AI66" s="5" t="s">
        <v>200</v>
      </c>
      <c r="AJ66" s="5" t="s">
        <v>198</v>
      </c>
      <c r="AK66" s="5" t="s">
        <v>198</v>
      </c>
      <c r="AL66" s="5" t="s">
        <v>202</v>
      </c>
      <c r="AM66" s="5" t="s">
        <v>484</v>
      </c>
      <c r="AN66" s="5" t="s">
        <v>206</v>
      </c>
      <c r="AO66" s="5" t="s">
        <v>202</v>
      </c>
      <c r="AP66" s="5" t="s">
        <v>202</v>
      </c>
      <c r="AQ66" s="5" t="s">
        <v>203</v>
      </c>
      <c r="AR66" s="5" t="s">
        <v>200</v>
      </c>
      <c r="AS66" s="5" t="s">
        <v>203</v>
      </c>
      <c r="AT66" s="5" t="s">
        <v>202</v>
      </c>
      <c r="AU66" s="5" t="s">
        <v>198</v>
      </c>
      <c r="AV66" s="5" t="s">
        <v>485</v>
      </c>
    </row>
    <row r="67">
      <c r="A67" s="7">
        <v>45868.25902777778</v>
      </c>
      <c r="B67" s="7">
        <v>45868.26527777778</v>
      </c>
      <c r="C67" s="5" t="s">
        <v>99</v>
      </c>
      <c r="D67" s="5" t="s">
        <v>389</v>
      </c>
      <c r="E67" s="8">
        <v>100.0</v>
      </c>
      <c r="F67" s="8">
        <v>537.0</v>
      </c>
      <c r="G67" s="9" t="b">
        <v>1</v>
      </c>
      <c r="H67" s="7">
        <v>45868.26527777778</v>
      </c>
      <c r="I67" s="5" t="s">
        <v>486</v>
      </c>
      <c r="J67" s="8">
        <v>60.1816</v>
      </c>
      <c r="K67" s="8">
        <v>24.8368</v>
      </c>
      <c r="L67" s="5" t="s">
        <v>194</v>
      </c>
      <c r="M67" s="5" t="s">
        <v>195</v>
      </c>
      <c r="N67" s="5" t="s">
        <v>470</v>
      </c>
      <c r="O67" s="5" t="s">
        <v>216</v>
      </c>
      <c r="P67" s="5" t="s">
        <v>202</v>
      </c>
      <c r="Q67" s="5" t="s">
        <v>202</v>
      </c>
      <c r="R67" s="5" t="s">
        <v>199</v>
      </c>
      <c r="S67" s="5" t="s">
        <v>201</v>
      </c>
      <c r="T67" s="5" t="s">
        <v>202</v>
      </c>
      <c r="U67" s="5" t="s">
        <v>203</v>
      </c>
      <c r="V67" s="5" t="s">
        <v>202</v>
      </c>
      <c r="W67" s="5" t="s">
        <v>200</v>
      </c>
      <c r="X67" s="5" t="s">
        <v>202</v>
      </c>
      <c r="Y67" s="5" t="s">
        <v>202</v>
      </c>
      <c r="Z67" s="5" t="s">
        <v>202</v>
      </c>
      <c r="AA67" s="5" t="s">
        <v>200</v>
      </c>
      <c r="AB67" s="5" t="s">
        <v>200</v>
      </c>
      <c r="AC67" s="5" t="s">
        <v>202</v>
      </c>
      <c r="AD67" s="5" t="s">
        <v>200</v>
      </c>
      <c r="AE67" s="5" t="s">
        <v>487</v>
      </c>
      <c r="AF67" s="5" t="s">
        <v>206</v>
      </c>
      <c r="AG67" s="5" t="s">
        <v>202</v>
      </c>
      <c r="AH67" s="5" t="s">
        <v>202</v>
      </c>
      <c r="AI67" s="5" t="s">
        <v>202</v>
      </c>
      <c r="AJ67" s="5" t="s">
        <v>200</v>
      </c>
      <c r="AK67" s="5" t="s">
        <v>202</v>
      </c>
      <c r="AL67" s="5" t="s">
        <v>202</v>
      </c>
      <c r="AM67" s="5" t="s">
        <v>488</v>
      </c>
      <c r="AN67" s="5" t="s">
        <v>206</v>
      </c>
      <c r="AO67" s="5" t="s">
        <v>202</v>
      </c>
      <c r="AP67" s="5" t="s">
        <v>202</v>
      </c>
      <c r="AQ67" s="5" t="s">
        <v>202</v>
      </c>
      <c r="AR67" s="5" t="s">
        <v>203</v>
      </c>
      <c r="AS67" s="5" t="s">
        <v>203</v>
      </c>
      <c r="AT67" s="5" t="s">
        <v>200</v>
      </c>
      <c r="AU67" s="5" t="s">
        <v>198</v>
      </c>
      <c r="AV67" s="5" t="s">
        <v>489</v>
      </c>
    </row>
    <row r="68">
      <c r="A68" s="7">
        <v>45868.26458333333</v>
      </c>
      <c r="B68" s="7">
        <v>45868.27222222222</v>
      </c>
      <c r="C68" s="5" t="s">
        <v>99</v>
      </c>
      <c r="D68" s="5" t="s">
        <v>490</v>
      </c>
      <c r="E68" s="8">
        <v>100.0</v>
      </c>
      <c r="F68" s="8">
        <v>616.0</v>
      </c>
      <c r="G68" s="9" t="b">
        <v>1</v>
      </c>
      <c r="H68" s="7">
        <v>45868.27222222222</v>
      </c>
      <c r="I68" s="5" t="s">
        <v>491</v>
      </c>
      <c r="J68" s="8">
        <v>60.1816</v>
      </c>
      <c r="K68" s="8">
        <v>24.8368</v>
      </c>
      <c r="L68" s="5" t="s">
        <v>194</v>
      </c>
      <c r="M68" s="5" t="s">
        <v>195</v>
      </c>
      <c r="N68" s="5" t="s">
        <v>428</v>
      </c>
      <c r="O68" s="5" t="s">
        <v>263</v>
      </c>
      <c r="P68" s="5" t="s">
        <v>208</v>
      </c>
      <c r="Q68" s="5" t="s">
        <v>204</v>
      </c>
      <c r="R68" s="5" t="s">
        <v>199</v>
      </c>
      <c r="S68" s="5" t="s">
        <v>200</v>
      </c>
      <c r="T68" s="5" t="s">
        <v>203</v>
      </c>
      <c r="U68" s="5" t="s">
        <v>208</v>
      </c>
      <c r="V68" s="5" t="s">
        <v>208</v>
      </c>
      <c r="W68" s="5" t="s">
        <v>202</v>
      </c>
      <c r="X68" s="5" t="s">
        <v>200</v>
      </c>
      <c r="Y68" s="5" t="s">
        <v>202</v>
      </c>
      <c r="Z68" s="5" t="s">
        <v>202</v>
      </c>
      <c r="AA68" s="5" t="s">
        <v>208</v>
      </c>
      <c r="AB68" s="5" t="s">
        <v>202</v>
      </c>
      <c r="AC68" s="5" t="s">
        <v>200</v>
      </c>
      <c r="AD68" s="5" t="s">
        <v>200</v>
      </c>
      <c r="AE68" s="5" t="s">
        <v>492</v>
      </c>
      <c r="AF68" s="5" t="s">
        <v>206</v>
      </c>
      <c r="AG68" s="5" t="s">
        <v>208</v>
      </c>
      <c r="AH68" s="5" t="s">
        <v>208</v>
      </c>
      <c r="AI68" s="5" t="s">
        <v>208</v>
      </c>
      <c r="AJ68" s="5" t="s">
        <v>208</v>
      </c>
      <c r="AK68" s="5" t="s">
        <v>201</v>
      </c>
      <c r="AL68" s="5" t="s">
        <v>204</v>
      </c>
      <c r="AM68" s="5" t="s">
        <v>493</v>
      </c>
      <c r="AN68" s="5" t="s">
        <v>206</v>
      </c>
      <c r="AO68" s="5" t="s">
        <v>202</v>
      </c>
      <c r="AP68" s="5" t="s">
        <v>208</v>
      </c>
      <c r="AQ68" s="5" t="s">
        <v>198</v>
      </c>
      <c r="AR68" s="5" t="s">
        <v>201</v>
      </c>
      <c r="AS68" s="5" t="s">
        <v>201</v>
      </c>
      <c r="AT68" s="5" t="s">
        <v>201</v>
      </c>
      <c r="AU68" s="5" t="s">
        <v>202</v>
      </c>
      <c r="AV68" s="5" t="s">
        <v>494</v>
      </c>
    </row>
    <row r="69">
      <c r="A69" s="7">
        <v>45868.27916666667</v>
      </c>
      <c r="B69" s="7">
        <v>45868.290972222225</v>
      </c>
      <c r="C69" s="5" t="s">
        <v>99</v>
      </c>
      <c r="D69" s="5" t="s">
        <v>192</v>
      </c>
      <c r="E69" s="8">
        <v>100.0</v>
      </c>
      <c r="F69" s="8">
        <v>1057.0</v>
      </c>
      <c r="G69" s="9" t="b">
        <v>1</v>
      </c>
      <c r="H69" s="7">
        <v>45868.290972222225</v>
      </c>
      <c r="I69" s="5" t="s">
        <v>495</v>
      </c>
      <c r="J69" s="8">
        <v>60.1816</v>
      </c>
      <c r="K69" s="8">
        <v>24.8368</v>
      </c>
      <c r="L69" s="5" t="s">
        <v>194</v>
      </c>
      <c r="M69" s="5" t="s">
        <v>195</v>
      </c>
      <c r="N69" s="5" t="s">
        <v>496</v>
      </c>
      <c r="O69" s="5" t="s">
        <v>263</v>
      </c>
      <c r="P69" s="5" t="s">
        <v>208</v>
      </c>
      <c r="Q69" s="5" t="s">
        <v>198</v>
      </c>
      <c r="R69" s="5" t="s">
        <v>199</v>
      </c>
      <c r="S69" s="5" t="s">
        <v>200</v>
      </c>
      <c r="T69" s="5" t="s">
        <v>202</v>
      </c>
      <c r="U69" s="5" t="s">
        <v>208</v>
      </c>
      <c r="V69" s="5" t="s">
        <v>202</v>
      </c>
      <c r="W69" s="5" t="s">
        <v>198</v>
      </c>
      <c r="X69" s="5" t="s">
        <v>202</v>
      </c>
      <c r="Y69" s="5" t="s">
        <v>201</v>
      </c>
      <c r="Z69" s="5" t="s">
        <v>201</v>
      </c>
      <c r="AA69" s="5" t="s">
        <v>203</v>
      </c>
      <c r="AB69" s="5" t="s">
        <v>198</v>
      </c>
      <c r="AC69" s="5" t="s">
        <v>200</v>
      </c>
      <c r="AD69" s="5" t="s">
        <v>208</v>
      </c>
      <c r="AE69" s="11" t="s">
        <v>497</v>
      </c>
      <c r="AF69" s="5" t="s">
        <v>206</v>
      </c>
      <c r="AG69" s="5" t="s">
        <v>198</v>
      </c>
      <c r="AH69" s="5" t="s">
        <v>202</v>
      </c>
      <c r="AI69" s="5" t="s">
        <v>200</v>
      </c>
      <c r="AJ69" s="5" t="s">
        <v>203</v>
      </c>
      <c r="AK69" s="5" t="s">
        <v>208</v>
      </c>
      <c r="AL69" s="5" t="s">
        <v>203</v>
      </c>
      <c r="AM69" s="11" t="s">
        <v>498</v>
      </c>
      <c r="AN69" s="5" t="s">
        <v>206</v>
      </c>
      <c r="AO69" s="5" t="s">
        <v>200</v>
      </c>
      <c r="AP69" s="5" t="s">
        <v>204</v>
      </c>
      <c r="AQ69" s="5" t="s">
        <v>202</v>
      </c>
      <c r="AR69" s="5" t="s">
        <v>203</v>
      </c>
      <c r="AS69" s="5" t="s">
        <v>204</v>
      </c>
      <c r="AT69" s="5" t="s">
        <v>208</v>
      </c>
      <c r="AU69" s="5" t="s">
        <v>208</v>
      </c>
      <c r="AV69" s="5" t="s">
        <v>499</v>
      </c>
    </row>
    <row r="70">
      <c r="A70" s="7">
        <v>45868.28194444445</v>
      </c>
      <c r="B70" s="7">
        <v>45868.294444444444</v>
      </c>
      <c r="C70" s="5" t="s">
        <v>99</v>
      </c>
      <c r="D70" s="5" t="s">
        <v>389</v>
      </c>
      <c r="E70" s="8">
        <v>100.0</v>
      </c>
      <c r="F70" s="8">
        <v>1105.0</v>
      </c>
      <c r="G70" s="9" t="b">
        <v>1</v>
      </c>
      <c r="H70" s="7">
        <v>45868.294444444444</v>
      </c>
      <c r="I70" s="5" t="s">
        <v>500</v>
      </c>
      <c r="J70" s="8">
        <v>60.1816</v>
      </c>
      <c r="K70" s="8">
        <v>24.8368</v>
      </c>
      <c r="L70" s="5" t="s">
        <v>194</v>
      </c>
      <c r="M70" s="5" t="s">
        <v>195</v>
      </c>
      <c r="N70" s="5" t="s">
        <v>501</v>
      </c>
      <c r="O70" s="5" t="s">
        <v>211</v>
      </c>
      <c r="P70" s="5" t="s">
        <v>200</v>
      </c>
      <c r="Q70" s="5" t="s">
        <v>202</v>
      </c>
      <c r="R70" s="5" t="s">
        <v>199</v>
      </c>
      <c r="S70" s="5" t="s">
        <v>202</v>
      </c>
      <c r="T70" s="5" t="s">
        <v>202</v>
      </c>
      <c r="U70" s="5" t="s">
        <v>203</v>
      </c>
      <c r="V70" s="5" t="s">
        <v>200</v>
      </c>
      <c r="W70" s="5" t="s">
        <v>202</v>
      </c>
      <c r="X70" s="5" t="s">
        <v>202</v>
      </c>
      <c r="Y70" s="5" t="s">
        <v>202</v>
      </c>
      <c r="Z70" s="5" t="s">
        <v>202</v>
      </c>
      <c r="AA70" s="5" t="s">
        <v>202</v>
      </c>
      <c r="AB70" s="5" t="s">
        <v>203</v>
      </c>
      <c r="AC70" s="5" t="s">
        <v>202</v>
      </c>
      <c r="AD70" s="5" t="s">
        <v>204</v>
      </c>
      <c r="AE70" s="5" t="s">
        <v>502</v>
      </c>
      <c r="AF70" s="5" t="s">
        <v>206</v>
      </c>
      <c r="AG70" s="5" t="s">
        <v>202</v>
      </c>
      <c r="AH70" s="5" t="s">
        <v>201</v>
      </c>
      <c r="AI70" s="5" t="s">
        <v>201</v>
      </c>
      <c r="AJ70" s="5" t="s">
        <v>201</v>
      </c>
      <c r="AK70" s="5" t="s">
        <v>202</v>
      </c>
      <c r="AL70" s="5" t="s">
        <v>201</v>
      </c>
      <c r="AM70" s="5" t="s">
        <v>503</v>
      </c>
      <c r="AN70" s="5" t="s">
        <v>206</v>
      </c>
      <c r="AO70" s="5" t="s">
        <v>201</v>
      </c>
      <c r="AP70" s="5" t="s">
        <v>202</v>
      </c>
      <c r="AQ70" s="5" t="s">
        <v>201</v>
      </c>
      <c r="AR70" s="5" t="s">
        <v>204</v>
      </c>
      <c r="AS70" s="5" t="s">
        <v>204</v>
      </c>
      <c r="AT70" s="5" t="s">
        <v>204</v>
      </c>
      <c r="AU70" s="5" t="s">
        <v>204</v>
      </c>
      <c r="AV70" s="5" t="s">
        <v>504</v>
      </c>
    </row>
    <row r="71">
      <c r="A71" s="7">
        <v>45868.30069444444</v>
      </c>
      <c r="B71" s="7">
        <v>45868.30763888889</v>
      </c>
      <c r="C71" s="5" t="s">
        <v>99</v>
      </c>
      <c r="D71" s="5" t="s">
        <v>389</v>
      </c>
      <c r="E71" s="8">
        <v>100.0</v>
      </c>
      <c r="F71" s="8">
        <v>553.0</v>
      </c>
      <c r="G71" s="9" t="b">
        <v>1</v>
      </c>
      <c r="H71" s="7">
        <v>45868.30763888889</v>
      </c>
      <c r="I71" s="5" t="s">
        <v>505</v>
      </c>
      <c r="J71" s="8">
        <v>60.1816</v>
      </c>
      <c r="K71" s="8">
        <v>24.8368</v>
      </c>
      <c r="L71" s="5" t="s">
        <v>194</v>
      </c>
      <c r="M71" s="5" t="s">
        <v>195</v>
      </c>
      <c r="N71" s="5" t="s">
        <v>496</v>
      </c>
      <c r="O71" s="5" t="s">
        <v>216</v>
      </c>
      <c r="P71" s="5" t="s">
        <v>203</v>
      </c>
      <c r="Q71" s="5" t="s">
        <v>203</v>
      </c>
      <c r="R71" s="5" t="s">
        <v>199</v>
      </c>
      <c r="S71" s="5" t="s">
        <v>201</v>
      </c>
      <c r="T71" s="5" t="s">
        <v>201</v>
      </c>
      <c r="U71" s="5" t="s">
        <v>200</v>
      </c>
      <c r="V71" s="5" t="s">
        <v>198</v>
      </c>
      <c r="W71" s="5" t="s">
        <v>200</v>
      </c>
      <c r="X71" s="5" t="s">
        <v>201</v>
      </c>
      <c r="Y71" s="5" t="s">
        <v>201</v>
      </c>
      <c r="Z71" s="5" t="s">
        <v>201</v>
      </c>
      <c r="AA71" s="5" t="s">
        <v>203</v>
      </c>
      <c r="AB71" s="5" t="s">
        <v>208</v>
      </c>
      <c r="AC71" s="5" t="s">
        <v>201</v>
      </c>
      <c r="AD71" s="5" t="s">
        <v>204</v>
      </c>
      <c r="AE71" s="5" t="s">
        <v>506</v>
      </c>
      <c r="AF71" s="5" t="s">
        <v>206</v>
      </c>
      <c r="AG71" s="5" t="s">
        <v>201</v>
      </c>
      <c r="AH71" s="5" t="s">
        <v>202</v>
      </c>
      <c r="AI71" s="5" t="s">
        <v>202</v>
      </c>
      <c r="AJ71" s="5" t="s">
        <v>201</v>
      </c>
      <c r="AK71" s="5" t="s">
        <v>201</v>
      </c>
      <c r="AL71" s="5" t="s">
        <v>201</v>
      </c>
      <c r="AM71" s="5" t="s">
        <v>507</v>
      </c>
      <c r="AN71" s="5" t="s">
        <v>206</v>
      </c>
      <c r="AO71" s="5" t="s">
        <v>201</v>
      </c>
      <c r="AP71" s="5" t="s">
        <v>201</v>
      </c>
      <c r="AQ71" s="5" t="s">
        <v>201</v>
      </c>
      <c r="AR71" s="5" t="s">
        <v>204</v>
      </c>
      <c r="AS71" s="5" t="s">
        <v>204</v>
      </c>
      <c r="AT71" s="5" t="s">
        <v>204</v>
      </c>
      <c r="AU71" s="5" t="s">
        <v>204</v>
      </c>
      <c r="AV71" s="5" t="s">
        <v>508</v>
      </c>
    </row>
    <row r="72">
      <c r="A72" s="7">
        <v>45868.30138888889</v>
      </c>
      <c r="B72" s="7">
        <v>45868.30972222222</v>
      </c>
      <c r="C72" s="5" t="s">
        <v>99</v>
      </c>
      <c r="D72" s="5" t="s">
        <v>192</v>
      </c>
      <c r="E72" s="8">
        <v>100.0</v>
      </c>
      <c r="F72" s="8">
        <v>729.0</v>
      </c>
      <c r="G72" s="9" t="b">
        <v>1</v>
      </c>
      <c r="H72" s="7">
        <v>45868.30972222222</v>
      </c>
      <c r="I72" s="5" t="s">
        <v>509</v>
      </c>
      <c r="J72" s="8">
        <v>60.1816</v>
      </c>
      <c r="K72" s="8">
        <v>24.8368</v>
      </c>
      <c r="L72" s="5" t="s">
        <v>194</v>
      </c>
      <c r="M72" s="5" t="s">
        <v>195</v>
      </c>
      <c r="N72" s="5" t="s">
        <v>501</v>
      </c>
      <c r="O72" s="5" t="s">
        <v>263</v>
      </c>
      <c r="P72" s="5" t="s">
        <v>202</v>
      </c>
      <c r="Q72" s="5" t="s">
        <v>202</v>
      </c>
      <c r="R72" s="5" t="s">
        <v>199</v>
      </c>
      <c r="S72" s="5" t="s">
        <v>201</v>
      </c>
      <c r="T72" s="5" t="s">
        <v>201</v>
      </c>
      <c r="U72" s="5" t="s">
        <v>202</v>
      </c>
      <c r="V72" s="5" t="s">
        <v>202</v>
      </c>
      <c r="W72" s="5" t="s">
        <v>201</v>
      </c>
      <c r="X72" s="5" t="s">
        <v>201</v>
      </c>
      <c r="Y72" s="5" t="s">
        <v>201</v>
      </c>
      <c r="Z72" s="5" t="s">
        <v>201</v>
      </c>
      <c r="AA72" s="5" t="s">
        <v>202</v>
      </c>
      <c r="AB72" s="5" t="s">
        <v>202</v>
      </c>
      <c r="AC72" s="5" t="s">
        <v>202</v>
      </c>
      <c r="AD72" s="5" t="s">
        <v>203</v>
      </c>
      <c r="AE72" s="5" t="s">
        <v>510</v>
      </c>
      <c r="AF72" s="5" t="s">
        <v>206</v>
      </c>
      <c r="AG72" s="5" t="s">
        <v>202</v>
      </c>
      <c r="AH72" s="5" t="s">
        <v>201</v>
      </c>
      <c r="AI72" s="5" t="s">
        <v>201</v>
      </c>
      <c r="AJ72" s="5" t="s">
        <v>201</v>
      </c>
      <c r="AK72" s="5" t="s">
        <v>201</v>
      </c>
      <c r="AL72" s="5" t="s">
        <v>201</v>
      </c>
      <c r="AM72" s="5" t="s">
        <v>511</v>
      </c>
      <c r="AN72" s="5" t="s">
        <v>206</v>
      </c>
      <c r="AO72" s="5" t="s">
        <v>201</v>
      </c>
      <c r="AP72" s="5" t="s">
        <v>202</v>
      </c>
      <c r="AQ72" s="5" t="s">
        <v>201</v>
      </c>
      <c r="AR72" s="5" t="s">
        <v>204</v>
      </c>
      <c r="AS72" s="5" t="s">
        <v>204</v>
      </c>
      <c r="AT72" s="5" t="s">
        <v>208</v>
      </c>
      <c r="AU72" s="5" t="s">
        <v>204</v>
      </c>
      <c r="AV72" s="5" t="s">
        <v>512</v>
      </c>
    </row>
    <row r="73">
      <c r="A73" s="7">
        <v>45868.31319444445</v>
      </c>
      <c r="B73" s="7">
        <v>45868.322222222225</v>
      </c>
      <c r="C73" s="5" t="s">
        <v>99</v>
      </c>
      <c r="D73" s="5" t="s">
        <v>389</v>
      </c>
      <c r="E73" s="8">
        <v>100.0</v>
      </c>
      <c r="F73" s="8">
        <v>806.0</v>
      </c>
      <c r="G73" s="9" t="b">
        <v>1</v>
      </c>
      <c r="H73" s="7">
        <v>45868.322222222225</v>
      </c>
      <c r="I73" s="5" t="s">
        <v>513</v>
      </c>
      <c r="J73" s="8">
        <v>60.1816</v>
      </c>
      <c r="K73" s="8">
        <v>24.8368</v>
      </c>
      <c r="L73" s="5" t="s">
        <v>194</v>
      </c>
      <c r="M73" s="5" t="s">
        <v>195</v>
      </c>
      <c r="N73" s="5" t="s">
        <v>496</v>
      </c>
      <c r="O73" s="5" t="s">
        <v>211</v>
      </c>
      <c r="P73" s="5" t="s">
        <v>203</v>
      </c>
      <c r="Q73" s="5" t="s">
        <v>203</v>
      </c>
      <c r="R73" s="5" t="s">
        <v>199</v>
      </c>
      <c r="S73" s="5" t="s">
        <v>203</v>
      </c>
      <c r="T73" s="5" t="s">
        <v>201</v>
      </c>
      <c r="U73" s="5" t="s">
        <v>198</v>
      </c>
      <c r="V73" s="5" t="s">
        <v>203</v>
      </c>
      <c r="W73" s="5" t="s">
        <v>201</v>
      </c>
      <c r="X73" s="5" t="s">
        <v>201</v>
      </c>
      <c r="Y73" s="5" t="s">
        <v>201</v>
      </c>
      <c r="Z73" s="5" t="s">
        <v>201</v>
      </c>
      <c r="AA73" s="5" t="s">
        <v>208</v>
      </c>
      <c r="AB73" s="5" t="s">
        <v>204</v>
      </c>
      <c r="AC73" s="5" t="s">
        <v>201</v>
      </c>
      <c r="AD73" s="5" t="s">
        <v>204</v>
      </c>
      <c r="AE73" s="5" t="s">
        <v>514</v>
      </c>
      <c r="AF73" s="5" t="s">
        <v>206</v>
      </c>
      <c r="AG73" s="5" t="s">
        <v>202</v>
      </c>
      <c r="AH73" s="5" t="s">
        <v>201</v>
      </c>
      <c r="AI73" s="5" t="s">
        <v>202</v>
      </c>
      <c r="AJ73" s="5" t="s">
        <v>202</v>
      </c>
      <c r="AK73" s="5" t="s">
        <v>200</v>
      </c>
      <c r="AL73" s="5" t="s">
        <v>200</v>
      </c>
      <c r="AM73" s="5" t="s">
        <v>515</v>
      </c>
      <c r="AN73" s="5" t="s">
        <v>206</v>
      </c>
      <c r="AO73" s="5" t="s">
        <v>201</v>
      </c>
      <c r="AP73" s="5" t="s">
        <v>201</v>
      </c>
      <c r="AQ73" s="5" t="s">
        <v>201</v>
      </c>
      <c r="AR73" s="5" t="s">
        <v>204</v>
      </c>
      <c r="AS73" s="5" t="s">
        <v>204</v>
      </c>
      <c r="AT73" s="5" t="s">
        <v>204</v>
      </c>
      <c r="AU73" s="5" t="s">
        <v>204</v>
      </c>
      <c r="AV73" s="5" t="s">
        <v>516</v>
      </c>
    </row>
    <row r="74">
      <c r="A74" s="7">
        <v>45868.31597222222</v>
      </c>
      <c r="B74" s="7">
        <v>45868.32361111111</v>
      </c>
      <c r="C74" s="5" t="s">
        <v>99</v>
      </c>
      <c r="D74" s="5" t="s">
        <v>192</v>
      </c>
      <c r="E74" s="8">
        <v>100.0</v>
      </c>
      <c r="F74" s="8">
        <v>612.0</v>
      </c>
      <c r="G74" s="9" t="b">
        <v>1</v>
      </c>
      <c r="H74" s="7">
        <v>45868.32361111111</v>
      </c>
      <c r="I74" s="5" t="s">
        <v>517</v>
      </c>
      <c r="J74" s="8">
        <v>60.1816</v>
      </c>
      <c r="K74" s="8">
        <v>24.8368</v>
      </c>
      <c r="L74" s="5" t="s">
        <v>194</v>
      </c>
      <c r="M74" s="5" t="s">
        <v>195</v>
      </c>
      <c r="N74" s="5" t="s">
        <v>501</v>
      </c>
      <c r="O74" s="5" t="s">
        <v>197</v>
      </c>
      <c r="P74" s="5" t="s">
        <v>202</v>
      </c>
      <c r="Q74" s="5" t="s">
        <v>202</v>
      </c>
      <c r="R74" s="5" t="s">
        <v>199</v>
      </c>
      <c r="S74" s="5" t="s">
        <v>201</v>
      </c>
      <c r="T74" s="5" t="s">
        <v>201</v>
      </c>
      <c r="U74" s="5" t="s">
        <v>201</v>
      </c>
      <c r="V74" s="5" t="s">
        <v>202</v>
      </c>
      <c r="W74" s="5" t="s">
        <v>201</v>
      </c>
      <c r="X74" s="5" t="s">
        <v>201</v>
      </c>
      <c r="Y74" s="5" t="s">
        <v>201</v>
      </c>
      <c r="Z74" s="5" t="s">
        <v>201</v>
      </c>
      <c r="AA74" s="5" t="s">
        <v>202</v>
      </c>
      <c r="AB74" s="5" t="s">
        <v>202</v>
      </c>
      <c r="AC74" s="5" t="s">
        <v>201</v>
      </c>
      <c r="AD74" s="5" t="s">
        <v>208</v>
      </c>
      <c r="AE74" s="5" t="s">
        <v>518</v>
      </c>
      <c r="AF74" s="5" t="s">
        <v>206</v>
      </c>
      <c r="AG74" s="5" t="s">
        <v>201</v>
      </c>
      <c r="AH74" s="5" t="s">
        <v>201</v>
      </c>
      <c r="AI74" s="5" t="s">
        <v>201</v>
      </c>
      <c r="AJ74" s="5" t="s">
        <v>201</v>
      </c>
      <c r="AK74" s="5" t="s">
        <v>201</v>
      </c>
      <c r="AL74" s="5" t="s">
        <v>201</v>
      </c>
      <c r="AM74" s="5" t="s">
        <v>519</v>
      </c>
      <c r="AN74" s="5" t="s">
        <v>206</v>
      </c>
      <c r="AO74" s="5" t="s">
        <v>201</v>
      </c>
      <c r="AP74" s="5" t="s">
        <v>202</v>
      </c>
      <c r="AQ74" s="5" t="s">
        <v>201</v>
      </c>
      <c r="AR74" s="5" t="s">
        <v>204</v>
      </c>
      <c r="AS74" s="5" t="s">
        <v>204</v>
      </c>
      <c r="AT74" s="5" t="s">
        <v>204</v>
      </c>
      <c r="AU74" s="5" t="s">
        <v>204</v>
      </c>
      <c r="AV74" s="5" t="s">
        <v>520</v>
      </c>
    </row>
    <row r="75">
      <c r="A75" s="7">
        <v>45868.32777777778</v>
      </c>
      <c r="B75" s="7">
        <v>45868.334027777775</v>
      </c>
      <c r="C75" s="5" t="s">
        <v>99</v>
      </c>
      <c r="D75" s="5" t="s">
        <v>192</v>
      </c>
      <c r="E75" s="8">
        <v>100.0</v>
      </c>
      <c r="F75" s="8">
        <v>561.0</v>
      </c>
      <c r="G75" s="9" t="b">
        <v>1</v>
      </c>
      <c r="H75" s="7">
        <v>45868.334027777775</v>
      </c>
      <c r="I75" s="5" t="s">
        <v>521</v>
      </c>
      <c r="J75" s="8">
        <v>60.1816</v>
      </c>
      <c r="K75" s="8">
        <v>24.8368</v>
      </c>
      <c r="L75" s="5" t="s">
        <v>194</v>
      </c>
      <c r="M75" s="5" t="s">
        <v>195</v>
      </c>
      <c r="N75" s="5" t="s">
        <v>496</v>
      </c>
      <c r="O75" s="5" t="s">
        <v>197</v>
      </c>
      <c r="P75" s="5" t="s">
        <v>208</v>
      </c>
      <c r="Q75" s="5" t="s">
        <v>208</v>
      </c>
      <c r="R75" s="5" t="s">
        <v>199</v>
      </c>
      <c r="S75" s="5" t="s">
        <v>198</v>
      </c>
      <c r="T75" s="5" t="s">
        <v>203</v>
      </c>
      <c r="U75" s="5" t="s">
        <v>208</v>
      </c>
      <c r="V75" s="5" t="s">
        <v>203</v>
      </c>
      <c r="W75" s="5" t="s">
        <v>202</v>
      </c>
      <c r="X75" s="5" t="s">
        <v>203</v>
      </c>
      <c r="Y75" s="5" t="s">
        <v>202</v>
      </c>
      <c r="Z75" s="5" t="s">
        <v>208</v>
      </c>
      <c r="AA75" s="5" t="s">
        <v>202</v>
      </c>
      <c r="AB75" s="5" t="s">
        <v>204</v>
      </c>
      <c r="AC75" s="5" t="s">
        <v>203</v>
      </c>
      <c r="AD75" s="5" t="s">
        <v>204</v>
      </c>
      <c r="AE75" s="5" t="s">
        <v>522</v>
      </c>
      <c r="AF75" s="5" t="s">
        <v>206</v>
      </c>
      <c r="AG75" s="5" t="s">
        <v>208</v>
      </c>
      <c r="AH75" s="5" t="s">
        <v>203</v>
      </c>
      <c r="AI75" s="5" t="s">
        <v>203</v>
      </c>
      <c r="AJ75" s="5" t="s">
        <v>202</v>
      </c>
      <c r="AK75" s="5" t="s">
        <v>202</v>
      </c>
      <c r="AL75" s="5" t="s">
        <v>208</v>
      </c>
      <c r="AM75" s="5" t="s">
        <v>523</v>
      </c>
      <c r="AN75" s="5" t="s">
        <v>206</v>
      </c>
      <c r="AO75" s="5" t="s">
        <v>204</v>
      </c>
      <c r="AP75" s="5" t="s">
        <v>204</v>
      </c>
      <c r="AQ75" s="5" t="s">
        <v>200</v>
      </c>
      <c r="AR75" s="5" t="s">
        <v>201</v>
      </c>
      <c r="AS75" s="5" t="s">
        <v>200</v>
      </c>
      <c r="AT75" s="5" t="s">
        <v>201</v>
      </c>
      <c r="AU75" s="5" t="s">
        <v>201</v>
      </c>
      <c r="AV75" s="5" t="s">
        <v>524</v>
      </c>
    </row>
    <row r="76">
      <c r="A76" s="7">
        <v>45868.325694444444</v>
      </c>
      <c r="B76" s="7">
        <v>45868.33611111111</v>
      </c>
      <c r="C76" s="5" t="s">
        <v>99</v>
      </c>
      <c r="D76" s="5" t="s">
        <v>389</v>
      </c>
      <c r="E76" s="8">
        <v>100.0</v>
      </c>
      <c r="F76" s="8">
        <v>862.0</v>
      </c>
      <c r="G76" s="9" t="b">
        <v>1</v>
      </c>
      <c r="H76" s="7">
        <v>45868.33611111111</v>
      </c>
      <c r="I76" s="5" t="s">
        <v>525</v>
      </c>
      <c r="J76" s="8">
        <v>60.1816</v>
      </c>
      <c r="K76" s="8">
        <v>24.8368</v>
      </c>
      <c r="L76" s="5" t="s">
        <v>194</v>
      </c>
      <c r="M76" s="5" t="s">
        <v>195</v>
      </c>
      <c r="N76" s="5" t="s">
        <v>501</v>
      </c>
      <c r="O76" s="5" t="s">
        <v>216</v>
      </c>
      <c r="P76" s="5" t="s">
        <v>200</v>
      </c>
      <c r="Q76" s="5" t="s">
        <v>202</v>
      </c>
      <c r="R76" s="5" t="s">
        <v>199</v>
      </c>
      <c r="S76" s="5" t="s">
        <v>201</v>
      </c>
      <c r="T76" s="5" t="s">
        <v>202</v>
      </c>
      <c r="U76" s="5" t="s">
        <v>202</v>
      </c>
      <c r="V76" s="5" t="s">
        <v>200</v>
      </c>
      <c r="W76" s="5" t="s">
        <v>201</v>
      </c>
      <c r="X76" s="5" t="s">
        <v>201</v>
      </c>
      <c r="Y76" s="5" t="s">
        <v>201</v>
      </c>
      <c r="Z76" s="5" t="s">
        <v>201</v>
      </c>
      <c r="AA76" s="5" t="s">
        <v>202</v>
      </c>
      <c r="AB76" s="5" t="s">
        <v>202</v>
      </c>
      <c r="AC76" s="5" t="s">
        <v>201</v>
      </c>
      <c r="AD76" s="5" t="s">
        <v>208</v>
      </c>
      <c r="AE76" s="5" t="s">
        <v>526</v>
      </c>
      <c r="AF76" s="5" t="s">
        <v>206</v>
      </c>
      <c r="AG76" s="5" t="s">
        <v>201</v>
      </c>
      <c r="AH76" s="5" t="s">
        <v>201</v>
      </c>
      <c r="AI76" s="5" t="s">
        <v>201</v>
      </c>
      <c r="AJ76" s="5" t="s">
        <v>201</v>
      </c>
      <c r="AK76" s="5" t="s">
        <v>202</v>
      </c>
      <c r="AL76" s="5" t="s">
        <v>201</v>
      </c>
      <c r="AM76" s="5" t="s">
        <v>527</v>
      </c>
      <c r="AN76" s="5" t="s">
        <v>206</v>
      </c>
      <c r="AO76" s="5" t="s">
        <v>201</v>
      </c>
      <c r="AP76" s="5" t="s">
        <v>202</v>
      </c>
      <c r="AQ76" s="5" t="s">
        <v>201</v>
      </c>
      <c r="AR76" s="5" t="s">
        <v>204</v>
      </c>
      <c r="AS76" s="5" t="s">
        <v>204</v>
      </c>
      <c r="AT76" s="5" t="s">
        <v>204</v>
      </c>
      <c r="AU76" s="5" t="s">
        <v>204</v>
      </c>
      <c r="AV76" s="5" t="s">
        <v>528</v>
      </c>
    </row>
    <row r="77">
      <c r="A77" s="7">
        <v>45869.010416666664</v>
      </c>
      <c r="B77" s="7">
        <v>45869.02222222222</v>
      </c>
      <c r="C77" s="5" t="s">
        <v>99</v>
      </c>
      <c r="D77" s="5" t="s">
        <v>529</v>
      </c>
      <c r="E77" s="8">
        <v>100.0</v>
      </c>
      <c r="F77" s="8">
        <v>1029.0</v>
      </c>
      <c r="G77" s="9" t="b">
        <v>1</v>
      </c>
      <c r="H77" s="7">
        <v>45869.02222222222</v>
      </c>
      <c r="I77" s="5" t="s">
        <v>530</v>
      </c>
      <c r="J77" s="8">
        <v>60.1816</v>
      </c>
      <c r="K77" s="8">
        <v>24.8368</v>
      </c>
      <c r="L77" s="5" t="s">
        <v>194</v>
      </c>
      <c r="M77" s="5" t="s">
        <v>195</v>
      </c>
      <c r="N77" s="5" t="s">
        <v>531</v>
      </c>
      <c r="O77" s="5" t="s">
        <v>216</v>
      </c>
      <c r="P77" s="5" t="s">
        <v>200</v>
      </c>
      <c r="Q77" s="5" t="s">
        <v>198</v>
      </c>
      <c r="R77" s="5" t="s">
        <v>199</v>
      </c>
      <c r="S77" s="5" t="s">
        <v>208</v>
      </c>
      <c r="T77" s="5" t="s">
        <v>200</v>
      </c>
      <c r="U77" s="5" t="s">
        <v>200</v>
      </c>
      <c r="V77" s="5" t="s">
        <v>200</v>
      </c>
      <c r="W77" s="5" t="s">
        <v>202</v>
      </c>
      <c r="X77" s="5" t="s">
        <v>202</v>
      </c>
      <c r="Y77" s="5" t="s">
        <v>202</v>
      </c>
      <c r="Z77" s="5" t="s">
        <v>208</v>
      </c>
      <c r="AA77" s="5" t="s">
        <v>198</v>
      </c>
      <c r="AB77" s="5" t="s">
        <v>208</v>
      </c>
      <c r="AC77" s="5" t="s">
        <v>202</v>
      </c>
      <c r="AD77" s="5" t="s">
        <v>202</v>
      </c>
      <c r="AE77" s="5" t="s">
        <v>532</v>
      </c>
      <c r="AF77" s="5" t="s">
        <v>206</v>
      </c>
      <c r="AG77" s="5" t="s">
        <v>202</v>
      </c>
      <c r="AH77" s="5" t="s">
        <v>200</v>
      </c>
      <c r="AI77" s="5" t="s">
        <v>200</v>
      </c>
      <c r="AJ77" s="5" t="s">
        <v>200</v>
      </c>
      <c r="AK77" s="5" t="s">
        <v>202</v>
      </c>
      <c r="AL77" s="5" t="s">
        <v>208</v>
      </c>
      <c r="AM77" s="5" t="s">
        <v>533</v>
      </c>
      <c r="AN77" s="5" t="s">
        <v>206</v>
      </c>
      <c r="AO77" s="5" t="s">
        <v>208</v>
      </c>
      <c r="AP77" s="5" t="s">
        <v>201</v>
      </c>
      <c r="AQ77" s="5" t="s">
        <v>200</v>
      </c>
      <c r="AR77" s="5" t="s">
        <v>198</v>
      </c>
      <c r="AS77" s="5" t="s">
        <v>204</v>
      </c>
      <c r="AT77" s="5" t="s">
        <v>204</v>
      </c>
      <c r="AU77" s="5" t="s">
        <v>204</v>
      </c>
      <c r="AV77" s="5" t="s">
        <v>534</v>
      </c>
    </row>
    <row r="78">
      <c r="A78" s="7">
        <v>45869.01527777778</v>
      </c>
      <c r="B78" s="7">
        <v>45869.02847222222</v>
      </c>
      <c r="C78" s="5" t="s">
        <v>99</v>
      </c>
      <c r="D78" s="5" t="s">
        <v>192</v>
      </c>
      <c r="E78" s="8">
        <v>100.0</v>
      </c>
      <c r="F78" s="8">
        <v>1118.0</v>
      </c>
      <c r="G78" s="9" t="b">
        <v>1</v>
      </c>
      <c r="H78" s="7">
        <v>45869.02847222222</v>
      </c>
      <c r="I78" s="5" t="s">
        <v>535</v>
      </c>
      <c r="J78" s="8">
        <v>60.1816</v>
      </c>
      <c r="K78" s="8">
        <v>24.8368</v>
      </c>
      <c r="L78" s="5" t="s">
        <v>194</v>
      </c>
      <c r="M78" s="5" t="s">
        <v>195</v>
      </c>
      <c r="N78" s="5" t="s">
        <v>536</v>
      </c>
      <c r="O78" s="5" t="s">
        <v>197</v>
      </c>
      <c r="P78" s="5" t="s">
        <v>200</v>
      </c>
      <c r="Q78" s="5" t="s">
        <v>198</v>
      </c>
      <c r="R78" s="5" t="s">
        <v>199</v>
      </c>
      <c r="S78" s="5" t="s">
        <v>201</v>
      </c>
      <c r="T78" s="5" t="s">
        <v>201</v>
      </c>
      <c r="U78" s="5" t="s">
        <v>200</v>
      </c>
      <c r="V78" s="5" t="s">
        <v>200</v>
      </c>
      <c r="W78" s="5" t="s">
        <v>202</v>
      </c>
      <c r="X78" s="5" t="s">
        <v>202</v>
      </c>
      <c r="Y78" s="5" t="s">
        <v>201</v>
      </c>
      <c r="Z78" s="5" t="s">
        <v>201</v>
      </c>
      <c r="AA78" s="5" t="s">
        <v>202</v>
      </c>
      <c r="AB78" s="5" t="s">
        <v>208</v>
      </c>
      <c r="AC78" s="5" t="s">
        <v>201</v>
      </c>
      <c r="AD78" s="5" t="s">
        <v>202</v>
      </c>
      <c r="AE78" s="5" t="s">
        <v>537</v>
      </c>
      <c r="AF78" s="5" t="s">
        <v>206</v>
      </c>
      <c r="AG78" s="5" t="s">
        <v>203</v>
      </c>
      <c r="AH78" s="5" t="s">
        <v>201</v>
      </c>
      <c r="AI78" s="5" t="s">
        <v>201</v>
      </c>
      <c r="AJ78" s="5" t="s">
        <v>198</v>
      </c>
      <c r="AK78" s="5" t="s">
        <v>200</v>
      </c>
      <c r="AL78" s="5" t="s">
        <v>203</v>
      </c>
      <c r="AM78" s="5" t="s">
        <v>538</v>
      </c>
      <c r="AO78" s="5" t="s">
        <v>201</v>
      </c>
      <c r="AP78" s="5" t="s">
        <v>201</v>
      </c>
      <c r="AQ78" s="5" t="s">
        <v>201</v>
      </c>
      <c r="AR78" s="5" t="s">
        <v>204</v>
      </c>
      <c r="AS78" s="5" t="s">
        <v>204</v>
      </c>
      <c r="AT78" s="5" t="s">
        <v>204</v>
      </c>
      <c r="AU78" s="5" t="s">
        <v>204</v>
      </c>
      <c r="AV78" s="11" t="s">
        <v>539</v>
      </c>
    </row>
    <row r="79">
      <c r="A79" s="7">
        <v>45869.03611111111</v>
      </c>
      <c r="B79" s="7">
        <v>45869.041666666664</v>
      </c>
      <c r="C79" s="5" t="s">
        <v>99</v>
      </c>
      <c r="D79" s="5" t="s">
        <v>192</v>
      </c>
      <c r="E79" s="8">
        <v>100.0</v>
      </c>
      <c r="F79" s="8">
        <v>497.0</v>
      </c>
      <c r="G79" s="9" t="b">
        <v>1</v>
      </c>
      <c r="H79" s="7">
        <v>45869.041666666664</v>
      </c>
      <c r="I79" s="5" t="s">
        <v>540</v>
      </c>
      <c r="J79" s="8">
        <v>60.1816</v>
      </c>
      <c r="K79" s="8">
        <v>24.8368</v>
      </c>
      <c r="L79" s="5" t="s">
        <v>194</v>
      </c>
      <c r="M79" s="5" t="s">
        <v>195</v>
      </c>
      <c r="N79" s="5" t="s">
        <v>531</v>
      </c>
      <c r="O79" s="5" t="s">
        <v>197</v>
      </c>
      <c r="P79" s="5" t="s">
        <v>202</v>
      </c>
      <c r="Q79" s="5" t="s">
        <v>208</v>
      </c>
      <c r="R79" s="5" t="s">
        <v>199</v>
      </c>
      <c r="S79" s="5" t="s">
        <v>198</v>
      </c>
      <c r="T79" s="5" t="s">
        <v>200</v>
      </c>
      <c r="U79" s="5" t="s">
        <v>202</v>
      </c>
      <c r="V79" s="5" t="s">
        <v>198</v>
      </c>
      <c r="W79" s="5" t="s">
        <v>200</v>
      </c>
      <c r="X79" s="5" t="s">
        <v>202</v>
      </c>
      <c r="Y79" s="5" t="s">
        <v>200</v>
      </c>
      <c r="Z79" s="5" t="s">
        <v>208</v>
      </c>
      <c r="AA79" s="5" t="s">
        <v>208</v>
      </c>
      <c r="AB79" s="5" t="s">
        <v>208</v>
      </c>
      <c r="AC79" s="5" t="s">
        <v>200</v>
      </c>
      <c r="AD79" s="5" t="s">
        <v>200</v>
      </c>
      <c r="AE79" s="5" t="s">
        <v>541</v>
      </c>
      <c r="AF79" s="5" t="s">
        <v>206</v>
      </c>
      <c r="AG79" s="5" t="s">
        <v>200</v>
      </c>
      <c r="AH79" s="5" t="s">
        <v>202</v>
      </c>
      <c r="AI79" s="5" t="s">
        <v>200</v>
      </c>
      <c r="AJ79" s="5" t="s">
        <v>198</v>
      </c>
      <c r="AK79" s="5" t="s">
        <v>200</v>
      </c>
      <c r="AL79" s="5" t="s">
        <v>202</v>
      </c>
      <c r="AM79" s="5" t="s">
        <v>542</v>
      </c>
      <c r="AO79" s="5" t="s">
        <v>200</v>
      </c>
      <c r="AP79" s="5" t="s">
        <v>208</v>
      </c>
      <c r="AQ79" s="5" t="s">
        <v>202</v>
      </c>
      <c r="AR79" s="5" t="s">
        <v>208</v>
      </c>
      <c r="AS79" s="5" t="s">
        <v>208</v>
      </c>
      <c r="AT79" s="5" t="s">
        <v>200</v>
      </c>
      <c r="AU79" s="5" t="s">
        <v>200</v>
      </c>
      <c r="AV79" s="5" t="s">
        <v>543</v>
      </c>
    </row>
    <row r="80">
      <c r="A80" s="7">
        <v>45869.029861111114</v>
      </c>
      <c r="B80" s="7">
        <v>45869.04722222222</v>
      </c>
      <c r="C80" s="5" t="s">
        <v>99</v>
      </c>
      <c r="D80" s="5" t="s">
        <v>389</v>
      </c>
      <c r="E80" s="8">
        <v>100.0</v>
      </c>
      <c r="F80" s="8">
        <v>1473.0</v>
      </c>
      <c r="G80" s="9" t="b">
        <v>1</v>
      </c>
      <c r="H80" s="7">
        <v>45869.04722222222</v>
      </c>
      <c r="I80" s="5" t="s">
        <v>544</v>
      </c>
      <c r="J80" s="8">
        <v>60.1816</v>
      </c>
      <c r="K80" s="8">
        <v>24.8368</v>
      </c>
      <c r="L80" s="5" t="s">
        <v>194</v>
      </c>
      <c r="M80" s="5" t="s">
        <v>195</v>
      </c>
      <c r="N80" s="5" t="s">
        <v>536</v>
      </c>
      <c r="O80" s="5" t="s">
        <v>211</v>
      </c>
      <c r="P80" s="5" t="s">
        <v>200</v>
      </c>
      <c r="Q80" s="5" t="s">
        <v>200</v>
      </c>
      <c r="R80" s="5" t="s">
        <v>199</v>
      </c>
      <c r="S80" s="5" t="s">
        <v>201</v>
      </c>
      <c r="T80" s="5" t="s">
        <v>201</v>
      </c>
      <c r="U80" s="5" t="s">
        <v>200</v>
      </c>
      <c r="V80" s="5" t="s">
        <v>200</v>
      </c>
      <c r="W80" s="5" t="s">
        <v>202</v>
      </c>
      <c r="X80" s="5" t="s">
        <v>202</v>
      </c>
      <c r="Y80" s="5" t="s">
        <v>201</v>
      </c>
      <c r="Z80" s="5" t="s">
        <v>201</v>
      </c>
      <c r="AA80" s="5" t="s">
        <v>202</v>
      </c>
      <c r="AB80" s="5" t="s">
        <v>208</v>
      </c>
      <c r="AC80" s="5" t="s">
        <v>202</v>
      </c>
      <c r="AD80" s="5" t="s">
        <v>203</v>
      </c>
      <c r="AE80" s="5" t="s">
        <v>545</v>
      </c>
      <c r="AF80" s="5" t="s">
        <v>206</v>
      </c>
      <c r="AG80" s="5" t="s">
        <v>203</v>
      </c>
      <c r="AH80" s="5" t="s">
        <v>198</v>
      </c>
      <c r="AI80" s="5" t="s">
        <v>202</v>
      </c>
      <c r="AJ80" s="5" t="s">
        <v>202</v>
      </c>
      <c r="AK80" s="5" t="s">
        <v>200</v>
      </c>
      <c r="AL80" s="5" t="s">
        <v>203</v>
      </c>
      <c r="AM80" s="5" t="s">
        <v>546</v>
      </c>
      <c r="AN80" s="5" t="s">
        <v>206</v>
      </c>
      <c r="AO80" s="5" t="s">
        <v>202</v>
      </c>
      <c r="AP80" s="5" t="s">
        <v>201</v>
      </c>
      <c r="AQ80" s="5" t="s">
        <v>201</v>
      </c>
      <c r="AR80" s="5" t="s">
        <v>204</v>
      </c>
      <c r="AS80" s="5" t="s">
        <v>204</v>
      </c>
      <c r="AT80" s="5" t="s">
        <v>204</v>
      </c>
      <c r="AU80" s="5" t="s">
        <v>204</v>
      </c>
      <c r="AV80" s="5" t="s">
        <v>547</v>
      </c>
    </row>
    <row r="81">
      <c r="A81" s="7">
        <v>45869.04652777778</v>
      </c>
      <c r="B81" s="7">
        <v>45869.052777777775</v>
      </c>
      <c r="C81" s="5" t="s">
        <v>99</v>
      </c>
      <c r="D81" s="5" t="s">
        <v>383</v>
      </c>
      <c r="E81" s="8">
        <v>100.0</v>
      </c>
      <c r="F81" s="8">
        <v>554.0</v>
      </c>
      <c r="G81" s="9" t="b">
        <v>1</v>
      </c>
      <c r="H81" s="7">
        <v>45869.052777777775</v>
      </c>
      <c r="I81" s="5" t="s">
        <v>548</v>
      </c>
      <c r="J81" s="8">
        <v>60.1816</v>
      </c>
      <c r="K81" s="8">
        <v>24.8368</v>
      </c>
      <c r="L81" s="5" t="s">
        <v>194</v>
      </c>
      <c r="M81" s="5" t="s">
        <v>195</v>
      </c>
      <c r="N81" s="5" t="s">
        <v>531</v>
      </c>
      <c r="O81" s="5" t="s">
        <v>263</v>
      </c>
      <c r="P81" s="5" t="s">
        <v>200</v>
      </c>
      <c r="Q81" s="5" t="s">
        <v>208</v>
      </c>
      <c r="R81" s="5" t="s">
        <v>199</v>
      </c>
      <c r="S81" s="5" t="s">
        <v>203</v>
      </c>
      <c r="T81" s="5" t="s">
        <v>198</v>
      </c>
      <c r="U81" s="5" t="s">
        <v>203</v>
      </c>
      <c r="V81" s="5" t="s">
        <v>198</v>
      </c>
      <c r="W81" s="5" t="s">
        <v>200</v>
      </c>
      <c r="X81" s="5" t="s">
        <v>200</v>
      </c>
      <c r="Y81" s="5" t="s">
        <v>202</v>
      </c>
      <c r="Z81" s="5" t="s">
        <v>198</v>
      </c>
      <c r="AA81" s="5" t="s">
        <v>198</v>
      </c>
      <c r="AB81" s="5" t="s">
        <v>203</v>
      </c>
      <c r="AC81" s="5" t="s">
        <v>200</v>
      </c>
      <c r="AD81" s="5" t="s">
        <v>200</v>
      </c>
      <c r="AE81" s="5" t="s">
        <v>549</v>
      </c>
      <c r="AF81" s="5" t="s">
        <v>206</v>
      </c>
      <c r="AG81" s="5" t="s">
        <v>198</v>
      </c>
      <c r="AH81" s="5" t="s">
        <v>200</v>
      </c>
      <c r="AI81" s="5" t="s">
        <v>198</v>
      </c>
      <c r="AJ81" s="5" t="s">
        <v>198</v>
      </c>
      <c r="AK81" s="5" t="s">
        <v>198</v>
      </c>
      <c r="AL81" s="5" t="s">
        <v>198</v>
      </c>
      <c r="AM81" s="5" t="s">
        <v>550</v>
      </c>
      <c r="AO81" s="5" t="s">
        <v>200</v>
      </c>
      <c r="AP81" s="5" t="s">
        <v>208</v>
      </c>
      <c r="AQ81" s="5" t="s">
        <v>198</v>
      </c>
      <c r="AR81" s="5" t="s">
        <v>208</v>
      </c>
      <c r="AS81" s="5" t="s">
        <v>198</v>
      </c>
      <c r="AT81" s="5" t="s">
        <v>200</v>
      </c>
      <c r="AU81" s="5" t="s">
        <v>198</v>
      </c>
      <c r="AV81" s="5" t="s">
        <v>551</v>
      </c>
    </row>
    <row r="82">
      <c r="A82" s="7">
        <v>45869.05347222222</v>
      </c>
      <c r="B82" s="7">
        <v>45869.0625</v>
      </c>
      <c r="C82" s="5" t="s">
        <v>99</v>
      </c>
      <c r="D82" s="5" t="s">
        <v>383</v>
      </c>
      <c r="E82" s="8">
        <v>100.0</v>
      </c>
      <c r="F82" s="8">
        <v>794.0</v>
      </c>
      <c r="G82" s="9" t="b">
        <v>1</v>
      </c>
      <c r="H82" s="7">
        <v>45869.0625</v>
      </c>
      <c r="I82" s="5" t="s">
        <v>552</v>
      </c>
      <c r="J82" s="8">
        <v>60.1816</v>
      </c>
      <c r="K82" s="8">
        <v>24.8368</v>
      </c>
      <c r="L82" s="5" t="s">
        <v>194</v>
      </c>
      <c r="M82" s="5" t="s">
        <v>195</v>
      </c>
      <c r="N82" s="5" t="s">
        <v>244</v>
      </c>
      <c r="O82" s="5" t="s">
        <v>197</v>
      </c>
      <c r="P82" s="5" t="s">
        <v>200</v>
      </c>
      <c r="Q82" s="5" t="s">
        <v>208</v>
      </c>
      <c r="R82" s="5" t="s">
        <v>199</v>
      </c>
      <c r="S82" s="5" t="s">
        <v>202</v>
      </c>
      <c r="T82" s="5" t="s">
        <v>204</v>
      </c>
      <c r="U82" s="5" t="s">
        <v>201</v>
      </c>
      <c r="V82" s="5" t="s">
        <v>204</v>
      </c>
      <c r="W82" s="5" t="s">
        <v>208</v>
      </c>
      <c r="X82" s="5" t="s">
        <v>200</v>
      </c>
      <c r="Y82" s="5" t="s">
        <v>200</v>
      </c>
      <c r="Z82" s="5" t="s">
        <v>208</v>
      </c>
      <c r="AA82" s="5" t="s">
        <v>204</v>
      </c>
      <c r="AB82" s="5" t="s">
        <v>200</v>
      </c>
      <c r="AC82" s="5" t="s">
        <v>203</v>
      </c>
      <c r="AD82" s="5" t="s">
        <v>201</v>
      </c>
      <c r="AE82" s="5" t="s">
        <v>553</v>
      </c>
      <c r="AF82" s="5" t="s">
        <v>206</v>
      </c>
      <c r="AG82" s="5" t="s">
        <v>202</v>
      </c>
      <c r="AH82" s="5" t="s">
        <v>202</v>
      </c>
      <c r="AI82" s="5" t="s">
        <v>201</v>
      </c>
      <c r="AJ82" s="5" t="s">
        <v>201</v>
      </c>
      <c r="AK82" s="5" t="s">
        <v>200</v>
      </c>
      <c r="AL82" s="5" t="s">
        <v>202</v>
      </c>
      <c r="AM82" s="5" t="s">
        <v>554</v>
      </c>
      <c r="AN82" s="5" t="s">
        <v>206</v>
      </c>
      <c r="AO82" s="5" t="s">
        <v>201</v>
      </c>
      <c r="AP82" s="5" t="s">
        <v>202</v>
      </c>
      <c r="AQ82" s="5" t="s">
        <v>201</v>
      </c>
      <c r="AR82" s="5" t="s">
        <v>204</v>
      </c>
      <c r="AS82" s="5" t="s">
        <v>204</v>
      </c>
      <c r="AT82" s="5" t="s">
        <v>200</v>
      </c>
      <c r="AU82" s="5" t="s">
        <v>204</v>
      </c>
      <c r="AV82" s="5" t="s">
        <v>555</v>
      </c>
    </row>
    <row r="83">
      <c r="A83" s="7">
        <v>45869.05694444444</v>
      </c>
      <c r="B83" s="7">
        <v>45869.06458333333</v>
      </c>
      <c r="C83" s="5" t="s">
        <v>99</v>
      </c>
      <c r="D83" s="5" t="s">
        <v>389</v>
      </c>
      <c r="E83" s="8">
        <v>100.0</v>
      </c>
      <c r="F83" s="8">
        <v>680.0</v>
      </c>
      <c r="G83" s="9" t="b">
        <v>1</v>
      </c>
      <c r="H83" s="7">
        <v>45869.06458333333</v>
      </c>
      <c r="I83" s="5" t="s">
        <v>556</v>
      </c>
      <c r="J83" s="8">
        <v>60.1816</v>
      </c>
      <c r="K83" s="8">
        <v>24.8368</v>
      </c>
      <c r="L83" s="5" t="s">
        <v>194</v>
      </c>
      <c r="M83" s="5" t="s">
        <v>195</v>
      </c>
      <c r="N83" s="5" t="s">
        <v>531</v>
      </c>
      <c r="O83" s="5" t="s">
        <v>211</v>
      </c>
      <c r="P83" s="5" t="s">
        <v>198</v>
      </c>
      <c r="Q83" s="5" t="s">
        <v>198</v>
      </c>
      <c r="R83" s="5" t="s">
        <v>199</v>
      </c>
      <c r="S83" s="5" t="s">
        <v>198</v>
      </c>
      <c r="T83" s="5" t="s">
        <v>200</v>
      </c>
      <c r="U83" s="5" t="s">
        <v>200</v>
      </c>
      <c r="V83" s="5" t="s">
        <v>198</v>
      </c>
      <c r="W83" s="5" t="s">
        <v>200</v>
      </c>
      <c r="X83" s="5" t="s">
        <v>202</v>
      </c>
      <c r="Y83" s="5" t="s">
        <v>200</v>
      </c>
      <c r="Z83" s="5" t="s">
        <v>202</v>
      </c>
      <c r="AA83" s="5" t="s">
        <v>208</v>
      </c>
      <c r="AB83" s="5" t="s">
        <v>200</v>
      </c>
      <c r="AC83" s="5" t="s">
        <v>202</v>
      </c>
      <c r="AD83" s="5" t="s">
        <v>200</v>
      </c>
      <c r="AE83" s="5" t="s">
        <v>557</v>
      </c>
      <c r="AF83" s="5" t="s">
        <v>206</v>
      </c>
      <c r="AG83" s="5" t="s">
        <v>203</v>
      </c>
      <c r="AH83" s="5" t="s">
        <v>200</v>
      </c>
      <c r="AI83" s="5" t="s">
        <v>200</v>
      </c>
      <c r="AJ83" s="5" t="s">
        <v>202</v>
      </c>
      <c r="AK83" s="5" t="s">
        <v>200</v>
      </c>
      <c r="AL83" s="5" t="s">
        <v>200</v>
      </c>
      <c r="AM83" s="5" t="s">
        <v>558</v>
      </c>
      <c r="AN83" s="5" t="s">
        <v>206</v>
      </c>
      <c r="AO83" s="5" t="s">
        <v>198</v>
      </c>
      <c r="AP83" s="5" t="s">
        <v>200</v>
      </c>
      <c r="AQ83" s="5" t="s">
        <v>200</v>
      </c>
      <c r="AR83" s="5" t="s">
        <v>204</v>
      </c>
      <c r="AS83" s="5" t="s">
        <v>204</v>
      </c>
      <c r="AT83" s="5" t="s">
        <v>208</v>
      </c>
      <c r="AU83" s="5" t="s">
        <v>204</v>
      </c>
      <c r="AV83" s="5" t="s">
        <v>559</v>
      </c>
    </row>
    <row r="84">
      <c r="A84" s="7">
        <v>45869.05625</v>
      </c>
      <c r="B84" s="7">
        <v>45869.06805555556</v>
      </c>
      <c r="C84" s="5" t="s">
        <v>99</v>
      </c>
      <c r="D84" s="5" t="s">
        <v>192</v>
      </c>
      <c r="E84" s="8">
        <v>100.0</v>
      </c>
      <c r="F84" s="8">
        <v>1077.0</v>
      </c>
      <c r="G84" s="9" t="b">
        <v>1</v>
      </c>
      <c r="H84" s="7">
        <v>45869.06875</v>
      </c>
      <c r="I84" s="5" t="s">
        <v>560</v>
      </c>
      <c r="J84" s="8">
        <v>60.1816</v>
      </c>
      <c r="K84" s="8">
        <v>24.8368</v>
      </c>
      <c r="L84" s="5" t="s">
        <v>194</v>
      </c>
      <c r="M84" s="5" t="s">
        <v>195</v>
      </c>
      <c r="N84" s="5" t="s">
        <v>536</v>
      </c>
      <c r="O84" s="5" t="s">
        <v>216</v>
      </c>
      <c r="P84" s="5" t="s">
        <v>200</v>
      </c>
      <c r="Q84" s="5" t="s">
        <v>200</v>
      </c>
      <c r="R84" s="5" t="s">
        <v>199</v>
      </c>
      <c r="S84" s="5" t="s">
        <v>201</v>
      </c>
      <c r="T84" s="5" t="s">
        <v>201</v>
      </c>
      <c r="U84" s="5" t="s">
        <v>200</v>
      </c>
      <c r="V84" s="5" t="s">
        <v>200</v>
      </c>
      <c r="W84" s="5" t="s">
        <v>202</v>
      </c>
      <c r="X84" s="5" t="s">
        <v>202</v>
      </c>
      <c r="Y84" s="5" t="s">
        <v>201</v>
      </c>
      <c r="Z84" s="5" t="s">
        <v>201</v>
      </c>
      <c r="AA84" s="5" t="s">
        <v>200</v>
      </c>
      <c r="AB84" s="5" t="s">
        <v>198</v>
      </c>
      <c r="AC84" s="5" t="s">
        <v>202</v>
      </c>
      <c r="AD84" s="5" t="s">
        <v>198</v>
      </c>
      <c r="AE84" s="5" t="s">
        <v>561</v>
      </c>
      <c r="AF84" s="5" t="s">
        <v>206</v>
      </c>
      <c r="AG84" s="5" t="s">
        <v>202</v>
      </c>
      <c r="AH84" s="5" t="s">
        <v>201</v>
      </c>
      <c r="AI84" s="5" t="s">
        <v>201</v>
      </c>
      <c r="AJ84" s="5" t="s">
        <v>201</v>
      </c>
      <c r="AK84" s="5" t="s">
        <v>200</v>
      </c>
      <c r="AL84" s="5" t="s">
        <v>203</v>
      </c>
      <c r="AM84" s="5" t="s">
        <v>562</v>
      </c>
      <c r="AN84" s="5" t="s">
        <v>206</v>
      </c>
      <c r="AO84" s="5" t="s">
        <v>202</v>
      </c>
      <c r="AP84" s="5" t="s">
        <v>201</v>
      </c>
      <c r="AQ84" s="5" t="s">
        <v>201</v>
      </c>
      <c r="AR84" s="5" t="s">
        <v>204</v>
      </c>
      <c r="AS84" s="5" t="s">
        <v>204</v>
      </c>
      <c r="AT84" s="5" t="s">
        <v>204</v>
      </c>
      <c r="AU84" s="5" t="s">
        <v>204</v>
      </c>
      <c r="AV84" s="5" t="s">
        <v>563</v>
      </c>
    </row>
    <row r="85">
      <c r="A85" s="7">
        <v>45869.066666666666</v>
      </c>
      <c r="B85" s="7">
        <v>45869.07986111111</v>
      </c>
      <c r="C85" s="5" t="s">
        <v>99</v>
      </c>
      <c r="D85" s="5" t="s">
        <v>389</v>
      </c>
      <c r="E85" s="8">
        <v>100.0</v>
      </c>
      <c r="F85" s="8">
        <v>1145.0</v>
      </c>
      <c r="G85" s="9" t="b">
        <v>1</v>
      </c>
      <c r="H85" s="7">
        <v>45869.07986111111</v>
      </c>
      <c r="I85" s="5" t="s">
        <v>564</v>
      </c>
      <c r="J85" s="8">
        <v>60.1816</v>
      </c>
      <c r="K85" s="8">
        <v>24.8368</v>
      </c>
      <c r="L85" s="5" t="s">
        <v>194</v>
      </c>
      <c r="M85" s="5" t="s">
        <v>195</v>
      </c>
      <c r="N85" s="5" t="s">
        <v>244</v>
      </c>
      <c r="O85" s="5" t="s">
        <v>211</v>
      </c>
      <c r="P85" s="5" t="s">
        <v>203</v>
      </c>
      <c r="Q85" s="5" t="s">
        <v>208</v>
      </c>
      <c r="R85" s="5" t="s">
        <v>199</v>
      </c>
      <c r="S85" s="5" t="s">
        <v>202</v>
      </c>
      <c r="T85" s="5" t="s">
        <v>208</v>
      </c>
      <c r="U85" s="5" t="s">
        <v>208</v>
      </c>
      <c r="V85" s="5" t="s">
        <v>208</v>
      </c>
      <c r="W85" s="5" t="s">
        <v>204</v>
      </c>
      <c r="X85" s="5" t="s">
        <v>208</v>
      </c>
      <c r="Y85" s="5" t="s">
        <v>208</v>
      </c>
      <c r="Z85" s="5" t="s">
        <v>198</v>
      </c>
      <c r="AA85" s="5" t="s">
        <v>204</v>
      </c>
      <c r="AB85" s="5" t="s">
        <v>208</v>
      </c>
      <c r="AC85" s="5" t="s">
        <v>208</v>
      </c>
      <c r="AD85" s="5" t="s">
        <v>201</v>
      </c>
      <c r="AE85" s="5" t="s">
        <v>565</v>
      </c>
      <c r="AF85" s="5" t="s">
        <v>206</v>
      </c>
      <c r="AG85" s="5" t="s">
        <v>200</v>
      </c>
      <c r="AH85" s="5" t="s">
        <v>208</v>
      </c>
      <c r="AI85" s="5" t="s">
        <v>208</v>
      </c>
      <c r="AJ85" s="5" t="s">
        <v>208</v>
      </c>
      <c r="AK85" s="5" t="s">
        <v>208</v>
      </c>
      <c r="AL85" s="5" t="s">
        <v>203</v>
      </c>
      <c r="AM85" s="5" t="s">
        <v>566</v>
      </c>
      <c r="AN85" s="5" t="s">
        <v>206</v>
      </c>
      <c r="AO85" s="5" t="s">
        <v>202</v>
      </c>
      <c r="AP85" s="5" t="s">
        <v>202</v>
      </c>
      <c r="AQ85" s="5" t="s">
        <v>204</v>
      </c>
      <c r="AR85" s="5" t="s">
        <v>204</v>
      </c>
      <c r="AS85" s="5" t="s">
        <v>204</v>
      </c>
      <c r="AT85" s="5" t="s">
        <v>204</v>
      </c>
      <c r="AU85" s="5" t="s">
        <v>204</v>
      </c>
      <c r="AV85" s="5" t="s">
        <v>567</v>
      </c>
    </row>
    <row r="86">
      <c r="A86" s="7">
        <v>45869.072916666664</v>
      </c>
      <c r="B86" s="7">
        <v>45869.08611111111</v>
      </c>
      <c r="C86" s="5" t="s">
        <v>99</v>
      </c>
      <c r="D86" s="5" t="s">
        <v>192</v>
      </c>
      <c r="E86" s="8">
        <v>100.0</v>
      </c>
      <c r="F86" s="8">
        <v>1139.0</v>
      </c>
      <c r="G86" s="9" t="b">
        <v>1</v>
      </c>
      <c r="H86" s="7">
        <v>45869.08611111111</v>
      </c>
      <c r="I86" s="5" t="s">
        <v>568</v>
      </c>
      <c r="J86" s="8">
        <v>60.1816</v>
      </c>
      <c r="K86" s="8">
        <v>24.8368</v>
      </c>
      <c r="L86" s="5" t="s">
        <v>194</v>
      </c>
      <c r="M86" s="5" t="s">
        <v>195</v>
      </c>
      <c r="N86" s="5" t="s">
        <v>536</v>
      </c>
      <c r="O86" s="5" t="s">
        <v>263</v>
      </c>
      <c r="P86" s="5" t="s">
        <v>202</v>
      </c>
      <c r="Q86" s="5" t="s">
        <v>198</v>
      </c>
      <c r="R86" s="5" t="s">
        <v>199</v>
      </c>
      <c r="S86" s="5" t="s">
        <v>201</v>
      </c>
      <c r="T86" s="5" t="s">
        <v>201</v>
      </c>
      <c r="U86" s="5" t="s">
        <v>202</v>
      </c>
      <c r="V86" s="5" t="s">
        <v>200</v>
      </c>
      <c r="W86" s="5" t="s">
        <v>202</v>
      </c>
      <c r="X86" s="5" t="s">
        <v>200</v>
      </c>
      <c r="Y86" s="5" t="s">
        <v>200</v>
      </c>
      <c r="Z86" s="5" t="s">
        <v>201</v>
      </c>
      <c r="AA86" s="5" t="s">
        <v>200</v>
      </c>
      <c r="AB86" s="5" t="s">
        <v>198</v>
      </c>
      <c r="AC86" s="5" t="s">
        <v>200</v>
      </c>
      <c r="AD86" s="5" t="s">
        <v>203</v>
      </c>
      <c r="AE86" s="5" t="s">
        <v>569</v>
      </c>
      <c r="AF86" s="5" t="s">
        <v>206</v>
      </c>
      <c r="AG86" s="5" t="s">
        <v>202</v>
      </c>
      <c r="AH86" s="5" t="s">
        <v>202</v>
      </c>
      <c r="AI86" s="5" t="s">
        <v>201</v>
      </c>
      <c r="AJ86" s="5" t="s">
        <v>201</v>
      </c>
      <c r="AK86" s="5" t="s">
        <v>202</v>
      </c>
      <c r="AL86" s="5" t="s">
        <v>203</v>
      </c>
      <c r="AM86" s="5" t="s">
        <v>570</v>
      </c>
      <c r="AN86" s="5" t="s">
        <v>206</v>
      </c>
      <c r="AO86" s="5" t="s">
        <v>201</v>
      </c>
      <c r="AP86" s="5" t="s">
        <v>201</v>
      </c>
      <c r="AQ86" s="5" t="s">
        <v>201</v>
      </c>
      <c r="AR86" s="5" t="s">
        <v>204</v>
      </c>
      <c r="AS86" s="5" t="s">
        <v>204</v>
      </c>
      <c r="AT86" s="5" t="s">
        <v>204</v>
      </c>
      <c r="AU86" s="5" t="s">
        <v>204</v>
      </c>
      <c r="AV86" s="5" t="s">
        <v>571</v>
      </c>
    </row>
    <row r="87">
      <c r="A87" s="7">
        <v>45869.080555555556</v>
      </c>
      <c r="B87" s="7">
        <v>45869.092361111114</v>
      </c>
      <c r="C87" s="5" t="s">
        <v>99</v>
      </c>
      <c r="D87" s="5" t="s">
        <v>389</v>
      </c>
      <c r="E87" s="8">
        <v>100.0</v>
      </c>
      <c r="F87" s="8">
        <v>1024.0</v>
      </c>
      <c r="G87" s="9" t="b">
        <v>1</v>
      </c>
      <c r="H87" s="7">
        <v>45869.092361111114</v>
      </c>
      <c r="I87" s="5" t="s">
        <v>572</v>
      </c>
      <c r="J87" s="8">
        <v>60.1816</v>
      </c>
      <c r="K87" s="8">
        <v>24.8368</v>
      </c>
      <c r="L87" s="5" t="s">
        <v>194</v>
      </c>
      <c r="M87" s="5" t="s">
        <v>195</v>
      </c>
      <c r="N87" s="5" t="s">
        <v>573</v>
      </c>
      <c r="O87" s="5" t="s">
        <v>211</v>
      </c>
      <c r="P87" s="5" t="s">
        <v>202</v>
      </c>
      <c r="Q87" s="5" t="s">
        <v>200</v>
      </c>
      <c r="R87" s="5" t="s">
        <v>199</v>
      </c>
      <c r="S87" s="5" t="s">
        <v>203</v>
      </c>
      <c r="T87" s="5" t="s">
        <v>201</v>
      </c>
      <c r="U87" s="5" t="s">
        <v>202</v>
      </c>
      <c r="V87" s="5" t="s">
        <v>202</v>
      </c>
      <c r="W87" s="5" t="s">
        <v>201</v>
      </c>
      <c r="X87" s="5" t="s">
        <v>201</v>
      </c>
      <c r="Y87" s="5" t="s">
        <v>200</v>
      </c>
      <c r="Z87" s="5" t="s">
        <v>202</v>
      </c>
      <c r="AA87" s="5" t="s">
        <v>203</v>
      </c>
      <c r="AB87" s="5" t="s">
        <v>198</v>
      </c>
      <c r="AC87" s="5" t="s">
        <v>201</v>
      </c>
      <c r="AD87" s="5" t="s">
        <v>200</v>
      </c>
      <c r="AE87" s="5" t="s">
        <v>574</v>
      </c>
      <c r="AF87" s="5" t="s">
        <v>206</v>
      </c>
      <c r="AG87" s="5" t="s">
        <v>198</v>
      </c>
      <c r="AH87" s="5" t="s">
        <v>201</v>
      </c>
      <c r="AI87" s="5" t="s">
        <v>201</v>
      </c>
      <c r="AJ87" s="5" t="s">
        <v>198</v>
      </c>
      <c r="AK87" s="5" t="s">
        <v>202</v>
      </c>
      <c r="AL87" s="5" t="s">
        <v>201</v>
      </c>
      <c r="AM87" s="5" t="s">
        <v>575</v>
      </c>
      <c r="AN87" s="5" t="s">
        <v>206</v>
      </c>
      <c r="AO87" s="5" t="s">
        <v>200</v>
      </c>
      <c r="AP87" s="5" t="s">
        <v>200</v>
      </c>
      <c r="AQ87" s="5" t="s">
        <v>201</v>
      </c>
      <c r="AR87" s="5" t="s">
        <v>204</v>
      </c>
      <c r="AS87" s="5" t="s">
        <v>204</v>
      </c>
      <c r="AT87" s="5" t="s">
        <v>204</v>
      </c>
      <c r="AU87" s="5" t="s">
        <v>204</v>
      </c>
      <c r="AV87" s="5" t="s">
        <v>576</v>
      </c>
    </row>
    <row r="88">
      <c r="A88" s="7">
        <v>45869.09722222222</v>
      </c>
      <c r="B88" s="7">
        <v>45869.10486111111</v>
      </c>
      <c r="C88" s="5" t="s">
        <v>99</v>
      </c>
      <c r="D88" s="5" t="s">
        <v>192</v>
      </c>
      <c r="E88" s="8">
        <v>100.0</v>
      </c>
      <c r="F88" s="8">
        <v>646.0</v>
      </c>
      <c r="G88" s="9" t="b">
        <v>1</v>
      </c>
      <c r="H88" s="7">
        <v>45869.10486111111</v>
      </c>
      <c r="I88" s="5" t="s">
        <v>577</v>
      </c>
      <c r="J88" s="8">
        <v>60.1816</v>
      </c>
      <c r="K88" s="8">
        <v>24.8368</v>
      </c>
      <c r="L88" s="5" t="s">
        <v>194</v>
      </c>
      <c r="M88" s="5" t="s">
        <v>195</v>
      </c>
      <c r="N88" s="5" t="s">
        <v>573</v>
      </c>
      <c r="O88" s="5" t="s">
        <v>263</v>
      </c>
      <c r="P88" s="5" t="s">
        <v>201</v>
      </c>
      <c r="Q88" s="5" t="s">
        <v>202</v>
      </c>
      <c r="R88" s="5" t="s">
        <v>199</v>
      </c>
      <c r="S88" s="5" t="s">
        <v>202</v>
      </c>
      <c r="T88" s="5" t="s">
        <v>201</v>
      </c>
      <c r="U88" s="5" t="s">
        <v>201</v>
      </c>
      <c r="V88" s="5" t="s">
        <v>198</v>
      </c>
      <c r="W88" s="5" t="s">
        <v>201</v>
      </c>
      <c r="X88" s="5" t="s">
        <v>201</v>
      </c>
      <c r="Y88" s="5" t="s">
        <v>201</v>
      </c>
      <c r="Z88" s="5" t="s">
        <v>202</v>
      </c>
      <c r="AA88" s="5" t="s">
        <v>202</v>
      </c>
      <c r="AB88" s="5" t="s">
        <v>202</v>
      </c>
      <c r="AC88" s="5" t="s">
        <v>201</v>
      </c>
      <c r="AD88" s="5" t="s">
        <v>198</v>
      </c>
      <c r="AE88" s="5" t="s">
        <v>578</v>
      </c>
      <c r="AF88" s="5" t="s">
        <v>206</v>
      </c>
      <c r="AG88" s="5" t="s">
        <v>200</v>
      </c>
      <c r="AH88" s="5" t="s">
        <v>201</v>
      </c>
      <c r="AI88" s="5" t="s">
        <v>201</v>
      </c>
      <c r="AJ88" s="5" t="s">
        <v>201</v>
      </c>
      <c r="AK88" s="5" t="s">
        <v>201</v>
      </c>
      <c r="AL88" s="5" t="s">
        <v>201</v>
      </c>
      <c r="AM88" s="5" t="s">
        <v>579</v>
      </c>
      <c r="AN88" s="5" t="s">
        <v>206</v>
      </c>
      <c r="AO88" s="5" t="s">
        <v>201</v>
      </c>
      <c r="AP88" s="5" t="s">
        <v>198</v>
      </c>
      <c r="AQ88" s="5" t="s">
        <v>201</v>
      </c>
      <c r="AR88" s="5" t="s">
        <v>200</v>
      </c>
      <c r="AS88" s="5" t="s">
        <v>202</v>
      </c>
      <c r="AT88" s="5" t="s">
        <v>204</v>
      </c>
      <c r="AU88" s="5" t="s">
        <v>204</v>
      </c>
      <c r="AV88" s="5" t="s">
        <v>580</v>
      </c>
    </row>
    <row r="89">
      <c r="A89" s="7">
        <v>45869.092361111114</v>
      </c>
      <c r="B89" s="7">
        <v>45869.10902777778</v>
      </c>
      <c r="C89" s="5" t="s">
        <v>99</v>
      </c>
      <c r="D89" s="5" t="s">
        <v>389</v>
      </c>
      <c r="E89" s="8">
        <v>100.0</v>
      </c>
      <c r="F89" s="8">
        <v>1424.0</v>
      </c>
      <c r="G89" s="9" t="b">
        <v>1</v>
      </c>
      <c r="H89" s="7">
        <v>45869.10902777778</v>
      </c>
      <c r="I89" s="5" t="s">
        <v>581</v>
      </c>
      <c r="J89" s="8">
        <v>60.1816</v>
      </c>
      <c r="K89" s="8">
        <v>24.8368</v>
      </c>
      <c r="L89" s="5" t="s">
        <v>194</v>
      </c>
      <c r="M89" s="5" t="s">
        <v>195</v>
      </c>
      <c r="N89" s="5" t="s">
        <v>582</v>
      </c>
      <c r="O89" s="5" t="s">
        <v>197</v>
      </c>
      <c r="P89" s="5" t="s">
        <v>202</v>
      </c>
      <c r="Q89" s="5" t="s">
        <v>202</v>
      </c>
      <c r="R89" s="5" t="s">
        <v>199</v>
      </c>
      <c r="S89" s="5" t="s">
        <v>201</v>
      </c>
      <c r="T89" s="5" t="s">
        <v>201</v>
      </c>
      <c r="U89" s="5" t="s">
        <v>200</v>
      </c>
      <c r="V89" s="5" t="s">
        <v>202</v>
      </c>
      <c r="W89" s="5" t="s">
        <v>201</v>
      </c>
      <c r="X89" s="5" t="s">
        <v>202</v>
      </c>
      <c r="Y89" s="5" t="s">
        <v>202</v>
      </c>
      <c r="Z89" s="5" t="s">
        <v>201</v>
      </c>
      <c r="AA89" s="5" t="s">
        <v>202</v>
      </c>
      <c r="AB89" s="5" t="s">
        <v>200</v>
      </c>
      <c r="AC89" s="5" t="s">
        <v>201</v>
      </c>
      <c r="AD89" s="5" t="s">
        <v>202</v>
      </c>
      <c r="AE89" s="5" t="s">
        <v>583</v>
      </c>
      <c r="AF89" s="5" t="s">
        <v>206</v>
      </c>
      <c r="AG89" s="5" t="s">
        <v>202</v>
      </c>
      <c r="AH89" s="5" t="s">
        <v>202</v>
      </c>
      <c r="AI89" s="5" t="s">
        <v>201</v>
      </c>
      <c r="AJ89" s="5" t="s">
        <v>202</v>
      </c>
      <c r="AK89" s="5" t="s">
        <v>201</v>
      </c>
      <c r="AL89" s="5" t="s">
        <v>201</v>
      </c>
      <c r="AM89" s="11" t="s">
        <v>584</v>
      </c>
      <c r="AN89" s="5" t="s">
        <v>206</v>
      </c>
      <c r="AO89" s="5" t="s">
        <v>202</v>
      </c>
      <c r="AP89" s="5" t="s">
        <v>202</v>
      </c>
      <c r="AQ89" s="5" t="s">
        <v>201</v>
      </c>
      <c r="AR89" s="5" t="s">
        <v>204</v>
      </c>
      <c r="AS89" s="5" t="s">
        <v>204</v>
      </c>
      <c r="AT89" s="5" t="s">
        <v>204</v>
      </c>
      <c r="AU89" s="5" t="s">
        <v>204</v>
      </c>
      <c r="AV89" s="5" t="s">
        <v>585</v>
      </c>
    </row>
    <row r="90">
      <c r="A90" s="7">
        <v>45869.10902777778</v>
      </c>
      <c r="B90" s="7">
        <v>45869.114583333336</v>
      </c>
      <c r="C90" s="5" t="s">
        <v>99</v>
      </c>
      <c r="D90" s="5" t="s">
        <v>192</v>
      </c>
      <c r="E90" s="8">
        <v>100.0</v>
      </c>
      <c r="F90" s="8">
        <v>484.0</v>
      </c>
      <c r="G90" s="9" t="b">
        <v>1</v>
      </c>
      <c r="H90" s="7">
        <v>45869.114583333336</v>
      </c>
      <c r="I90" s="5" t="s">
        <v>586</v>
      </c>
      <c r="J90" s="8">
        <v>60.1816</v>
      </c>
      <c r="K90" s="8">
        <v>24.8368</v>
      </c>
      <c r="L90" s="5" t="s">
        <v>194</v>
      </c>
      <c r="M90" s="5" t="s">
        <v>195</v>
      </c>
      <c r="N90" s="5" t="s">
        <v>573</v>
      </c>
      <c r="O90" s="5" t="s">
        <v>197</v>
      </c>
      <c r="P90" s="5" t="s">
        <v>201</v>
      </c>
      <c r="Q90" s="5" t="s">
        <v>202</v>
      </c>
      <c r="R90" s="5" t="s">
        <v>199</v>
      </c>
      <c r="S90" s="5" t="s">
        <v>202</v>
      </c>
      <c r="T90" s="5" t="s">
        <v>201</v>
      </c>
      <c r="U90" s="5" t="s">
        <v>201</v>
      </c>
      <c r="V90" s="5" t="s">
        <v>202</v>
      </c>
      <c r="W90" s="5" t="s">
        <v>201</v>
      </c>
      <c r="X90" s="5" t="s">
        <v>201</v>
      </c>
      <c r="Y90" s="5" t="s">
        <v>201</v>
      </c>
      <c r="Z90" s="5" t="s">
        <v>201</v>
      </c>
      <c r="AA90" s="5" t="s">
        <v>198</v>
      </c>
      <c r="AB90" s="5" t="s">
        <v>198</v>
      </c>
      <c r="AC90" s="5" t="s">
        <v>201</v>
      </c>
      <c r="AD90" s="5" t="s">
        <v>198</v>
      </c>
      <c r="AE90" s="5" t="s">
        <v>587</v>
      </c>
      <c r="AF90" s="5" t="s">
        <v>206</v>
      </c>
      <c r="AG90" s="5" t="s">
        <v>202</v>
      </c>
      <c r="AH90" s="5" t="s">
        <v>201</v>
      </c>
      <c r="AI90" s="5" t="s">
        <v>201</v>
      </c>
      <c r="AJ90" s="5" t="s">
        <v>201</v>
      </c>
      <c r="AK90" s="5" t="s">
        <v>201</v>
      </c>
      <c r="AL90" s="5" t="s">
        <v>201</v>
      </c>
      <c r="AM90" s="5" t="s">
        <v>588</v>
      </c>
      <c r="AN90" s="5" t="s">
        <v>206</v>
      </c>
      <c r="AO90" s="5" t="s">
        <v>201</v>
      </c>
      <c r="AP90" s="5" t="s">
        <v>201</v>
      </c>
      <c r="AQ90" s="5" t="s">
        <v>201</v>
      </c>
      <c r="AR90" s="5" t="s">
        <v>201</v>
      </c>
      <c r="AS90" s="5" t="s">
        <v>201</v>
      </c>
      <c r="AT90" s="5" t="s">
        <v>200</v>
      </c>
      <c r="AU90" s="5" t="s">
        <v>208</v>
      </c>
      <c r="AV90" s="5" t="s">
        <v>589</v>
      </c>
    </row>
    <row r="91">
      <c r="A91" s="7">
        <v>45869.11666666667</v>
      </c>
      <c r="B91" s="7">
        <v>45869.12569444445</v>
      </c>
      <c r="C91" s="5" t="s">
        <v>99</v>
      </c>
      <c r="D91" s="5" t="s">
        <v>389</v>
      </c>
      <c r="E91" s="8">
        <v>100.0</v>
      </c>
      <c r="F91" s="8">
        <v>768.0</v>
      </c>
      <c r="G91" s="9" t="b">
        <v>1</v>
      </c>
      <c r="H91" s="7">
        <v>45869.12569444445</v>
      </c>
      <c r="I91" s="5" t="s">
        <v>590</v>
      </c>
      <c r="J91" s="8">
        <v>60.1816</v>
      </c>
      <c r="K91" s="8">
        <v>24.8368</v>
      </c>
      <c r="L91" s="5" t="s">
        <v>194</v>
      </c>
      <c r="M91" s="5" t="s">
        <v>195</v>
      </c>
      <c r="N91" s="5" t="s">
        <v>573</v>
      </c>
      <c r="O91" s="5" t="s">
        <v>216</v>
      </c>
      <c r="P91" s="5" t="s">
        <v>201</v>
      </c>
      <c r="Q91" s="5" t="s">
        <v>200</v>
      </c>
      <c r="R91" s="5" t="s">
        <v>199</v>
      </c>
      <c r="S91" s="5" t="s">
        <v>200</v>
      </c>
      <c r="T91" s="5" t="s">
        <v>201</v>
      </c>
      <c r="U91" s="5" t="s">
        <v>202</v>
      </c>
      <c r="V91" s="5" t="s">
        <v>203</v>
      </c>
      <c r="W91" s="5" t="s">
        <v>200</v>
      </c>
      <c r="X91" s="5" t="s">
        <v>200</v>
      </c>
      <c r="Y91" s="5" t="s">
        <v>203</v>
      </c>
      <c r="Z91" s="5" t="s">
        <v>200</v>
      </c>
      <c r="AA91" s="5" t="s">
        <v>200</v>
      </c>
      <c r="AB91" s="5" t="s">
        <v>200</v>
      </c>
      <c r="AC91" s="5" t="s">
        <v>200</v>
      </c>
      <c r="AD91" s="5" t="s">
        <v>200</v>
      </c>
      <c r="AE91" s="5" t="s">
        <v>591</v>
      </c>
      <c r="AF91" s="5" t="s">
        <v>206</v>
      </c>
      <c r="AG91" s="5" t="s">
        <v>202</v>
      </c>
      <c r="AH91" s="5" t="s">
        <v>201</v>
      </c>
      <c r="AI91" s="5" t="s">
        <v>201</v>
      </c>
      <c r="AJ91" s="5" t="s">
        <v>200</v>
      </c>
      <c r="AK91" s="5" t="s">
        <v>202</v>
      </c>
      <c r="AL91" s="5" t="s">
        <v>201</v>
      </c>
      <c r="AM91" s="5" t="s">
        <v>592</v>
      </c>
      <c r="AN91" s="5" t="s">
        <v>206</v>
      </c>
      <c r="AO91" s="5" t="s">
        <v>201</v>
      </c>
      <c r="AP91" s="5" t="s">
        <v>200</v>
      </c>
      <c r="AQ91" s="5" t="s">
        <v>201</v>
      </c>
      <c r="AR91" s="5" t="s">
        <v>204</v>
      </c>
      <c r="AS91" s="5" t="s">
        <v>204</v>
      </c>
      <c r="AT91" s="5" t="s">
        <v>204</v>
      </c>
      <c r="AU91" s="5" t="s">
        <v>204</v>
      </c>
      <c r="AV91" s="5" t="s">
        <v>593</v>
      </c>
    </row>
    <row r="92">
      <c r="A92" s="7">
        <v>45869.15902777778</v>
      </c>
      <c r="B92" s="7">
        <v>45869.165972222225</v>
      </c>
      <c r="C92" s="5" t="s">
        <v>99</v>
      </c>
      <c r="D92" s="5" t="s">
        <v>383</v>
      </c>
      <c r="E92" s="8">
        <v>100.0</v>
      </c>
      <c r="F92" s="8">
        <v>644.0</v>
      </c>
      <c r="G92" s="9" t="b">
        <v>1</v>
      </c>
      <c r="H92" s="7">
        <v>45869.165972222225</v>
      </c>
      <c r="I92" s="5" t="s">
        <v>594</v>
      </c>
      <c r="J92" s="8">
        <v>60.1816</v>
      </c>
      <c r="K92" s="8">
        <v>24.8368</v>
      </c>
      <c r="L92" s="5" t="s">
        <v>194</v>
      </c>
      <c r="M92" s="5" t="s">
        <v>195</v>
      </c>
      <c r="N92" s="5" t="s">
        <v>595</v>
      </c>
      <c r="O92" s="5" t="s">
        <v>216</v>
      </c>
      <c r="P92" s="5" t="s">
        <v>202</v>
      </c>
      <c r="Q92" s="5" t="s">
        <v>200</v>
      </c>
      <c r="R92" s="5" t="s">
        <v>199</v>
      </c>
      <c r="S92" s="5" t="s">
        <v>202</v>
      </c>
      <c r="T92" s="5" t="s">
        <v>203</v>
      </c>
      <c r="U92" s="5" t="s">
        <v>202</v>
      </c>
      <c r="V92" s="5" t="s">
        <v>200</v>
      </c>
      <c r="W92" s="5" t="s">
        <v>200</v>
      </c>
      <c r="X92" s="5" t="s">
        <v>203</v>
      </c>
      <c r="Y92" s="5" t="s">
        <v>200</v>
      </c>
      <c r="Z92" s="5" t="s">
        <v>200</v>
      </c>
      <c r="AA92" s="5" t="s">
        <v>200</v>
      </c>
      <c r="AB92" s="5" t="s">
        <v>198</v>
      </c>
      <c r="AC92" s="5" t="s">
        <v>200</v>
      </c>
      <c r="AD92" s="5" t="s">
        <v>203</v>
      </c>
      <c r="AE92" s="5" t="s">
        <v>413</v>
      </c>
      <c r="AF92" s="5" t="s">
        <v>206</v>
      </c>
      <c r="AG92" s="5" t="s">
        <v>200</v>
      </c>
      <c r="AH92" s="5" t="s">
        <v>198</v>
      </c>
      <c r="AI92" s="5" t="s">
        <v>203</v>
      </c>
      <c r="AJ92" s="5" t="s">
        <v>198</v>
      </c>
      <c r="AK92" s="5" t="s">
        <v>198</v>
      </c>
      <c r="AL92" s="5" t="s">
        <v>198</v>
      </c>
      <c r="AM92" s="5" t="s">
        <v>413</v>
      </c>
      <c r="AN92" s="5" t="s">
        <v>206</v>
      </c>
      <c r="AO92" s="5" t="s">
        <v>200</v>
      </c>
      <c r="AP92" s="5" t="s">
        <v>202</v>
      </c>
      <c r="AQ92" s="5" t="s">
        <v>200</v>
      </c>
      <c r="AR92" s="5" t="s">
        <v>198</v>
      </c>
      <c r="AS92" s="5" t="s">
        <v>198</v>
      </c>
      <c r="AT92" s="5" t="s">
        <v>198</v>
      </c>
      <c r="AU92" s="5" t="s">
        <v>198</v>
      </c>
      <c r="AV92" s="5" t="s">
        <v>413</v>
      </c>
    </row>
    <row r="93">
      <c r="A93" s="7">
        <v>45869.16388888889</v>
      </c>
      <c r="B93" s="7">
        <v>45869.17638888889</v>
      </c>
      <c r="C93" s="5" t="s">
        <v>99</v>
      </c>
      <c r="D93" s="5" t="s">
        <v>389</v>
      </c>
      <c r="E93" s="8">
        <v>100.0</v>
      </c>
      <c r="F93" s="8">
        <v>1117.0</v>
      </c>
      <c r="G93" s="9" t="b">
        <v>1</v>
      </c>
      <c r="H93" s="7">
        <v>45869.17638888889</v>
      </c>
      <c r="I93" s="5" t="s">
        <v>596</v>
      </c>
      <c r="J93" s="8">
        <v>60.1816</v>
      </c>
      <c r="K93" s="8">
        <v>24.8368</v>
      </c>
      <c r="L93" s="5" t="s">
        <v>194</v>
      </c>
      <c r="M93" s="5" t="s">
        <v>195</v>
      </c>
      <c r="N93" s="5" t="s">
        <v>582</v>
      </c>
      <c r="O93" s="5" t="s">
        <v>211</v>
      </c>
      <c r="P93" s="5" t="s">
        <v>202</v>
      </c>
      <c r="Q93" s="5" t="s">
        <v>200</v>
      </c>
      <c r="R93" s="5" t="s">
        <v>199</v>
      </c>
      <c r="S93" s="5" t="s">
        <v>201</v>
      </c>
      <c r="T93" s="5" t="s">
        <v>201</v>
      </c>
      <c r="U93" s="5" t="s">
        <v>200</v>
      </c>
      <c r="V93" s="5" t="s">
        <v>200</v>
      </c>
      <c r="W93" s="5" t="s">
        <v>202</v>
      </c>
      <c r="X93" s="5" t="s">
        <v>202</v>
      </c>
      <c r="Y93" s="5" t="s">
        <v>202</v>
      </c>
      <c r="Z93" s="5" t="s">
        <v>201</v>
      </c>
      <c r="AA93" s="5" t="s">
        <v>200</v>
      </c>
      <c r="AB93" s="5" t="s">
        <v>203</v>
      </c>
      <c r="AC93" s="5" t="s">
        <v>202</v>
      </c>
      <c r="AD93" s="5" t="s">
        <v>203</v>
      </c>
      <c r="AE93" s="5" t="s">
        <v>597</v>
      </c>
      <c r="AF93" s="5" t="s">
        <v>206</v>
      </c>
      <c r="AG93" s="5" t="s">
        <v>202</v>
      </c>
      <c r="AH93" s="5" t="s">
        <v>201</v>
      </c>
      <c r="AI93" s="5" t="s">
        <v>201</v>
      </c>
      <c r="AJ93" s="5" t="s">
        <v>201</v>
      </c>
      <c r="AK93" s="5" t="s">
        <v>201</v>
      </c>
      <c r="AL93" s="5" t="s">
        <v>201</v>
      </c>
      <c r="AM93" s="5" t="s">
        <v>598</v>
      </c>
      <c r="AN93" s="5" t="s">
        <v>206</v>
      </c>
      <c r="AO93" s="5" t="s">
        <v>202</v>
      </c>
      <c r="AP93" s="5" t="s">
        <v>202</v>
      </c>
      <c r="AQ93" s="5" t="s">
        <v>201</v>
      </c>
      <c r="AR93" s="5" t="s">
        <v>204</v>
      </c>
      <c r="AS93" s="5" t="s">
        <v>204</v>
      </c>
      <c r="AT93" s="5" t="s">
        <v>204</v>
      </c>
      <c r="AU93" s="5" t="s">
        <v>204</v>
      </c>
      <c r="AV93" s="5" t="s">
        <v>599</v>
      </c>
    </row>
    <row r="94">
      <c r="A94" s="7">
        <v>45869.177083333336</v>
      </c>
      <c r="B94" s="7">
        <v>45869.18194444444</v>
      </c>
      <c r="C94" s="5" t="s">
        <v>99</v>
      </c>
      <c r="D94" s="5" t="s">
        <v>347</v>
      </c>
      <c r="E94" s="8">
        <v>100.0</v>
      </c>
      <c r="F94" s="8">
        <v>447.0</v>
      </c>
      <c r="G94" s="9" t="b">
        <v>1</v>
      </c>
      <c r="H94" s="7">
        <v>45869.18194444444</v>
      </c>
      <c r="I94" s="5" t="s">
        <v>600</v>
      </c>
      <c r="J94" s="8">
        <v>60.2141</v>
      </c>
      <c r="K94" s="8">
        <v>24.896</v>
      </c>
      <c r="L94" s="5" t="s">
        <v>194</v>
      </c>
      <c r="M94" s="5" t="s">
        <v>195</v>
      </c>
      <c r="N94" s="5" t="s">
        <v>595</v>
      </c>
      <c r="O94" s="5" t="s">
        <v>263</v>
      </c>
      <c r="P94" s="5" t="s">
        <v>202</v>
      </c>
      <c r="Q94" s="5" t="s">
        <v>200</v>
      </c>
      <c r="R94" s="5" t="s">
        <v>199</v>
      </c>
      <c r="S94" s="5" t="s">
        <v>202</v>
      </c>
      <c r="T94" s="5" t="s">
        <v>200</v>
      </c>
      <c r="U94" s="5" t="s">
        <v>202</v>
      </c>
      <c r="V94" s="5" t="s">
        <v>202</v>
      </c>
      <c r="W94" s="5" t="s">
        <v>202</v>
      </c>
      <c r="X94" s="5" t="s">
        <v>202</v>
      </c>
      <c r="Y94" s="5" t="s">
        <v>202</v>
      </c>
      <c r="Z94" s="5" t="s">
        <v>202</v>
      </c>
      <c r="AA94" s="5" t="s">
        <v>202</v>
      </c>
      <c r="AB94" s="5" t="s">
        <v>198</v>
      </c>
      <c r="AC94" s="5" t="s">
        <v>202</v>
      </c>
      <c r="AD94" s="5" t="s">
        <v>200</v>
      </c>
      <c r="AE94" s="5" t="s">
        <v>413</v>
      </c>
      <c r="AF94" s="5" t="s">
        <v>206</v>
      </c>
      <c r="AG94" s="5" t="s">
        <v>202</v>
      </c>
      <c r="AH94" s="5" t="s">
        <v>202</v>
      </c>
      <c r="AI94" s="5" t="s">
        <v>202</v>
      </c>
      <c r="AJ94" s="5" t="s">
        <v>202</v>
      </c>
      <c r="AK94" s="5" t="s">
        <v>202</v>
      </c>
      <c r="AL94" s="5" t="s">
        <v>200</v>
      </c>
      <c r="AM94" s="5" t="s">
        <v>413</v>
      </c>
      <c r="AN94" s="5" t="s">
        <v>206</v>
      </c>
      <c r="AO94" s="5" t="s">
        <v>202</v>
      </c>
      <c r="AP94" s="5" t="s">
        <v>202</v>
      </c>
      <c r="AQ94" s="5" t="s">
        <v>200</v>
      </c>
      <c r="AR94" s="5" t="s">
        <v>198</v>
      </c>
      <c r="AS94" s="5" t="s">
        <v>208</v>
      </c>
      <c r="AT94" s="5" t="s">
        <v>198</v>
      </c>
      <c r="AU94" s="5" t="s">
        <v>208</v>
      </c>
      <c r="AV94" s="5" t="s">
        <v>413</v>
      </c>
    </row>
    <row r="95">
      <c r="A95" s="7">
        <v>45869.17013888889</v>
      </c>
      <c r="B95" s="7">
        <v>45869.18402777778</v>
      </c>
      <c r="C95" s="5" t="s">
        <v>99</v>
      </c>
      <c r="D95" s="5" t="s">
        <v>383</v>
      </c>
      <c r="E95" s="8">
        <v>100.0</v>
      </c>
      <c r="F95" s="8">
        <v>1215.0</v>
      </c>
      <c r="G95" s="9" t="b">
        <v>1</v>
      </c>
      <c r="H95" s="7">
        <v>45869.18402777778</v>
      </c>
      <c r="I95" s="5" t="s">
        <v>601</v>
      </c>
      <c r="J95" s="8">
        <v>60.1816</v>
      </c>
      <c r="K95" s="8">
        <v>24.8368</v>
      </c>
      <c r="L95" s="5" t="s">
        <v>194</v>
      </c>
      <c r="M95" s="5" t="s">
        <v>195</v>
      </c>
      <c r="N95" s="5" t="s">
        <v>602</v>
      </c>
      <c r="O95" s="5" t="s">
        <v>197</v>
      </c>
      <c r="P95" s="5" t="s">
        <v>202</v>
      </c>
      <c r="Q95" s="5" t="s">
        <v>200</v>
      </c>
      <c r="R95" s="5" t="s">
        <v>199</v>
      </c>
      <c r="S95" s="5" t="s">
        <v>202</v>
      </c>
      <c r="T95" s="5" t="s">
        <v>202</v>
      </c>
      <c r="U95" s="5" t="s">
        <v>201</v>
      </c>
      <c r="V95" s="5" t="s">
        <v>200</v>
      </c>
      <c r="W95" s="5" t="s">
        <v>200</v>
      </c>
      <c r="X95" s="5" t="s">
        <v>202</v>
      </c>
      <c r="Y95" s="5" t="s">
        <v>202</v>
      </c>
      <c r="Z95" s="5" t="s">
        <v>201</v>
      </c>
      <c r="AA95" s="5" t="s">
        <v>200</v>
      </c>
      <c r="AB95" s="5" t="s">
        <v>202</v>
      </c>
      <c r="AC95" s="5" t="s">
        <v>202</v>
      </c>
      <c r="AD95" s="5" t="s">
        <v>200</v>
      </c>
      <c r="AE95" s="5" t="s">
        <v>603</v>
      </c>
      <c r="AF95" s="5" t="s">
        <v>206</v>
      </c>
      <c r="AG95" s="5" t="s">
        <v>202</v>
      </c>
      <c r="AH95" s="5" t="s">
        <v>202</v>
      </c>
      <c r="AI95" s="5" t="s">
        <v>202</v>
      </c>
      <c r="AJ95" s="5" t="s">
        <v>201</v>
      </c>
      <c r="AK95" s="5" t="s">
        <v>202</v>
      </c>
      <c r="AL95" s="5" t="s">
        <v>202</v>
      </c>
      <c r="AM95" s="5" t="s">
        <v>604</v>
      </c>
      <c r="AN95" s="5" t="s">
        <v>206</v>
      </c>
      <c r="AO95" s="5" t="s">
        <v>202</v>
      </c>
      <c r="AP95" s="5" t="s">
        <v>202</v>
      </c>
      <c r="AQ95" s="5" t="s">
        <v>201</v>
      </c>
      <c r="AR95" s="5" t="s">
        <v>204</v>
      </c>
      <c r="AS95" s="5" t="s">
        <v>204</v>
      </c>
      <c r="AT95" s="5" t="s">
        <v>204</v>
      </c>
      <c r="AU95" s="5" t="s">
        <v>204</v>
      </c>
      <c r="AV95" s="5" t="s">
        <v>605</v>
      </c>
    </row>
    <row r="96">
      <c r="A96" s="7">
        <v>45869.177083333336</v>
      </c>
      <c r="B96" s="7">
        <v>45869.18819444445</v>
      </c>
      <c r="C96" s="5" t="s">
        <v>99</v>
      </c>
      <c r="D96" s="5" t="s">
        <v>529</v>
      </c>
      <c r="E96" s="8">
        <v>100.0</v>
      </c>
      <c r="F96" s="8">
        <v>973.0</v>
      </c>
      <c r="G96" s="9" t="b">
        <v>1</v>
      </c>
      <c r="H96" s="7">
        <v>45869.18819444445</v>
      </c>
      <c r="I96" s="5" t="s">
        <v>606</v>
      </c>
      <c r="J96" s="8">
        <v>60.1816</v>
      </c>
      <c r="K96" s="8">
        <v>24.8368</v>
      </c>
      <c r="L96" s="5" t="s">
        <v>194</v>
      </c>
      <c r="M96" s="5" t="s">
        <v>195</v>
      </c>
      <c r="N96" s="5" t="s">
        <v>607</v>
      </c>
      <c r="O96" s="5" t="s">
        <v>211</v>
      </c>
      <c r="P96" s="5" t="s">
        <v>208</v>
      </c>
      <c r="Q96" s="5" t="s">
        <v>204</v>
      </c>
      <c r="R96" s="5" t="s">
        <v>199</v>
      </c>
      <c r="S96" s="5" t="s">
        <v>204</v>
      </c>
      <c r="T96" s="5" t="s">
        <v>204</v>
      </c>
      <c r="U96" s="5" t="s">
        <v>204</v>
      </c>
      <c r="V96" s="5" t="s">
        <v>208</v>
      </c>
      <c r="W96" s="5" t="s">
        <v>204</v>
      </c>
      <c r="X96" s="5" t="s">
        <v>200</v>
      </c>
      <c r="Y96" s="5" t="s">
        <v>203</v>
      </c>
      <c r="Z96" s="5" t="s">
        <v>198</v>
      </c>
      <c r="AA96" s="5" t="s">
        <v>204</v>
      </c>
      <c r="AB96" s="5" t="s">
        <v>204</v>
      </c>
      <c r="AC96" s="5" t="s">
        <v>204</v>
      </c>
      <c r="AD96" s="5" t="s">
        <v>201</v>
      </c>
      <c r="AE96" s="5" t="s">
        <v>608</v>
      </c>
      <c r="AF96" s="5" t="s">
        <v>206</v>
      </c>
      <c r="AG96" s="5" t="s">
        <v>208</v>
      </c>
      <c r="AH96" s="5" t="s">
        <v>203</v>
      </c>
      <c r="AI96" s="5" t="s">
        <v>208</v>
      </c>
      <c r="AJ96" s="5" t="s">
        <v>202</v>
      </c>
      <c r="AK96" s="5" t="s">
        <v>202</v>
      </c>
      <c r="AL96" s="5" t="s">
        <v>203</v>
      </c>
      <c r="AM96" s="5" t="s">
        <v>609</v>
      </c>
      <c r="AN96" s="5" t="s">
        <v>206</v>
      </c>
      <c r="AO96" s="5" t="s">
        <v>204</v>
      </c>
      <c r="AP96" s="5" t="s">
        <v>200</v>
      </c>
      <c r="AQ96" s="5" t="s">
        <v>202</v>
      </c>
      <c r="AR96" s="5" t="s">
        <v>204</v>
      </c>
      <c r="AS96" s="5" t="s">
        <v>204</v>
      </c>
      <c r="AT96" s="5" t="s">
        <v>208</v>
      </c>
      <c r="AU96" s="5" t="s">
        <v>204</v>
      </c>
      <c r="AV96" s="5" t="s">
        <v>610</v>
      </c>
    </row>
    <row r="97">
      <c r="A97" s="7">
        <v>45869.1875</v>
      </c>
      <c r="B97" s="7">
        <v>45869.19097222222</v>
      </c>
      <c r="C97" s="5" t="s">
        <v>99</v>
      </c>
      <c r="D97" s="5" t="s">
        <v>347</v>
      </c>
      <c r="E97" s="8">
        <v>100.0</v>
      </c>
      <c r="F97" s="8">
        <v>300.0</v>
      </c>
      <c r="G97" s="9" t="b">
        <v>1</v>
      </c>
      <c r="H97" s="7">
        <v>45869.19097222222</v>
      </c>
      <c r="I97" s="5" t="s">
        <v>611</v>
      </c>
      <c r="J97" s="8">
        <v>60.2141</v>
      </c>
      <c r="K97" s="8">
        <v>24.896</v>
      </c>
      <c r="L97" s="5" t="s">
        <v>194</v>
      </c>
      <c r="M97" s="5" t="s">
        <v>195</v>
      </c>
      <c r="N97" s="5" t="s">
        <v>595</v>
      </c>
      <c r="O97" s="5" t="s">
        <v>211</v>
      </c>
      <c r="P97" s="5" t="s">
        <v>200</v>
      </c>
      <c r="Q97" s="5" t="s">
        <v>202</v>
      </c>
      <c r="R97" s="5" t="s">
        <v>199</v>
      </c>
      <c r="S97" s="5" t="s">
        <v>202</v>
      </c>
      <c r="T97" s="5" t="s">
        <v>202</v>
      </c>
      <c r="U97" s="5" t="s">
        <v>202</v>
      </c>
      <c r="V97" s="5" t="s">
        <v>202</v>
      </c>
      <c r="W97" s="5" t="s">
        <v>202</v>
      </c>
      <c r="X97" s="5" t="s">
        <v>202</v>
      </c>
      <c r="Y97" s="5" t="s">
        <v>202</v>
      </c>
      <c r="Z97" s="5" t="s">
        <v>202</v>
      </c>
      <c r="AA97" s="5" t="s">
        <v>202</v>
      </c>
      <c r="AB97" s="5" t="s">
        <v>198</v>
      </c>
      <c r="AC97" s="5" t="s">
        <v>202</v>
      </c>
      <c r="AD97" s="5" t="s">
        <v>200</v>
      </c>
      <c r="AE97" s="5" t="s">
        <v>413</v>
      </c>
      <c r="AF97" s="5" t="s">
        <v>206</v>
      </c>
      <c r="AG97" s="5" t="s">
        <v>202</v>
      </c>
      <c r="AH97" s="5" t="s">
        <v>202</v>
      </c>
      <c r="AI97" s="5" t="s">
        <v>202</v>
      </c>
      <c r="AJ97" s="5" t="s">
        <v>202</v>
      </c>
      <c r="AK97" s="5" t="s">
        <v>202</v>
      </c>
      <c r="AL97" s="5" t="s">
        <v>202</v>
      </c>
      <c r="AM97" s="5" t="s">
        <v>413</v>
      </c>
      <c r="AN97" s="5" t="s">
        <v>206</v>
      </c>
      <c r="AO97" s="5" t="s">
        <v>202</v>
      </c>
      <c r="AP97" s="5" t="s">
        <v>202</v>
      </c>
      <c r="AQ97" s="5" t="s">
        <v>200</v>
      </c>
      <c r="AR97" s="5" t="s">
        <v>208</v>
      </c>
      <c r="AS97" s="5" t="s">
        <v>208</v>
      </c>
      <c r="AT97" s="5" t="s">
        <v>208</v>
      </c>
      <c r="AU97" s="5" t="s">
        <v>208</v>
      </c>
      <c r="AV97" s="5" t="s">
        <v>413</v>
      </c>
    </row>
    <row r="98">
      <c r="A98" s="7">
        <v>45869.18263888889</v>
      </c>
      <c r="B98" s="7">
        <v>45869.19236111111</v>
      </c>
      <c r="C98" s="5" t="s">
        <v>99</v>
      </c>
      <c r="D98" s="5" t="s">
        <v>192</v>
      </c>
      <c r="E98" s="8">
        <v>100.0</v>
      </c>
      <c r="F98" s="8">
        <v>808.0</v>
      </c>
      <c r="G98" s="9" t="b">
        <v>1</v>
      </c>
      <c r="H98" s="7">
        <v>45869.19236111111</v>
      </c>
      <c r="I98" s="5" t="s">
        <v>612</v>
      </c>
      <c r="J98" s="8">
        <v>60.1816</v>
      </c>
      <c r="K98" s="8">
        <v>24.8368</v>
      </c>
      <c r="L98" s="5" t="s">
        <v>194</v>
      </c>
      <c r="M98" s="5" t="s">
        <v>195</v>
      </c>
      <c r="N98" s="5" t="s">
        <v>582</v>
      </c>
      <c r="O98" s="5" t="s">
        <v>263</v>
      </c>
      <c r="P98" s="5" t="s">
        <v>201</v>
      </c>
      <c r="Q98" s="5" t="s">
        <v>200</v>
      </c>
      <c r="R98" s="5" t="s">
        <v>199</v>
      </c>
      <c r="S98" s="5" t="s">
        <v>201</v>
      </c>
      <c r="T98" s="5" t="s">
        <v>201</v>
      </c>
      <c r="U98" s="5" t="s">
        <v>200</v>
      </c>
      <c r="V98" s="5" t="s">
        <v>200</v>
      </c>
      <c r="W98" s="5" t="s">
        <v>202</v>
      </c>
      <c r="X98" s="5" t="s">
        <v>202</v>
      </c>
      <c r="Y98" s="5" t="s">
        <v>200</v>
      </c>
      <c r="Z98" s="5" t="s">
        <v>202</v>
      </c>
      <c r="AA98" s="5" t="s">
        <v>200</v>
      </c>
      <c r="AB98" s="5" t="s">
        <v>208</v>
      </c>
      <c r="AC98" s="5" t="s">
        <v>202</v>
      </c>
      <c r="AD98" s="5" t="s">
        <v>200</v>
      </c>
      <c r="AE98" s="5" t="s">
        <v>613</v>
      </c>
      <c r="AF98" s="5" t="s">
        <v>206</v>
      </c>
      <c r="AG98" s="5" t="s">
        <v>201</v>
      </c>
      <c r="AH98" s="5" t="s">
        <v>201</v>
      </c>
      <c r="AI98" s="5" t="s">
        <v>201</v>
      </c>
      <c r="AJ98" s="5" t="s">
        <v>201</v>
      </c>
      <c r="AK98" s="5" t="s">
        <v>201</v>
      </c>
      <c r="AL98" s="5" t="s">
        <v>201</v>
      </c>
      <c r="AM98" s="5" t="s">
        <v>614</v>
      </c>
      <c r="AN98" s="5" t="s">
        <v>206</v>
      </c>
      <c r="AO98" s="5" t="s">
        <v>201</v>
      </c>
      <c r="AP98" s="5" t="s">
        <v>202</v>
      </c>
      <c r="AQ98" s="5" t="s">
        <v>201</v>
      </c>
      <c r="AR98" s="5" t="s">
        <v>204</v>
      </c>
      <c r="AS98" s="5" t="s">
        <v>204</v>
      </c>
      <c r="AT98" s="5" t="s">
        <v>204</v>
      </c>
      <c r="AU98" s="5" t="s">
        <v>204</v>
      </c>
      <c r="AV98" s="5" t="s">
        <v>615</v>
      </c>
    </row>
    <row r="99">
      <c r="A99" s="7">
        <v>45869.18819444445</v>
      </c>
      <c r="B99" s="7">
        <v>45869.20347222222</v>
      </c>
      <c r="C99" s="5" t="s">
        <v>99</v>
      </c>
      <c r="D99" s="5" t="s">
        <v>389</v>
      </c>
      <c r="E99" s="8">
        <v>100.0</v>
      </c>
      <c r="F99" s="8">
        <v>1307.0</v>
      </c>
      <c r="G99" s="9" t="b">
        <v>1</v>
      </c>
      <c r="H99" s="7">
        <v>45869.20347222222</v>
      </c>
      <c r="I99" s="5" t="s">
        <v>616</v>
      </c>
      <c r="J99" s="8">
        <v>60.1816</v>
      </c>
      <c r="K99" s="8">
        <v>24.8368</v>
      </c>
      <c r="L99" s="5" t="s">
        <v>194</v>
      </c>
      <c r="M99" s="5" t="s">
        <v>195</v>
      </c>
      <c r="N99" s="5" t="s">
        <v>602</v>
      </c>
      <c r="O99" s="5" t="s">
        <v>211</v>
      </c>
      <c r="P99" s="5" t="s">
        <v>198</v>
      </c>
      <c r="Q99" s="5" t="s">
        <v>198</v>
      </c>
      <c r="R99" s="5" t="s">
        <v>199</v>
      </c>
      <c r="S99" s="5" t="s">
        <v>202</v>
      </c>
      <c r="T99" s="5" t="s">
        <v>200</v>
      </c>
      <c r="U99" s="5" t="s">
        <v>198</v>
      </c>
      <c r="V99" s="5" t="s">
        <v>198</v>
      </c>
      <c r="W99" s="5" t="s">
        <v>198</v>
      </c>
      <c r="X99" s="5" t="s">
        <v>200</v>
      </c>
      <c r="Y99" s="5" t="s">
        <v>200</v>
      </c>
      <c r="Z99" s="5" t="s">
        <v>202</v>
      </c>
      <c r="AA99" s="5" t="s">
        <v>198</v>
      </c>
      <c r="AB99" s="5" t="s">
        <v>198</v>
      </c>
      <c r="AC99" s="5" t="s">
        <v>200</v>
      </c>
      <c r="AD99" s="5" t="s">
        <v>202</v>
      </c>
      <c r="AE99" s="5" t="s">
        <v>617</v>
      </c>
      <c r="AF99" s="5" t="s">
        <v>206</v>
      </c>
      <c r="AG99" s="5" t="s">
        <v>202</v>
      </c>
      <c r="AH99" s="5" t="s">
        <v>200</v>
      </c>
      <c r="AI99" s="5" t="s">
        <v>198</v>
      </c>
      <c r="AJ99" s="5" t="s">
        <v>198</v>
      </c>
      <c r="AK99" s="5" t="s">
        <v>198</v>
      </c>
      <c r="AL99" s="5" t="s">
        <v>198</v>
      </c>
      <c r="AM99" s="5" t="s">
        <v>618</v>
      </c>
      <c r="AN99" s="5" t="s">
        <v>206</v>
      </c>
      <c r="AO99" s="5" t="s">
        <v>200</v>
      </c>
      <c r="AP99" s="5" t="s">
        <v>202</v>
      </c>
      <c r="AQ99" s="5" t="s">
        <v>200</v>
      </c>
      <c r="AR99" s="5" t="s">
        <v>204</v>
      </c>
      <c r="AS99" s="5" t="s">
        <v>204</v>
      </c>
      <c r="AT99" s="5" t="s">
        <v>204</v>
      </c>
      <c r="AU99" s="5" t="s">
        <v>204</v>
      </c>
      <c r="AV99" s="5" t="s">
        <v>619</v>
      </c>
    </row>
    <row r="100">
      <c r="A100" s="7">
        <v>45869.19652777778</v>
      </c>
      <c r="B100" s="7">
        <v>45869.20416666667</v>
      </c>
      <c r="C100" s="5" t="s">
        <v>99</v>
      </c>
      <c r="D100" s="5" t="s">
        <v>490</v>
      </c>
      <c r="E100" s="8">
        <v>100.0</v>
      </c>
      <c r="F100" s="8">
        <v>677.0</v>
      </c>
      <c r="G100" s="9" t="b">
        <v>1</v>
      </c>
      <c r="H100" s="7">
        <v>45869.20416666667</v>
      </c>
      <c r="I100" s="5" t="s">
        <v>620</v>
      </c>
      <c r="J100" s="8">
        <v>60.1816</v>
      </c>
      <c r="K100" s="8">
        <v>24.8368</v>
      </c>
      <c r="L100" s="5" t="s">
        <v>194</v>
      </c>
      <c r="M100" s="5" t="s">
        <v>195</v>
      </c>
      <c r="N100" s="5" t="s">
        <v>582</v>
      </c>
      <c r="O100" s="5" t="s">
        <v>216</v>
      </c>
      <c r="P100" s="5" t="s">
        <v>201</v>
      </c>
      <c r="Q100" s="5" t="s">
        <v>203</v>
      </c>
      <c r="R100" s="5" t="s">
        <v>199</v>
      </c>
      <c r="S100" s="5" t="s">
        <v>201</v>
      </c>
      <c r="T100" s="5" t="s">
        <v>201</v>
      </c>
      <c r="U100" s="5" t="s">
        <v>198</v>
      </c>
      <c r="V100" s="5" t="s">
        <v>202</v>
      </c>
      <c r="W100" s="5" t="s">
        <v>202</v>
      </c>
      <c r="X100" s="5" t="s">
        <v>202</v>
      </c>
      <c r="Y100" s="5" t="s">
        <v>202</v>
      </c>
      <c r="Z100" s="5" t="s">
        <v>202</v>
      </c>
      <c r="AA100" s="5" t="s">
        <v>198</v>
      </c>
      <c r="AB100" s="5" t="s">
        <v>204</v>
      </c>
      <c r="AC100" s="5" t="s">
        <v>202</v>
      </c>
      <c r="AD100" s="5" t="s">
        <v>203</v>
      </c>
      <c r="AE100" s="5" t="s">
        <v>621</v>
      </c>
      <c r="AF100" s="5" t="s">
        <v>206</v>
      </c>
      <c r="AG100" s="5" t="s">
        <v>202</v>
      </c>
      <c r="AH100" s="5" t="s">
        <v>202</v>
      </c>
      <c r="AI100" s="5" t="s">
        <v>201</v>
      </c>
      <c r="AJ100" s="5" t="s">
        <v>202</v>
      </c>
      <c r="AK100" s="5" t="s">
        <v>201</v>
      </c>
      <c r="AL100" s="5" t="s">
        <v>201</v>
      </c>
      <c r="AM100" s="5" t="s">
        <v>622</v>
      </c>
      <c r="AN100" s="5" t="s">
        <v>206</v>
      </c>
      <c r="AO100" s="5" t="s">
        <v>201</v>
      </c>
      <c r="AP100" s="5" t="s">
        <v>201</v>
      </c>
      <c r="AQ100" s="5" t="s">
        <v>201</v>
      </c>
      <c r="AR100" s="5" t="s">
        <v>204</v>
      </c>
      <c r="AS100" s="5" t="s">
        <v>204</v>
      </c>
      <c r="AT100" s="5" t="s">
        <v>204</v>
      </c>
      <c r="AU100" s="5" t="s">
        <v>204</v>
      </c>
      <c r="AV100" s="5" t="s">
        <v>623</v>
      </c>
    </row>
    <row r="101">
      <c r="A101" s="7">
        <v>45869.19930555556</v>
      </c>
      <c r="B101" s="7">
        <v>45869.20763888889</v>
      </c>
      <c r="C101" s="5" t="s">
        <v>99</v>
      </c>
      <c r="D101" s="5" t="s">
        <v>529</v>
      </c>
      <c r="E101" s="8">
        <v>100.0</v>
      </c>
      <c r="F101" s="8">
        <v>726.0</v>
      </c>
      <c r="G101" s="9" t="b">
        <v>1</v>
      </c>
      <c r="H101" s="7">
        <v>45869.20763888889</v>
      </c>
      <c r="I101" s="5" t="s">
        <v>624</v>
      </c>
      <c r="J101" s="8">
        <v>60.1816</v>
      </c>
      <c r="K101" s="8">
        <v>24.8368</v>
      </c>
      <c r="L101" s="5" t="s">
        <v>194</v>
      </c>
      <c r="M101" s="5" t="s">
        <v>195</v>
      </c>
      <c r="N101" s="5" t="s">
        <v>607</v>
      </c>
      <c r="O101" s="5" t="s">
        <v>263</v>
      </c>
      <c r="P101" s="5" t="s">
        <v>200</v>
      </c>
      <c r="Q101" s="5" t="s">
        <v>200</v>
      </c>
      <c r="R101" s="5" t="s">
        <v>199</v>
      </c>
      <c r="S101" s="5" t="s">
        <v>208</v>
      </c>
      <c r="T101" s="5" t="s">
        <v>200</v>
      </c>
      <c r="U101" s="5" t="s">
        <v>203</v>
      </c>
      <c r="V101" s="5" t="s">
        <v>200</v>
      </c>
      <c r="W101" s="5" t="s">
        <v>200</v>
      </c>
      <c r="X101" s="5" t="s">
        <v>200</v>
      </c>
      <c r="Y101" s="5" t="s">
        <v>200</v>
      </c>
      <c r="Z101" s="5" t="s">
        <v>208</v>
      </c>
      <c r="AA101" s="5" t="s">
        <v>200</v>
      </c>
      <c r="AB101" s="5" t="s">
        <v>200</v>
      </c>
      <c r="AC101" s="5" t="s">
        <v>200</v>
      </c>
      <c r="AD101" s="5" t="s">
        <v>201</v>
      </c>
      <c r="AE101" s="5" t="s">
        <v>625</v>
      </c>
      <c r="AF101" s="5" t="s">
        <v>206</v>
      </c>
      <c r="AG101" s="5" t="s">
        <v>198</v>
      </c>
      <c r="AH101" s="5" t="s">
        <v>200</v>
      </c>
      <c r="AI101" s="5" t="s">
        <v>198</v>
      </c>
      <c r="AJ101" s="5" t="s">
        <v>201</v>
      </c>
      <c r="AK101" s="5" t="s">
        <v>202</v>
      </c>
      <c r="AL101" s="5" t="s">
        <v>202</v>
      </c>
      <c r="AM101" s="5" t="s">
        <v>626</v>
      </c>
      <c r="AN101" s="5" t="s">
        <v>206</v>
      </c>
      <c r="AO101" s="5" t="s">
        <v>200</v>
      </c>
      <c r="AP101" s="5" t="s">
        <v>200</v>
      </c>
      <c r="AQ101" s="5" t="s">
        <v>208</v>
      </c>
      <c r="AR101" s="5" t="s">
        <v>202</v>
      </c>
      <c r="AS101" s="5" t="s">
        <v>208</v>
      </c>
      <c r="AT101" s="5" t="s">
        <v>201</v>
      </c>
      <c r="AU101" s="5" t="s">
        <v>198</v>
      </c>
      <c r="AV101" s="5" t="s">
        <v>627</v>
      </c>
    </row>
    <row r="102">
      <c r="A102" s="7">
        <v>45869.209027777775</v>
      </c>
      <c r="B102" s="7">
        <v>45869.21388888889</v>
      </c>
      <c r="C102" s="5" t="s">
        <v>99</v>
      </c>
      <c r="D102" s="5" t="s">
        <v>383</v>
      </c>
      <c r="E102" s="8">
        <v>100.0</v>
      </c>
      <c r="F102" s="8">
        <v>417.0</v>
      </c>
      <c r="G102" s="9" t="b">
        <v>1</v>
      </c>
      <c r="H102" s="7">
        <v>45869.21388888889</v>
      </c>
      <c r="I102" s="5" t="s">
        <v>628</v>
      </c>
      <c r="J102" s="8">
        <v>60.1816</v>
      </c>
      <c r="K102" s="8">
        <v>24.8368</v>
      </c>
      <c r="L102" s="5" t="s">
        <v>194</v>
      </c>
      <c r="M102" s="5" t="s">
        <v>195</v>
      </c>
      <c r="N102" s="5" t="s">
        <v>595</v>
      </c>
      <c r="O102" s="5" t="s">
        <v>197</v>
      </c>
      <c r="P102" s="5" t="s">
        <v>202</v>
      </c>
      <c r="Q102" s="5" t="s">
        <v>202</v>
      </c>
      <c r="R102" s="5" t="s">
        <v>199</v>
      </c>
      <c r="S102" s="5" t="s">
        <v>200</v>
      </c>
      <c r="T102" s="5" t="s">
        <v>200</v>
      </c>
      <c r="U102" s="5" t="s">
        <v>198</v>
      </c>
      <c r="V102" s="5" t="s">
        <v>202</v>
      </c>
      <c r="W102" s="5" t="s">
        <v>202</v>
      </c>
      <c r="X102" s="5" t="s">
        <v>202</v>
      </c>
      <c r="Y102" s="5" t="s">
        <v>198</v>
      </c>
      <c r="Z102" s="5" t="s">
        <v>202</v>
      </c>
      <c r="AA102" s="5" t="s">
        <v>202</v>
      </c>
      <c r="AB102" s="5" t="s">
        <v>198</v>
      </c>
      <c r="AC102" s="5" t="s">
        <v>200</v>
      </c>
      <c r="AD102" s="5" t="s">
        <v>198</v>
      </c>
      <c r="AE102" s="5" t="s">
        <v>413</v>
      </c>
      <c r="AF102" s="5" t="s">
        <v>206</v>
      </c>
      <c r="AG102" s="5" t="s">
        <v>202</v>
      </c>
      <c r="AH102" s="5" t="s">
        <v>202</v>
      </c>
      <c r="AI102" s="5" t="s">
        <v>202</v>
      </c>
      <c r="AJ102" s="5" t="s">
        <v>202</v>
      </c>
      <c r="AK102" s="5" t="s">
        <v>202</v>
      </c>
      <c r="AL102" s="5" t="s">
        <v>202</v>
      </c>
      <c r="AM102" s="5" t="s">
        <v>413</v>
      </c>
      <c r="AN102" s="5" t="s">
        <v>206</v>
      </c>
      <c r="AO102" s="5" t="s">
        <v>202</v>
      </c>
      <c r="AP102" s="5" t="s">
        <v>200</v>
      </c>
      <c r="AQ102" s="5" t="s">
        <v>200</v>
      </c>
      <c r="AR102" s="5" t="s">
        <v>198</v>
      </c>
      <c r="AS102" s="5" t="s">
        <v>198</v>
      </c>
      <c r="AT102" s="5" t="s">
        <v>200</v>
      </c>
      <c r="AU102" s="5" t="s">
        <v>203</v>
      </c>
      <c r="AV102" s="5" t="s">
        <v>413</v>
      </c>
    </row>
    <row r="103">
      <c r="A103" s="7">
        <v>45869.205555555556</v>
      </c>
      <c r="B103" s="7">
        <v>45869.217361111114</v>
      </c>
      <c r="C103" s="5" t="s">
        <v>99</v>
      </c>
      <c r="D103" s="5" t="s">
        <v>389</v>
      </c>
      <c r="E103" s="8">
        <v>100.0</v>
      </c>
      <c r="F103" s="8">
        <v>1053.0</v>
      </c>
      <c r="G103" s="9" t="b">
        <v>1</v>
      </c>
      <c r="H103" s="7">
        <v>45869.217361111114</v>
      </c>
      <c r="I103" s="5" t="s">
        <v>629</v>
      </c>
      <c r="J103" s="8">
        <v>60.1816</v>
      </c>
      <c r="K103" s="8">
        <v>24.8368</v>
      </c>
      <c r="L103" s="5" t="s">
        <v>194</v>
      </c>
      <c r="M103" s="5" t="s">
        <v>195</v>
      </c>
      <c r="N103" s="5" t="s">
        <v>602</v>
      </c>
      <c r="O103" s="5" t="s">
        <v>216</v>
      </c>
      <c r="P103" s="5" t="s">
        <v>198</v>
      </c>
      <c r="Q103" s="5" t="s">
        <v>208</v>
      </c>
      <c r="R103" s="5" t="s">
        <v>199</v>
      </c>
      <c r="S103" s="5" t="s">
        <v>202</v>
      </c>
      <c r="T103" s="5" t="s">
        <v>200</v>
      </c>
      <c r="U103" s="5" t="s">
        <v>208</v>
      </c>
      <c r="V103" s="5" t="s">
        <v>208</v>
      </c>
      <c r="W103" s="5" t="s">
        <v>200</v>
      </c>
      <c r="X103" s="5" t="s">
        <v>200</v>
      </c>
      <c r="Y103" s="5" t="s">
        <v>200</v>
      </c>
      <c r="Z103" s="5" t="s">
        <v>202</v>
      </c>
      <c r="AA103" s="5" t="s">
        <v>208</v>
      </c>
      <c r="AB103" s="5" t="s">
        <v>208</v>
      </c>
      <c r="AC103" s="5" t="s">
        <v>198</v>
      </c>
      <c r="AD103" s="5" t="s">
        <v>202</v>
      </c>
      <c r="AE103" s="5" t="s">
        <v>630</v>
      </c>
      <c r="AF103" s="5" t="s">
        <v>206</v>
      </c>
      <c r="AG103" s="5" t="s">
        <v>200</v>
      </c>
      <c r="AH103" s="5" t="s">
        <v>198</v>
      </c>
      <c r="AI103" s="5" t="s">
        <v>198</v>
      </c>
      <c r="AJ103" s="5" t="s">
        <v>208</v>
      </c>
      <c r="AK103" s="5" t="s">
        <v>208</v>
      </c>
      <c r="AL103" s="5" t="s">
        <v>208</v>
      </c>
      <c r="AM103" s="5" t="s">
        <v>631</v>
      </c>
      <c r="AN103" s="5" t="s">
        <v>206</v>
      </c>
      <c r="AO103" s="5" t="s">
        <v>200</v>
      </c>
      <c r="AP103" s="5" t="s">
        <v>202</v>
      </c>
      <c r="AQ103" s="5" t="s">
        <v>198</v>
      </c>
      <c r="AR103" s="5" t="s">
        <v>204</v>
      </c>
      <c r="AS103" s="5" t="s">
        <v>204</v>
      </c>
      <c r="AT103" s="5" t="s">
        <v>204</v>
      </c>
      <c r="AU103" s="5" t="s">
        <v>204</v>
      </c>
      <c r="AV103" s="5" t="s">
        <v>632</v>
      </c>
    </row>
    <row r="104">
      <c r="A104" s="7">
        <v>45869.21388888889</v>
      </c>
      <c r="B104" s="7">
        <v>45869.21805555555</v>
      </c>
      <c r="C104" s="5" t="s">
        <v>99</v>
      </c>
      <c r="D104" s="5" t="s">
        <v>490</v>
      </c>
      <c r="E104" s="8">
        <v>100.0</v>
      </c>
      <c r="F104" s="8">
        <v>315.0</v>
      </c>
      <c r="G104" s="9" t="b">
        <v>1</v>
      </c>
      <c r="H104" s="7">
        <v>45869.21805555555</v>
      </c>
      <c r="I104" s="5" t="s">
        <v>633</v>
      </c>
      <c r="J104" s="8">
        <v>60.1816</v>
      </c>
      <c r="K104" s="8">
        <v>24.8368</v>
      </c>
      <c r="L104" s="5" t="s">
        <v>194</v>
      </c>
      <c r="M104" s="5" t="s">
        <v>195</v>
      </c>
      <c r="N104" s="5" t="s">
        <v>634</v>
      </c>
      <c r="O104" s="5" t="s">
        <v>216</v>
      </c>
      <c r="P104" s="5" t="s">
        <v>208</v>
      </c>
      <c r="Q104" s="5" t="s">
        <v>204</v>
      </c>
      <c r="R104" s="5" t="s">
        <v>199</v>
      </c>
      <c r="S104" s="5" t="s">
        <v>203</v>
      </c>
      <c r="T104" s="5" t="s">
        <v>203</v>
      </c>
      <c r="U104" s="5" t="s">
        <v>204</v>
      </c>
      <c r="V104" s="5" t="s">
        <v>204</v>
      </c>
      <c r="W104" s="5" t="s">
        <v>204</v>
      </c>
      <c r="X104" s="5" t="s">
        <v>200</v>
      </c>
      <c r="Y104" s="5" t="s">
        <v>202</v>
      </c>
      <c r="Z104" s="5" t="s">
        <v>202</v>
      </c>
      <c r="AA104" s="5" t="s">
        <v>208</v>
      </c>
      <c r="AB104" s="5" t="s">
        <v>208</v>
      </c>
      <c r="AC104" s="5" t="s">
        <v>203</v>
      </c>
      <c r="AD104" s="5" t="s">
        <v>201</v>
      </c>
      <c r="AE104" s="5" t="s">
        <v>635</v>
      </c>
      <c r="AF104" s="5" t="s">
        <v>206</v>
      </c>
      <c r="AG104" s="5" t="s">
        <v>203</v>
      </c>
      <c r="AH104" s="5" t="s">
        <v>200</v>
      </c>
      <c r="AI104" s="5" t="s">
        <v>200</v>
      </c>
      <c r="AJ104" s="5" t="s">
        <v>200</v>
      </c>
      <c r="AK104" s="5" t="s">
        <v>203</v>
      </c>
      <c r="AL104" s="5" t="s">
        <v>200</v>
      </c>
      <c r="AM104" s="5" t="s">
        <v>636</v>
      </c>
      <c r="AN104" s="5" t="s">
        <v>206</v>
      </c>
      <c r="AO104" s="5" t="s">
        <v>202</v>
      </c>
      <c r="AP104" s="5" t="s">
        <v>202</v>
      </c>
      <c r="AQ104" s="5" t="s">
        <v>202</v>
      </c>
      <c r="AR104" s="5" t="s">
        <v>200</v>
      </c>
      <c r="AS104" s="5" t="s">
        <v>208</v>
      </c>
      <c r="AT104" s="5" t="s">
        <v>198</v>
      </c>
      <c r="AU104" s="5" t="s">
        <v>208</v>
      </c>
      <c r="AV104" s="5" t="s">
        <v>637</v>
      </c>
    </row>
    <row r="105">
      <c r="A105" s="7">
        <v>45869.21527777778</v>
      </c>
      <c r="B105" s="7">
        <v>45869.22083333333</v>
      </c>
      <c r="C105" s="5" t="s">
        <v>99</v>
      </c>
      <c r="D105" s="5" t="s">
        <v>529</v>
      </c>
      <c r="E105" s="8">
        <v>100.0</v>
      </c>
      <c r="F105" s="8">
        <v>494.0</v>
      </c>
      <c r="G105" s="9" t="b">
        <v>1</v>
      </c>
      <c r="H105" s="7">
        <v>45869.22083333333</v>
      </c>
      <c r="I105" s="5" t="s">
        <v>638</v>
      </c>
      <c r="J105" s="8">
        <v>60.1816</v>
      </c>
      <c r="K105" s="8">
        <v>24.8368</v>
      </c>
      <c r="L105" s="5" t="s">
        <v>194</v>
      </c>
      <c r="M105" s="5" t="s">
        <v>195</v>
      </c>
      <c r="N105" s="5" t="s">
        <v>607</v>
      </c>
      <c r="O105" s="5" t="s">
        <v>197</v>
      </c>
      <c r="P105" s="5" t="s">
        <v>203</v>
      </c>
      <c r="Q105" s="5" t="s">
        <v>204</v>
      </c>
      <c r="R105" s="5" t="s">
        <v>199</v>
      </c>
      <c r="S105" s="5" t="s">
        <v>204</v>
      </c>
      <c r="T105" s="5" t="s">
        <v>204</v>
      </c>
      <c r="U105" s="5" t="s">
        <v>204</v>
      </c>
      <c r="V105" s="5" t="s">
        <v>203</v>
      </c>
      <c r="W105" s="5" t="s">
        <v>204</v>
      </c>
      <c r="X105" s="5" t="s">
        <v>203</v>
      </c>
      <c r="Y105" s="5" t="s">
        <v>204</v>
      </c>
      <c r="Z105" s="5" t="s">
        <v>204</v>
      </c>
      <c r="AA105" s="5" t="s">
        <v>203</v>
      </c>
      <c r="AB105" s="5" t="s">
        <v>204</v>
      </c>
      <c r="AC105" s="5" t="s">
        <v>204</v>
      </c>
      <c r="AD105" s="5" t="s">
        <v>204</v>
      </c>
      <c r="AE105" s="5" t="s">
        <v>639</v>
      </c>
      <c r="AF105" s="5" t="s">
        <v>206</v>
      </c>
      <c r="AG105" s="5" t="s">
        <v>204</v>
      </c>
      <c r="AH105" s="5" t="s">
        <v>204</v>
      </c>
      <c r="AI105" s="5" t="s">
        <v>204</v>
      </c>
      <c r="AJ105" s="5" t="s">
        <v>203</v>
      </c>
      <c r="AK105" s="5" t="s">
        <v>200</v>
      </c>
      <c r="AL105" s="5" t="s">
        <v>204</v>
      </c>
      <c r="AM105" s="5" t="s">
        <v>640</v>
      </c>
      <c r="AN105" s="5" t="s">
        <v>206</v>
      </c>
      <c r="AO105" s="5" t="s">
        <v>204</v>
      </c>
      <c r="AP105" s="5" t="s">
        <v>204</v>
      </c>
      <c r="AQ105" s="5" t="s">
        <v>204</v>
      </c>
      <c r="AR105" s="5" t="s">
        <v>200</v>
      </c>
      <c r="AS105" s="5" t="s">
        <v>203</v>
      </c>
      <c r="AT105" s="5" t="s">
        <v>201</v>
      </c>
      <c r="AU105" s="5" t="s">
        <v>200</v>
      </c>
      <c r="AV105" s="11" t="s">
        <v>641</v>
      </c>
    </row>
    <row r="106">
      <c r="A106" s="7">
        <v>45869.22361111111</v>
      </c>
      <c r="B106" s="7">
        <v>45869.22777777778</v>
      </c>
      <c r="C106" s="5" t="s">
        <v>99</v>
      </c>
      <c r="D106" s="5" t="s">
        <v>490</v>
      </c>
      <c r="E106" s="8">
        <v>100.0</v>
      </c>
      <c r="F106" s="8">
        <v>359.0</v>
      </c>
      <c r="G106" s="9" t="b">
        <v>1</v>
      </c>
      <c r="H106" s="7">
        <v>45869.22777777778</v>
      </c>
      <c r="I106" s="5" t="s">
        <v>642</v>
      </c>
      <c r="J106" s="8">
        <v>60.1816</v>
      </c>
      <c r="K106" s="8">
        <v>24.8368</v>
      </c>
      <c r="L106" s="5" t="s">
        <v>194</v>
      </c>
      <c r="M106" s="5" t="s">
        <v>195</v>
      </c>
      <c r="N106" s="5" t="s">
        <v>634</v>
      </c>
      <c r="O106" s="5" t="s">
        <v>211</v>
      </c>
      <c r="P106" s="5" t="s">
        <v>208</v>
      </c>
      <c r="Q106" s="5" t="s">
        <v>208</v>
      </c>
      <c r="R106" s="5" t="s">
        <v>199</v>
      </c>
      <c r="S106" s="5" t="s">
        <v>202</v>
      </c>
      <c r="T106" s="5" t="s">
        <v>202</v>
      </c>
      <c r="U106" s="5" t="s">
        <v>208</v>
      </c>
      <c r="V106" s="5" t="s">
        <v>208</v>
      </c>
      <c r="W106" s="5" t="s">
        <v>198</v>
      </c>
      <c r="X106" s="5" t="s">
        <v>202</v>
      </c>
      <c r="Y106" s="5" t="s">
        <v>202</v>
      </c>
      <c r="Z106" s="5" t="s">
        <v>202</v>
      </c>
      <c r="AA106" s="5" t="s">
        <v>208</v>
      </c>
      <c r="AB106" s="5" t="s">
        <v>200</v>
      </c>
      <c r="AC106" s="5" t="s">
        <v>202</v>
      </c>
      <c r="AD106" s="5" t="s">
        <v>202</v>
      </c>
      <c r="AE106" s="5" t="s">
        <v>643</v>
      </c>
      <c r="AF106" s="5" t="s">
        <v>206</v>
      </c>
      <c r="AG106" s="5" t="s">
        <v>202</v>
      </c>
      <c r="AH106" s="5" t="s">
        <v>201</v>
      </c>
      <c r="AI106" s="5" t="s">
        <v>201</v>
      </c>
      <c r="AJ106" s="5" t="s">
        <v>202</v>
      </c>
      <c r="AK106" s="5" t="s">
        <v>203</v>
      </c>
      <c r="AL106" s="5" t="s">
        <v>202</v>
      </c>
      <c r="AM106" s="5" t="s">
        <v>644</v>
      </c>
      <c r="AN106" s="5" t="s">
        <v>206</v>
      </c>
      <c r="AO106" s="5" t="s">
        <v>202</v>
      </c>
      <c r="AP106" s="5" t="s">
        <v>202</v>
      </c>
      <c r="AQ106" s="5" t="s">
        <v>202</v>
      </c>
      <c r="AR106" s="5" t="s">
        <v>208</v>
      </c>
      <c r="AS106" s="5" t="s">
        <v>208</v>
      </c>
      <c r="AT106" s="5" t="s">
        <v>208</v>
      </c>
      <c r="AU106" s="5" t="s">
        <v>208</v>
      </c>
      <c r="AV106" s="5" t="s">
        <v>645</v>
      </c>
    </row>
    <row r="107">
      <c r="A107" s="7">
        <v>45869.222916666666</v>
      </c>
      <c r="B107" s="7">
        <v>45869.23263888889</v>
      </c>
      <c r="C107" s="5" t="s">
        <v>99</v>
      </c>
      <c r="D107" s="5" t="s">
        <v>389</v>
      </c>
      <c r="E107" s="8">
        <v>100.0</v>
      </c>
      <c r="F107" s="8">
        <v>824.0</v>
      </c>
      <c r="G107" s="9" t="b">
        <v>1</v>
      </c>
      <c r="H107" s="7">
        <v>45869.23263888889</v>
      </c>
      <c r="I107" s="5" t="s">
        <v>646</v>
      </c>
      <c r="J107" s="8">
        <v>60.1816</v>
      </c>
      <c r="K107" s="8">
        <v>24.8368</v>
      </c>
      <c r="L107" s="5" t="s">
        <v>194</v>
      </c>
      <c r="M107" s="5" t="s">
        <v>195</v>
      </c>
      <c r="N107" s="5" t="s">
        <v>602</v>
      </c>
      <c r="O107" s="5" t="s">
        <v>263</v>
      </c>
      <c r="P107" s="5" t="s">
        <v>202</v>
      </c>
      <c r="Q107" s="5" t="s">
        <v>200</v>
      </c>
      <c r="R107" s="5" t="s">
        <v>199</v>
      </c>
      <c r="S107" s="5" t="s">
        <v>202</v>
      </c>
      <c r="T107" s="5" t="s">
        <v>200</v>
      </c>
      <c r="U107" s="5" t="s">
        <v>202</v>
      </c>
      <c r="V107" s="5" t="s">
        <v>208</v>
      </c>
      <c r="W107" s="5" t="s">
        <v>198</v>
      </c>
      <c r="X107" s="5" t="s">
        <v>200</v>
      </c>
      <c r="Y107" s="5" t="s">
        <v>200</v>
      </c>
      <c r="Z107" s="5" t="s">
        <v>202</v>
      </c>
      <c r="AA107" s="5" t="s">
        <v>208</v>
      </c>
      <c r="AB107" s="5" t="s">
        <v>200</v>
      </c>
      <c r="AC107" s="5" t="s">
        <v>200</v>
      </c>
      <c r="AD107" s="5" t="s">
        <v>202</v>
      </c>
      <c r="AE107" s="5" t="s">
        <v>647</v>
      </c>
      <c r="AF107" s="5" t="s">
        <v>206</v>
      </c>
      <c r="AG107" s="5" t="s">
        <v>202</v>
      </c>
      <c r="AH107" s="5" t="s">
        <v>202</v>
      </c>
      <c r="AI107" s="5" t="s">
        <v>202</v>
      </c>
      <c r="AJ107" s="5" t="s">
        <v>200</v>
      </c>
      <c r="AK107" s="5" t="s">
        <v>202</v>
      </c>
      <c r="AL107" s="5" t="s">
        <v>202</v>
      </c>
      <c r="AM107" s="5" t="s">
        <v>648</v>
      </c>
      <c r="AN107" s="5" t="s">
        <v>206</v>
      </c>
      <c r="AO107" s="5" t="s">
        <v>202</v>
      </c>
      <c r="AP107" s="5" t="s">
        <v>202</v>
      </c>
      <c r="AQ107" s="5" t="s">
        <v>202</v>
      </c>
      <c r="AR107" s="5" t="s">
        <v>204</v>
      </c>
      <c r="AS107" s="5" t="s">
        <v>204</v>
      </c>
      <c r="AT107" s="5" t="s">
        <v>204</v>
      </c>
      <c r="AU107" s="5" t="s">
        <v>204</v>
      </c>
      <c r="AV107" s="5" t="s">
        <v>649</v>
      </c>
    </row>
    <row r="108">
      <c r="A108" s="7">
        <v>45869.22708333333</v>
      </c>
      <c r="B108" s="7">
        <v>45869.23402777778</v>
      </c>
      <c r="C108" s="5" t="s">
        <v>99</v>
      </c>
      <c r="D108" s="5" t="s">
        <v>529</v>
      </c>
      <c r="E108" s="8">
        <v>100.0</v>
      </c>
      <c r="F108" s="8">
        <v>567.0</v>
      </c>
      <c r="G108" s="9" t="b">
        <v>1</v>
      </c>
      <c r="H108" s="7">
        <v>45869.23402777778</v>
      </c>
      <c r="I108" s="5" t="s">
        <v>650</v>
      </c>
      <c r="J108" s="8">
        <v>60.1816</v>
      </c>
      <c r="K108" s="8">
        <v>24.8368</v>
      </c>
      <c r="L108" s="5" t="s">
        <v>194</v>
      </c>
      <c r="M108" s="5" t="s">
        <v>195</v>
      </c>
      <c r="N108" s="5" t="s">
        <v>607</v>
      </c>
      <c r="O108" s="5" t="s">
        <v>216</v>
      </c>
      <c r="P108" s="5" t="s">
        <v>198</v>
      </c>
      <c r="Q108" s="5" t="s">
        <v>208</v>
      </c>
      <c r="R108" s="5" t="s">
        <v>199</v>
      </c>
      <c r="S108" s="5" t="s">
        <v>203</v>
      </c>
      <c r="T108" s="5" t="s">
        <v>204</v>
      </c>
      <c r="U108" s="5" t="s">
        <v>204</v>
      </c>
      <c r="V108" s="5" t="s">
        <v>208</v>
      </c>
      <c r="W108" s="5" t="s">
        <v>208</v>
      </c>
      <c r="X108" s="5" t="s">
        <v>200</v>
      </c>
      <c r="Y108" s="5" t="s">
        <v>202</v>
      </c>
      <c r="Z108" s="5" t="s">
        <v>204</v>
      </c>
      <c r="AA108" s="5" t="s">
        <v>200</v>
      </c>
      <c r="AB108" s="5" t="s">
        <v>208</v>
      </c>
      <c r="AC108" s="5" t="s">
        <v>208</v>
      </c>
      <c r="AD108" s="5" t="s">
        <v>204</v>
      </c>
      <c r="AE108" s="5" t="s">
        <v>651</v>
      </c>
      <c r="AF108" s="5" t="s">
        <v>206</v>
      </c>
      <c r="AG108" s="5" t="s">
        <v>200</v>
      </c>
      <c r="AH108" s="5" t="s">
        <v>200</v>
      </c>
      <c r="AI108" s="5" t="s">
        <v>208</v>
      </c>
      <c r="AJ108" s="5" t="s">
        <v>200</v>
      </c>
      <c r="AK108" s="5" t="s">
        <v>208</v>
      </c>
      <c r="AL108" s="5" t="s">
        <v>202</v>
      </c>
      <c r="AM108" s="5" t="s">
        <v>652</v>
      </c>
      <c r="AN108" s="5" t="s">
        <v>206</v>
      </c>
      <c r="AO108" s="5" t="s">
        <v>208</v>
      </c>
      <c r="AP108" s="5" t="s">
        <v>198</v>
      </c>
      <c r="AQ108" s="5" t="s">
        <v>204</v>
      </c>
      <c r="AR108" s="5" t="s">
        <v>204</v>
      </c>
      <c r="AS108" s="5" t="s">
        <v>204</v>
      </c>
      <c r="AT108" s="5" t="s">
        <v>208</v>
      </c>
      <c r="AU108" s="5" t="s">
        <v>204</v>
      </c>
      <c r="AV108" s="5" t="s">
        <v>653</v>
      </c>
    </row>
    <row r="109">
      <c r="A109" s="7">
        <v>45869.23125</v>
      </c>
      <c r="B109" s="7">
        <v>45869.236805555556</v>
      </c>
      <c r="C109" s="5" t="s">
        <v>99</v>
      </c>
      <c r="D109" s="5" t="s">
        <v>490</v>
      </c>
      <c r="E109" s="8">
        <v>100.0</v>
      </c>
      <c r="F109" s="8">
        <v>480.0</v>
      </c>
      <c r="G109" s="9" t="b">
        <v>1</v>
      </c>
      <c r="H109" s="7">
        <v>45869.236805555556</v>
      </c>
      <c r="I109" s="5" t="s">
        <v>654</v>
      </c>
      <c r="J109" s="8">
        <v>60.1816</v>
      </c>
      <c r="K109" s="8">
        <v>24.8368</v>
      </c>
      <c r="L109" s="5" t="s">
        <v>194</v>
      </c>
      <c r="M109" s="5" t="s">
        <v>195</v>
      </c>
      <c r="N109" s="5" t="s">
        <v>655</v>
      </c>
      <c r="O109" s="5" t="s">
        <v>197</v>
      </c>
      <c r="P109" s="5" t="s">
        <v>200</v>
      </c>
      <c r="Q109" s="5" t="s">
        <v>208</v>
      </c>
      <c r="R109" s="5" t="s">
        <v>199</v>
      </c>
      <c r="S109" s="5" t="s">
        <v>203</v>
      </c>
      <c r="T109" s="5" t="s">
        <v>202</v>
      </c>
      <c r="U109" s="5" t="s">
        <v>200</v>
      </c>
      <c r="V109" s="5" t="s">
        <v>208</v>
      </c>
      <c r="W109" s="5" t="s">
        <v>203</v>
      </c>
      <c r="X109" s="5" t="s">
        <v>202</v>
      </c>
      <c r="Y109" s="5" t="s">
        <v>202</v>
      </c>
      <c r="Z109" s="5" t="s">
        <v>202</v>
      </c>
      <c r="AA109" s="5" t="s">
        <v>208</v>
      </c>
      <c r="AB109" s="5" t="s">
        <v>208</v>
      </c>
      <c r="AC109" s="5" t="s">
        <v>202</v>
      </c>
      <c r="AD109" s="5" t="s">
        <v>202</v>
      </c>
      <c r="AE109" s="5" t="s">
        <v>656</v>
      </c>
      <c r="AF109" s="5" t="s">
        <v>206</v>
      </c>
      <c r="AG109" s="5" t="s">
        <v>202</v>
      </c>
      <c r="AH109" s="5" t="s">
        <v>202</v>
      </c>
      <c r="AI109" s="5" t="s">
        <v>202</v>
      </c>
      <c r="AJ109" s="5" t="s">
        <v>202</v>
      </c>
      <c r="AK109" s="5" t="s">
        <v>203</v>
      </c>
      <c r="AL109" s="5" t="s">
        <v>202</v>
      </c>
      <c r="AM109" s="5" t="s">
        <v>657</v>
      </c>
      <c r="AN109" s="5" t="s">
        <v>206</v>
      </c>
      <c r="AO109" s="5" t="s">
        <v>202</v>
      </c>
      <c r="AP109" s="5" t="s">
        <v>201</v>
      </c>
      <c r="AQ109" s="5" t="s">
        <v>202</v>
      </c>
      <c r="AR109" s="5" t="s">
        <v>200</v>
      </c>
      <c r="AS109" s="5" t="s">
        <v>200</v>
      </c>
      <c r="AT109" s="5" t="s">
        <v>200</v>
      </c>
      <c r="AU109" s="5" t="s">
        <v>208</v>
      </c>
      <c r="AV109" s="5" t="s">
        <v>658</v>
      </c>
    </row>
    <row r="110">
      <c r="A110" s="7">
        <v>45869.24444444444</v>
      </c>
      <c r="B110" s="7">
        <v>45869.25069444445</v>
      </c>
      <c r="C110" s="5" t="s">
        <v>99</v>
      </c>
      <c r="D110" s="5" t="s">
        <v>490</v>
      </c>
      <c r="E110" s="8">
        <v>100.0</v>
      </c>
      <c r="F110" s="8">
        <v>539.0</v>
      </c>
      <c r="G110" s="9" t="b">
        <v>1</v>
      </c>
      <c r="H110" s="7">
        <v>45869.25069444445</v>
      </c>
      <c r="I110" s="5" t="s">
        <v>659</v>
      </c>
      <c r="J110" s="8">
        <v>60.1816</v>
      </c>
      <c r="K110" s="8">
        <v>24.8368</v>
      </c>
      <c r="L110" s="5" t="s">
        <v>194</v>
      </c>
      <c r="M110" s="5" t="s">
        <v>195</v>
      </c>
      <c r="N110" s="5" t="s">
        <v>655</v>
      </c>
      <c r="O110" s="5" t="s">
        <v>263</v>
      </c>
      <c r="P110" s="5" t="s">
        <v>200</v>
      </c>
      <c r="Q110" s="5" t="s">
        <v>208</v>
      </c>
      <c r="R110" s="5" t="s">
        <v>199</v>
      </c>
      <c r="S110" s="5" t="s">
        <v>198</v>
      </c>
      <c r="T110" s="5" t="s">
        <v>198</v>
      </c>
      <c r="U110" s="5" t="s">
        <v>203</v>
      </c>
      <c r="V110" s="5" t="s">
        <v>204</v>
      </c>
      <c r="W110" s="5" t="s">
        <v>208</v>
      </c>
      <c r="X110" s="5" t="s">
        <v>203</v>
      </c>
      <c r="Y110" s="5" t="s">
        <v>198</v>
      </c>
      <c r="Z110" s="5" t="s">
        <v>203</v>
      </c>
      <c r="AA110" s="5" t="s">
        <v>204</v>
      </c>
      <c r="AB110" s="5" t="s">
        <v>208</v>
      </c>
      <c r="AC110" s="5" t="s">
        <v>198</v>
      </c>
      <c r="AD110" s="5" t="s">
        <v>202</v>
      </c>
      <c r="AE110" s="5" t="s">
        <v>660</v>
      </c>
      <c r="AF110" s="5" t="s">
        <v>206</v>
      </c>
      <c r="AG110" s="5" t="s">
        <v>203</v>
      </c>
      <c r="AH110" s="5" t="s">
        <v>200</v>
      </c>
      <c r="AI110" s="5" t="s">
        <v>200</v>
      </c>
      <c r="AJ110" s="5" t="s">
        <v>198</v>
      </c>
      <c r="AK110" s="5" t="s">
        <v>203</v>
      </c>
      <c r="AL110" s="5" t="s">
        <v>200</v>
      </c>
      <c r="AM110" s="5" t="s">
        <v>661</v>
      </c>
      <c r="AN110" s="5" t="s">
        <v>206</v>
      </c>
      <c r="AO110" s="5" t="s">
        <v>202</v>
      </c>
      <c r="AP110" s="5" t="s">
        <v>202</v>
      </c>
      <c r="AQ110" s="5" t="s">
        <v>202</v>
      </c>
      <c r="AR110" s="5" t="s">
        <v>200</v>
      </c>
      <c r="AS110" s="5" t="s">
        <v>200</v>
      </c>
      <c r="AT110" s="5" t="s">
        <v>200</v>
      </c>
      <c r="AU110" s="5" t="s">
        <v>208</v>
      </c>
      <c r="AV110" s="5" t="s">
        <v>662</v>
      </c>
    </row>
    <row r="111">
      <c r="A111" s="7">
        <v>45869.240277777775</v>
      </c>
      <c r="B111" s="7">
        <v>45869.25347222222</v>
      </c>
      <c r="C111" s="5" t="s">
        <v>99</v>
      </c>
      <c r="D111" s="5" t="s">
        <v>389</v>
      </c>
      <c r="E111" s="8">
        <v>100.0</v>
      </c>
      <c r="F111" s="8">
        <v>1112.0</v>
      </c>
      <c r="G111" s="9" t="b">
        <v>1</v>
      </c>
      <c r="H111" s="7">
        <v>45869.25347222222</v>
      </c>
      <c r="I111" s="5" t="s">
        <v>663</v>
      </c>
      <c r="J111" s="8">
        <v>60.1816</v>
      </c>
      <c r="K111" s="8">
        <v>24.8368</v>
      </c>
      <c r="L111" s="5" t="s">
        <v>194</v>
      </c>
      <c r="M111" s="5" t="s">
        <v>195</v>
      </c>
      <c r="N111" s="5" t="s">
        <v>664</v>
      </c>
      <c r="O111" s="5" t="s">
        <v>197</v>
      </c>
      <c r="P111" s="5" t="s">
        <v>202</v>
      </c>
      <c r="Q111" s="5" t="s">
        <v>202</v>
      </c>
      <c r="R111" s="5" t="s">
        <v>199</v>
      </c>
      <c r="S111" s="5" t="s">
        <v>200</v>
      </c>
      <c r="T111" s="5" t="s">
        <v>200</v>
      </c>
      <c r="U111" s="5" t="s">
        <v>203</v>
      </c>
      <c r="V111" s="5" t="s">
        <v>200</v>
      </c>
      <c r="W111" s="5" t="s">
        <v>198</v>
      </c>
      <c r="X111" s="5" t="s">
        <v>202</v>
      </c>
      <c r="Y111" s="5" t="s">
        <v>202</v>
      </c>
      <c r="Z111" s="5" t="s">
        <v>200</v>
      </c>
      <c r="AA111" s="5" t="s">
        <v>200</v>
      </c>
      <c r="AB111" s="5" t="s">
        <v>203</v>
      </c>
      <c r="AC111" s="5" t="s">
        <v>202</v>
      </c>
      <c r="AD111" s="5" t="s">
        <v>203</v>
      </c>
      <c r="AE111" s="5" t="s">
        <v>665</v>
      </c>
      <c r="AF111" s="5" t="s">
        <v>206</v>
      </c>
      <c r="AG111" s="5" t="s">
        <v>203</v>
      </c>
      <c r="AH111" s="5" t="s">
        <v>203</v>
      </c>
      <c r="AI111" s="5" t="s">
        <v>200</v>
      </c>
      <c r="AJ111" s="5" t="s">
        <v>198</v>
      </c>
      <c r="AK111" s="5" t="s">
        <v>202</v>
      </c>
      <c r="AL111" s="5" t="s">
        <v>200</v>
      </c>
      <c r="AM111" s="5" t="s">
        <v>666</v>
      </c>
      <c r="AN111" s="5" t="s">
        <v>206</v>
      </c>
      <c r="AO111" s="5" t="s">
        <v>203</v>
      </c>
      <c r="AP111" s="5" t="s">
        <v>200</v>
      </c>
      <c r="AQ111" s="5" t="s">
        <v>201</v>
      </c>
      <c r="AR111" s="5" t="s">
        <v>204</v>
      </c>
      <c r="AS111" s="5" t="s">
        <v>204</v>
      </c>
      <c r="AT111" s="5" t="s">
        <v>208</v>
      </c>
      <c r="AU111" s="5" t="s">
        <v>204</v>
      </c>
      <c r="AV111" s="5" t="s">
        <v>667</v>
      </c>
    </row>
    <row r="112">
      <c r="A112" s="7">
        <v>45869.245833333334</v>
      </c>
      <c r="B112" s="7">
        <v>45869.263194444444</v>
      </c>
      <c r="C112" s="5" t="s">
        <v>99</v>
      </c>
      <c r="D112" s="5" t="s">
        <v>529</v>
      </c>
      <c r="E112" s="8">
        <v>100.0</v>
      </c>
      <c r="F112" s="8">
        <v>1458.0</v>
      </c>
      <c r="G112" s="9" t="b">
        <v>1</v>
      </c>
      <c r="H112" s="7">
        <v>45869.263194444444</v>
      </c>
      <c r="I112" s="5" t="s">
        <v>668</v>
      </c>
      <c r="J112" s="8">
        <v>60.1816</v>
      </c>
      <c r="K112" s="8">
        <v>24.8368</v>
      </c>
      <c r="L112" s="5" t="s">
        <v>194</v>
      </c>
      <c r="M112" s="5" t="s">
        <v>195</v>
      </c>
      <c r="N112" s="5" t="s">
        <v>669</v>
      </c>
      <c r="O112" s="5" t="s">
        <v>211</v>
      </c>
      <c r="P112" s="5" t="s">
        <v>200</v>
      </c>
      <c r="Q112" s="5" t="s">
        <v>201</v>
      </c>
      <c r="R112" s="5" t="s">
        <v>199</v>
      </c>
      <c r="S112" s="5" t="s">
        <v>202</v>
      </c>
      <c r="T112" s="5" t="s">
        <v>202</v>
      </c>
      <c r="U112" s="5" t="s">
        <v>208</v>
      </c>
      <c r="V112" s="5" t="s">
        <v>201</v>
      </c>
      <c r="W112" s="5" t="s">
        <v>201</v>
      </c>
      <c r="X112" s="5" t="s">
        <v>202</v>
      </c>
      <c r="Y112" s="5" t="s">
        <v>202</v>
      </c>
      <c r="Z112" s="5" t="s">
        <v>203</v>
      </c>
      <c r="AA112" s="5" t="s">
        <v>198</v>
      </c>
      <c r="AB112" s="5" t="s">
        <v>203</v>
      </c>
      <c r="AC112" s="5" t="s">
        <v>201</v>
      </c>
      <c r="AD112" s="5" t="s">
        <v>200</v>
      </c>
      <c r="AE112" s="5" t="s">
        <v>670</v>
      </c>
      <c r="AF112" s="5" t="s">
        <v>206</v>
      </c>
      <c r="AG112" s="5" t="s">
        <v>203</v>
      </c>
      <c r="AH112" s="5" t="s">
        <v>201</v>
      </c>
      <c r="AI112" s="5" t="s">
        <v>202</v>
      </c>
      <c r="AJ112" s="5" t="s">
        <v>201</v>
      </c>
      <c r="AK112" s="5" t="s">
        <v>202</v>
      </c>
      <c r="AL112" s="5" t="s">
        <v>201</v>
      </c>
      <c r="AM112" s="5" t="s">
        <v>671</v>
      </c>
      <c r="AN112" s="5" t="s">
        <v>206</v>
      </c>
      <c r="AO112" s="5" t="s">
        <v>201</v>
      </c>
      <c r="AP112" s="5" t="s">
        <v>198</v>
      </c>
      <c r="AQ112" s="5" t="s">
        <v>202</v>
      </c>
      <c r="AR112" s="5" t="s">
        <v>204</v>
      </c>
      <c r="AS112" s="5" t="s">
        <v>204</v>
      </c>
      <c r="AT112" s="5" t="s">
        <v>204</v>
      </c>
      <c r="AU112" s="5" t="s">
        <v>204</v>
      </c>
      <c r="AV112" s="5" t="s">
        <v>672</v>
      </c>
    </row>
    <row r="113">
      <c r="A113" s="7">
        <v>45869.25833333333</v>
      </c>
      <c r="B113" s="7">
        <v>45869.268055555556</v>
      </c>
      <c r="C113" s="5" t="s">
        <v>99</v>
      </c>
      <c r="D113" s="5" t="s">
        <v>389</v>
      </c>
      <c r="E113" s="8">
        <v>100.0</v>
      </c>
      <c r="F113" s="8">
        <v>841.0</v>
      </c>
      <c r="G113" s="9" t="b">
        <v>1</v>
      </c>
      <c r="H113" s="7">
        <v>45869.268055555556</v>
      </c>
      <c r="I113" s="5" t="s">
        <v>673</v>
      </c>
      <c r="J113" s="8">
        <v>60.1816</v>
      </c>
      <c r="K113" s="8">
        <v>24.8368</v>
      </c>
      <c r="L113" s="5" t="s">
        <v>194</v>
      </c>
      <c r="M113" s="5" t="s">
        <v>195</v>
      </c>
      <c r="N113" s="5" t="s">
        <v>674</v>
      </c>
      <c r="O113" s="5" t="s">
        <v>211</v>
      </c>
      <c r="P113" s="5" t="s">
        <v>198</v>
      </c>
      <c r="Q113" s="5" t="s">
        <v>200</v>
      </c>
      <c r="R113" s="5" t="s">
        <v>199</v>
      </c>
      <c r="S113" s="5" t="s">
        <v>202</v>
      </c>
      <c r="T113" s="5" t="s">
        <v>202</v>
      </c>
      <c r="U113" s="5" t="s">
        <v>203</v>
      </c>
      <c r="V113" s="5" t="s">
        <v>200</v>
      </c>
      <c r="W113" s="5" t="s">
        <v>200</v>
      </c>
      <c r="X113" s="5" t="s">
        <v>202</v>
      </c>
      <c r="Y113" s="5" t="s">
        <v>202</v>
      </c>
      <c r="Z113" s="5" t="s">
        <v>203</v>
      </c>
      <c r="AA113" s="5" t="s">
        <v>203</v>
      </c>
      <c r="AB113" s="5" t="s">
        <v>200</v>
      </c>
      <c r="AC113" s="5" t="s">
        <v>202</v>
      </c>
      <c r="AD113" s="5" t="s">
        <v>200</v>
      </c>
      <c r="AE113" s="5" t="s">
        <v>675</v>
      </c>
      <c r="AF113" s="5" t="s">
        <v>206</v>
      </c>
      <c r="AG113" s="5" t="s">
        <v>200</v>
      </c>
      <c r="AH113" s="5" t="s">
        <v>202</v>
      </c>
      <c r="AI113" s="5" t="s">
        <v>200</v>
      </c>
      <c r="AJ113" s="5" t="s">
        <v>203</v>
      </c>
      <c r="AK113" s="5" t="s">
        <v>200</v>
      </c>
      <c r="AL113" s="5" t="s">
        <v>200</v>
      </c>
      <c r="AM113" s="5" t="s">
        <v>676</v>
      </c>
      <c r="AN113" s="5" t="s">
        <v>206</v>
      </c>
      <c r="AO113" s="5" t="s">
        <v>202</v>
      </c>
      <c r="AP113" s="5" t="s">
        <v>201</v>
      </c>
      <c r="AQ113" s="5" t="s">
        <v>200</v>
      </c>
      <c r="AR113" s="5" t="s">
        <v>204</v>
      </c>
      <c r="AS113" s="5" t="s">
        <v>198</v>
      </c>
      <c r="AT113" s="5" t="s">
        <v>204</v>
      </c>
      <c r="AU113" s="5" t="s">
        <v>204</v>
      </c>
      <c r="AV113" s="5" t="s">
        <v>677</v>
      </c>
    </row>
    <row r="114">
      <c r="A114" s="7">
        <v>45869.26666666667</v>
      </c>
      <c r="B114" s="7">
        <v>45869.277083333334</v>
      </c>
      <c r="C114" s="5" t="s">
        <v>99</v>
      </c>
      <c r="D114" s="5" t="s">
        <v>383</v>
      </c>
      <c r="E114" s="8">
        <v>100.0</v>
      </c>
      <c r="F114" s="8">
        <v>934.0</v>
      </c>
      <c r="G114" s="9" t="b">
        <v>1</v>
      </c>
      <c r="H114" s="7">
        <v>45869.277083333334</v>
      </c>
      <c r="I114" s="5" t="s">
        <v>678</v>
      </c>
      <c r="J114" s="8">
        <v>60.1816</v>
      </c>
      <c r="K114" s="8">
        <v>24.8368</v>
      </c>
      <c r="L114" s="5" t="s">
        <v>194</v>
      </c>
      <c r="M114" s="5" t="s">
        <v>195</v>
      </c>
      <c r="N114" s="5" t="s">
        <v>679</v>
      </c>
      <c r="O114" s="5" t="s">
        <v>216</v>
      </c>
      <c r="P114" s="5" t="s">
        <v>208</v>
      </c>
      <c r="Q114" s="5" t="s">
        <v>208</v>
      </c>
      <c r="R114" s="5" t="s">
        <v>199</v>
      </c>
      <c r="S114" s="5" t="s">
        <v>203</v>
      </c>
      <c r="T114" s="5" t="s">
        <v>198</v>
      </c>
      <c r="U114" s="5" t="s">
        <v>198</v>
      </c>
      <c r="V114" s="5" t="s">
        <v>204</v>
      </c>
      <c r="W114" s="5" t="s">
        <v>200</v>
      </c>
      <c r="X114" s="5" t="s">
        <v>202</v>
      </c>
      <c r="Y114" s="5" t="s">
        <v>202</v>
      </c>
      <c r="Z114" s="5" t="s">
        <v>198</v>
      </c>
      <c r="AA114" s="5" t="s">
        <v>204</v>
      </c>
      <c r="AB114" s="5" t="s">
        <v>202</v>
      </c>
      <c r="AC114" s="5" t="s">
        <v>200</v>
      </c>
      <c r="AD114" s="5" t="s">
        <v>208</v>
      </c>
      <c r="AE114" s="5" t="s">
        <v>680</v>
      </c>
      <c r="AF114" s="5" t="s">
        <v>206</v>
      </c>
      <c r="AG114" s="5" t="s">
        <v>208</v>
      </c>
      <c r="AH114" s="5" t="s">
        <v>208</v>
      </c>
      <c r="AI114" s="5" t="s">
        <v>198</v>
      </c>
      <c r="AJ114" s="5" t="s">
        <v>208</v>
      </c>
      <c r="AK114" s="5" t="s">
        <v>204</v>
      </c>
      <c r="AL114" s="5" t="s">
        <v>200</v>
      </c>
      <c r="AM114" s="5" t="s">
        <v>681</v>
      </c>
      <c r="AN114" s="5" t="s">
        <v>206</v>
      </c>
      <c r="AO114" s="5" t="s">
        <v>198</v>
      </c>
      <c r="AP114" s="5" t="s">
        <v>200</v>
      </c>
      <c r="AQ114" s="5" t="s">
        <v>208</v>
      </c>
      <c r="AR114" s="5" t="s">
        <v>204</v>
      </c>
      <c r="AS114" s="5" t="s">
        <v>208</v>
      </c>
      <c r="AT114" s="5" t="s">
        <v>204</v>
      </c>
      <c r="AU114" s="5" t="s">
        <v>204</v>
      </c>
      <c r="AV114" s="5" t="s">
        <v>682</v>
      </c>
    </row>
    <row r="115">
      <c r="A115" s="7">
        <v>45869.26875</v>
      </c>
      <c r="B115" s="7">
        <v>45869.27847222222</v>
      </c>
      <c r="C115" s="5" t="s">
        <v>99</v>
      </c>
      <c r="D115" s="5" t="s">
        <v>389</v>
      </c>
      <c r="E115" s="8">
        <v>100.0</v>
      </c>
      <c r="F115" s="8">
        <v>834.0</v>
      </c>
      <c r="G115" s="9" t="b">
        <v>1</v>
      </c>
      <c r="H115" s="7">
        <v>45869.27847222222</v>
      </c>
      <c r="I115" s="5" t="s">
        <v>683</v>
      </c>
      <c r="J115" s="8">
        <v>60.1816</v>
      </c>
      <c r="K115" s="8">
        <v>24.8368</v>
      </c>
      <c r="L115" s="5" t="s">
        <v>194</v>
      </c>
      <c r="M115" s="5" t="s">
        <v>195</v>
      </c>
      <c r="N115" s="5" t="s">
        <v>664</v>
      </c>
      <c r="O115" s="5" t="s">
        <v>216</v>
      </c>
      <c r="P115" s="5" t="s">
        <v>203</v>
      </c>
      <c r="Q115" s="5" t="s">
        <v>208</v>
      </c>
      <c r="R115" s="5" t="s">
        <v>199</v>
      </c>
      <c r="S115" s="5" t="s">
        <v>203</v>
      </c>
      <c r="T115" s="5" t="s">
        <v>200</v>
      </c>
      <c r="U115" s="5" t="s">
        <v>208</v>
      </c>
      <c r="V115" s="5" t="s">
        <v>200</v>
      </c>
      <c r="W115" s="5" t="s">
        <v>203</v>
      </c>
      <c r="X115" s="5" t="s">
        <v>198</v>
      </c>
      <c r="Y115" s="5" t="s">
        <v>203</v>
      </c>
      <c r="Z115" s="5" t="s">
        <v>203</v>
      </c>
      <c r="AA115" s="5" t="s">
        <v>208</v>
      </c>
      <c r="AB115" s="5" t="s">
        <v>200</v>
      </c>
      <c r="AC115" s="5" t="s">
        <v>198</v>
      </c>
      <c r="AD115" s="5" t="s">
        <v>201</v>
      </c>
      <c r="AE115" s="5" t="s">
        <v>413</v>
      </c>
      <c r="AF115" s="5" t="s">
        <v>206</v>
      </c>
      <c r="AG115" s="5" t="s">
        <v>200</v>
      </c>
      <c r="AH115" s="5" t="s">
        <v>202</v>
      </c>
      <c r="AI115" s="5" t="s">
        <v>200</v>
      </c>
      <c r="AJ115" s="5" t="s">
        <v>202</v>
      </c>
      <c r="AK115" s="5" t="s">
        <v>200</v>
      </c>
      <c r="AL115" s="5" t="s">
        <v>202</v>
      </c>
      <c r="AM115" s="5" t="s">
        <v>413</v>
      </c>
      <c r="AN115" s="5" t="s">
        <v>206</v>
      </c>
      <c r="AO115" s="5" t="s">
        <v>202</v>
      </c>
      <c r="AP115" s="5" t="s">
        <v>202</v>
      </c>
      <c r="AQ115" s="5" t="s">
        <v>201</v>
      </c>
      <c r="AR115" s="5" t="s">
        <v>198</v>
      </c>
      <c r="AS115" s="5" t="s">
        <v>204</v>
      </c>
      <c r="AT115" s="5" t="s">
        <v>204</v>
      </c>
      <c r="AU115" s="5" t="s">
        <v>204</v>
      </c>
      <c r="AV115" s="5" t="s">
        <v>413</v>
      </c>
    </row>
    <row r="116">
      <c r="A116" s="7">
        <v>45869.27291666667</v>
      </c>
      <c r="B116" s="7">
        <v>45869.28333333333</v>
      </c>
      <c r="C116" s="5" t="s">
        <v>99</v>
      </c>
      <c r="D116" s="5" t="s">
        <v>529</v>
      </c>
      <c r="E116" s="8">
        <v>100.0</v>
      </c>
      <c r="F116" s="8">
        <v>945.0</v>
      </c>
      <c r="G116" s="9" t="b">
        <v>1</v>
      </c>
      <c r="H116" s="7">
        <v>45869.28333333333</v>
      </c>
      <c r="I116" s="5" t="s">
        <v>684</v>
      </c>
      <c r="J116" s="8">
        <v>60.1816</v>
      </c>
      <c r="K116" s="8">
        <v>24.8368</v>
      </c>
      <c r="L116" s="5" t="s">
        <v>194</v>
      </c>
      <c r="M116" s="5" t="s">
        <v>195</v>
      </c>
      <c r="N116" s="5" t="s">
        <v>669</v>
      </c>
      <c r="O116" s="5" t="s">
        <v>263</v>
      </c>
      <c r="P116" s="5" t="s">
        <v>201</v>
      </c>
      <c r="Q116" s="5" t="s">
        <v>202</v>
      </c>
      <c r="R116" s="5" t="s">
        <v>199</v>
      </c>
      <c r="S116" s="5" t="s">
        <v>201</v>
      </c>
      <c r="T116" s="5" t="s">
        <v>202</v>
      </c>
      <c r="U116" s="5" t="s">
        <v>201</v>
      </c>
      <c r="V116" s="5" t="s">
        <v>202</v>
      </c>
      <c r="W116" s="5" t="s">
        <v>201</v>
      </c>
      <c r="X116" s="5" t="s">
        <v>201</v>
      </c>
      <c r="Y116" s="5" t="s">
        <v>202</v>
      </c>
      <c r="Z116" s="5" t="s">
        <v>201</v>
      </c>
      <c r="AA116" s="5" t="s">
        <v>202</v>
      </c>
      <c r="AB116" s="5" t="s">
        <v>204</v>
      </c>
      <c r="AC116" s="5" t="s">
        <v>201</v>
      </c>
      <c r="AD116" s="5" t="s">
        <v>202</v>
      </c>
      <c r="AE116" s="5" t="s">
        <v>685</v>
      </c>
      <c r="AF116" s="5" t="s">
        <v>206</v>
      </c>
      <c r="AG116" s="5" t="s">
        <v>202</v>
      </c>
      <c r="AH116" s="5" t="s">
        <v>202</v>
      </c>
      <c r="AI116" s="5" t="s">
        <v>202</v>
      </c>
      <c r="AJ116" s="5" t="s">
        <v>201</v>
      </c>
      <c r="AK116" s="5" t="s">
        <v>201</v>
      </c>
      <c r="AL116" s="5" t="s">
        <v>202</v>
      </c>
      <c r="AM116" s="5" t="s">
        <v>686</v>
      </c>
      <c r="AN116" s="5" t="s">
        <v>206</v>
      </c>
      <c r="AO116" s="5" t="s">
        <v>201</v>
      </c>
      <c r="AP116" s="5" t="s">
        <v>202</v>
      </c>
      <c r="AQ116" s="5" t="s">
        <v>201</v>
      </c>
      <c r="AR116" s="5" t="s">
        <v>204</v>
      </c>
      <c r="AS116" s="5" t="s">
        <v>204</v>
      </c>
      <c r="AT116" s="5" t="s">
        <v>204</v>
      </c>
      <c r="AU116" s="5" t="s">
        <v>204</v>
      </c>
      <c r="AV116" s="5" t="s">
        <v>687</v>
      </c>
    </row>
    <row r="117">
      <c r="A117" s="7">
        <v>45869.27638888889</v>
      </c>
      <c r="B117" s="7">
        <v>45869.29513888889</v>
      </c>
      <c r="C117" s="5" t="s">
        <v>99</v>
      </c>
      <c r="D117" s="5" t="s">
        <v>490</v>
      </c>
      <c r="E117" s="8">
        <v>100.0</v>
      </c>
      <c r="F117" s="8">
        <v>1578.0</v>
      </c>
      <c r="G117" s="9" t="b">
        <v>1</v>
      </c>
      <c r="H117" s="7">
        <v>45869.29513888889</v>
      </c>
      <c r="I117" s="5" t="s">
        <v>688</v>
      </c>
      <c r="J117" s="8">
        <v>60.1816</v>
      </c>
      <c r="K117" s="8">
        <v>24.8368</v>
      </c>
      <c r="L117" s="5" t="s">
        <v>194</v>
      </c>
      <c r="M117" s="5" t="s">
        <v>195</v>
      </c>
      <c r="N117" s="5" t="s">
        <v>362</v>
      </c>
      <c r="O117" s="5" t="s">
        <v>211</v>
      </c>
      <c r="P117" s="5" t="s">
        <v>202</v>
      </c>
      <c r="Q117" s="5" t="s">
        <v>201</v>
      </c>
      <c r="R117" s="5" t="s">
        <v>199</v>
      </c>
      <c r="S117" s="5" t="s">
        <v>202</v>
      </c>
      <c r="T117" s="5" t="s">
        <v>202</v>
      </c>
      <c r="U117" s="5" t="s">
        <v>203</v>
      </c>
      <c r="V117" s="5" t="s">
        <v>202</v>
      </c>
      <c r="W117" s="5" t="s">
        <v>200</v>
      </c>
      <c r="X117" s="5" t="s">
        <v>202</v>
      </c>
      <c r="Y117" s="5" t="s">
        <v>201</v>
      </c>
      <c r="Z117" s="5" t="s">
        <v>198</v>
      </c>
      <c r="AA117" s="5" t="s">
        <v>203</v>
      </c>
      <c r="AB117" s="5" t="s">
        <v>203</v>
      </c>
      <c r="AC117" s="5" t="s">
        <v>201</v>
      </c>
      <c r="AD117" s="5" t="s">
        <v>200</v>
      </c>
      <c r="AE117" s="5" t="s">
        <v>689</v>
      </c>
      <c r="AF117" s="5" t="s">
        <v>206</v>
      </c>
      <c r="AG117" s="5" t="s">
        <v>203</v>
      </c>
      <c r="AH117" s="5" t="s">
        <v>202</v>
      </c>
      <c r="AI117" s="5" t="s">
        <v>201</v>
      </c>
      <c r="AJ117" s="5" t="s">
        <v>201</v>
      </c>
      <c r="AK117" s="5" t="s">
        <v>201</v>
      </c>
      <c r="AL117" s="5" t="s">
        <v>200</v>
      </c>
      <c r="AM117" s="5" t="s">
        <v>690</v>
      </c>
      <c r="AN117" s="5" t="s">
        <v>206</v>
      </c>
      <c r="AO117" s="5" t="s">
        <v>201</v>
      </c>
      <c r="AP117" s="5" t="s">
        <v>201</v>
      </c>
      <c r="AQ117" s="5" t="s">
        <v>201</v>
      </c>
      <c r="AR117" s="5" t="s">
        <v>204</v>
      </c>
      <c r="AS117" s="5" t="s">
        <v>204</v>
      </c>
      <c r="AT117" s="5" t="s">
        <v>204</v>
      </c>
      <c r="AU117" s="5" t="s">
        <v>204</v>
      </c>
      <c r="AV117" s="5" t="s">
        <v>691</v>
      </c>
    </row>
    <row r="118">
      <c r="A118" s="7">
        <v>45869.288194444445</v>
      </c>
      <c r="B118" s="7">
        <v>45869.29722222222</v>
      </c>
      <c r="C118" s="5" t="s">
        <v>99</v>
      </c>
      <c r="D118" s="5" t="s">
        <v>529</v>
      </c>
      <c r="E118" s="8">
        <v>100.0</v>
      </c>
      <c r="F118" s="8">
        <v>784.0</v>
      </c>
      <c r="G118" s="9" t="b">
        <v>1</v>
      </c>
      <c r="H118" s="7">
        <v>45869.29722222222</v>
      </c>
      <c r="I118" s="5" t="s">
        <v>692</v>
      </c>
      <c r="J118" s="8">
        <v>60.1816</v>
      </c>
      <c r="K118" s="8">
        <v>24.8368</v>
      </c>
      <c r="L118" s="5" t="s">
        <v>194</v>
      </c>
      <c r="M118" s="5" t="s">
        <v>195</v>
      </c>
      <c r="N118" s="5" t="s">
        <v>669</v>
      </c>
      <c r="O118" s="5" t="s">
        <v>216</v>
      </c>
      <c r="P118" s="5" t="s">
        <v>208</v>
      </c>
      <c r="Q118" s="5" t="s">
        <v>202</v>
      </c>
      <c r="R118" s="5" t="s">
        <v>199</v>
      </c>
      <c r="S118" s="5" t="s">
        <v>201</v>
      </c>
      <c r="T118" s="5" t="s">
        <v>202</v>
      </c>
      <c r="U118" s="5" t="s">
        <v>204</v>
      </c>
      <c r="V118" s="5" t="s">
        <v>201</v>
      </c>
      <c r="W118" s="5" t="s">
        <v>202</v>
      </c>
      <c r="X118" s="5" t="s">
        <v>202</v>
      </c>
      <c r="Y118" s="5" t="s">
        <v>202</v>
      </c>
      <c r="Z118" s="5" t="s">
        <v>201</v>
      </c>
      <c r="AA118" s="5" t="s">
        <v>200</v>
      </c>
      <c r="AB118" s="5" t="s">
        <v>204</v>
      </c>
      <c r="AC118" s="5" t="s">
        <v>202</v>
      </c>
      <c r="AD118" s="5" t="s">
        <v>202</v>
      </c>
      <c r="AE118" s="5" t="s">
        <v>693</v>
      </c>
      <c r="AF118" s="5" t="s">
        <v>206</v>
      </c>
      <c r="AG118" s="5" t="s">
        <v>201</v>
      </c>
      <c r="AH118" s="5" t="s">
        <v>202</v>
      </c>
      <c r="AI118" s="5" t="s">
        <v>201</v>
      </c>
      <c r="AJ118" s="5" t="s">
        <v>201</v>
      </c>
      <c r="AK118" s="5" t="s">
        <v>201</v>
      </c>
      <c r="AL118" s="5" t="s">
        <v>202</v>
      </c>
      <c r="AM118" s="5" t="s">
        <v>694</v>
      </c>
      <c r="AN118" s="5" t="s">
        <v>206</v>
      </c>
      <c r="AO118" s="5" t="s">
        <v>201</v>
      </c>
      <c r="AP118" s="5" t="s">
        <v>201</v>
      </c>
      <c r="AQ118" s="5" t="s">
        <v>202</v>
      </c>
      <c r="AR118" s="5" t="s">
        <v>204</v>
      </c>
      <c r="AS118" s="5" t="s">
        <v>204</v>
      </c>
      <c r="AT118" s="5" t="s">
        <v>204</v>
      </c>
      <c r="AU118" s="5" t="s">
        <v>204</v>
      </c>
      <c r="AV118" s="5" t="s">
        <v>695</v>
      </c>
    </row>
    <row r="119">
      <c r="A119" s="7">
        <v>45869.288194444445</v>
      </c>
      <c r="B119" s="7">
        <v>45869.30069444444</v>
      </c>
      <c r="C119" s="5" t="s">
        <v>99</v>
      </c>
      <c r="D119" s="5" t="s">
        <v>192</v>
      </c>
      <c r="E119" s="8">
        <v>100.0</v>
      </c>
      <c r="F119" s="8">
        <v>1071.0</v>
      </c>
      <c r="G119" s="9" t="b">
        <v>1</v>
      </c>
      <c r="H119" s="7">
        <v>45869.30069444444</v>
      </c>
      <c r="I119" s="5" t="s">
        <v>696</v>
      </c>
      <c r="J119" s="8">
        <v>60.1816</v>
      </c>
      <c r="K119" s="8">
        <v>24.8368</v>
      </c>
      <c r="L119" s="5" t="s">
        <v>194</v>
      </c>
      <c r="M119" s="5" t="s">
        <v>195</v>
      </c>
      <c r="N119" s="5" t="s">
        <v>679</v>
      </c>
      <c r="O119" s="5" t="s">
        <v>197</v>
      </c>
      <c r="P119" s="5" t="s">
        <v>202</v>
      </c>
      <c r="Q119" s="5" t="s">
        <v>208</v>
      </c>
      <c r="R119" s="5" t="s">
        <v>199</v>
      </c>
      <c r="S119" s="5" t="s">
        <v>202</v>
      </c>
      <c r="T119" s="5" t="s">
        <v>202</v>
      </c>
      <c r="U119" s="5" t="s">
        <v>203</v>
      </c>
      <c r="V119" s="5" t="s">
        <v>208</v>
      </c>
      <c r="W119" s="5" t="s">
        <v>200</v>
      </c>
      <c r="X119" s="5" t="s">
        <v>202</v>
      </c>
      <c r="Y119" s="5" t="s">
        <v>202</v>
      </c>
      <c r="Z119" s="5" t="s">
        <v>198</v>
      </c>
      <c r="AA119" s="5" t="s">
        <v>208</v>
      </c>
      <c r="AB119" s="5" t="s">
        <v>203</v>
      </c>
      <c r="AC119" s="5" t="s">
        <v>200</v>
      </c>
      <c r="AD119" s="5" t="s">
        <v>200</v>
      </c>
      <c r="AE119" s="5" t="s">
        <v>697</v>
      </c>
      <c r="AF119" s="5" t="s">
        <v>206</v>
      </c>
      <c r="AG119" s="5" t="s">
        <v>202</v>
      </c>
      <c r="AH119" s="5" t="s">
        <v>202</v>
      </c>
      <c r="AI119" s="5" t="s">
        <v>202</v>
      </c>
      <c r="AJ119" s="5" t="s">
        <v>198</v>
      </c>
      <c r="AK119" s="5" t="s">
        <v>198</v>
      </c>
      <c r="AL119" s="5" t="s">
        <v>202</v>
      </c>
      <c r="AM119" s="5" t="s">
        <v>698</v>
      </c>
      <c r="AN119" s="5" t="s">
        <v>206</v>
      </c>
      <c r="AO119" s="5" t="s">
        <v>202</v>
      </c>
      <c r="AP119" s="5" t="s">
        <v>202</v>
      </c>
      <c r="AQ119" s="5" t="s">
        <v>202</v>
      </c>
      <c r="AR119" s="5" t="s">
        <v>200</v>
      </c>
      <c r="AS119" s="5" t="s">
        <v>203</v>
      </c>
      <c r="AT119" s="5" t="s">
        <v>200</v>
      </c>
      <c r="AU119" s="5" t="s">
        <v>198</v>
      </c>
      <c r="AV119" s="5" t="s">
        <v>699</v>
      </c>
    </row>
    <row r="120">
      <c r="A120" s="7">
        <v>45869.30347222222</v>
      </c>
      <c r="B120" s="7">
        <v>45869.30902777778</v>
      </c>
      <c r="C120" s="5" t="s">
        <v>99</v>
      </c>
      <c r="D120" s="5" t="s">
        <v>389</v>
      </c>
      <c r="E120" s="8">
        <v>100.0</v>
      </c>
      <c r="F120" s="8">
        <v>500.0</v>
      </c>
      <c r="G120" s="9" t="b">
        <v>1</v>
      </c>
      <c r="H120" s="7">
        <v>45869.30902777778</v>
      </c>
      <c r="I120" s="5" t="s">
        <v>700</v>
      </c>
      <c r="J120" s="8">
        <v>60.1816</v>
      </c>
      <c r="K120" s="8">
        <v>24.8368</v>
      </c>
      <c r="L120" s="5" t="s">
        <v>194</v>
      </c>
      <c r="M120" s="5" t="s">
        <v>195</v>
      </c>
      <c r="N120" s="5" t="s">
        <v>679</v>
      </c>
      <c r="O120" s="5" t="s">
        <v>263</v>
      </c>
      <c r="P120" s="5" t="s">
        <v>202</v>
      </c>
      <c r="Q120" s="5" t="s">
        <v>198</v>
      </c>
      <c r="R120" s="5" t="s">
        <v>199</v>
      </c>
      <c r="S120" s="5" t="s">
        <v>202</v>
      </c>
      <c r="T120" s="5" t="s">
        <v>202</v>
      </c>
      <c r="U120" s="5" t="s">
        <v>203</v>
      </c>
      <c r="V120" s="5" t="s">
        <v>208</v>
      </c>
      <c r="W120" s="5" t="s">
        <v>202</v>
      </c>
      <c r="X120" s="5" t="s">
        <v>202</v>
      </c>
      <c r="Y120" s="5" t="s">
        <v>202</v>
      </c>
      <c r="Z120" s="5" t="s">
        <v>202</v>
      </c>
      <c r="AA120" s="5" t="s">
        <v>198</v>
      </c>
      <c r="AB120" s="5" t="s">
        <v>202</v>
      </c>
      <c r="AC120" s="5" t="s">
        <v>202</v>
      </c>
      <c r="AD120" s="5" t="s">
        <v>202</v>
      </c>
      <c r="AE120" s="5" t="s">
        <v>701</v>
      </c>
      <c r="AF120" s="5" t="s">
        <v>206</v>
      </c>
      <c r="AG120" s="5" t="s">
        <v>202</v>
      </c>
      <c r="AH120" s="5" t="s">
        <v>202</v>
      </c>
      <c r="AI120" s="5" t="s">
        <v>202</v>
      </c>
      <c r="AJ120" s="5" t="s">
        <v>198</v>
      </c>
      <c r="AK120" s="5" t="s">
        <v>198</v>
      </c>
      <c r="AL120" s="5" t="s">
        <v>202</v>
      </c>
      <c r="AM120" s="5" t="s">
        <v>702</v>
      </c>
      <c r="AN120" s="5" t="s">
        <v>206</v>
      </c>
      <c r="AO120" s="5" t="s">
        <v>202</v>
      </c>
      <c r="AP120" s="5" t="s">
        <v>202</v>
      </c>
      <c r="AQ120" s="5" t="s">
        <v>202</v>
      </c>
      <c r="AR120" s="5" t="s">
        <v>200</v>
      </c>
      <c r="AS120" s="5" t="s">
        <v>203</v>
      </c>
      <c r="AT120" s="5" t="s">
        <v>200</v>
      </c>
      <c r="AU120" s="5" t="s">
        <v>198</v>
      </c>
      <c r="AV120" s="5" t="s">
        <v>703</v>
      </c>
    </row>
    <row r="121">
      <c r="A121" s="7">
        <v>45869.30069444444</v>
      </c>
      <c r="B121" s="7">
        <v>45869.31805555556</v>
      </c>
      <c r="C121" s="5" t="s">
        <v>99</v>
      </c>
      <c r="D121" s="5" t="s">
        <v>490</v>
      </c>
      <c r="E121" s="8">
        <v>100.0</v>
      </c>
      <c r="F121" s="8">
        <v>1459.0</v>
      </c>
      <c r="G121" s="9" t="b">
        <v>1</v>
      </c>
      <c r="H121" s="7">
        <v>45869.31805555556</v>
      </c>
      <c r="I121" s="5" t="s">
        <v>704</v>
      </c>
      <c r="J121" s="8">
        <v>60.1816</v>
      </c>
      <c r="K121" s="8">
        <v>24.8368</v>
      </c>
      <c r="L121" s="5" t="s">
        <v>194</v>
      </c>
      <c r="M121" s="5" t="s">
        <v>195</v>
      </c>
      <c r="N121" s="5" t="s">
        <v>362</v>
      </c>
      <c r="O121" s="5" t="s">
        <v>197</v>
      </c>
      <c r="P121" s="5" t="s">
        <v>202</v>
      </c>
      <c r="Q121" s="5" t="s">
        <v>202</v>
      </c>
      <c r="R121" s="5" t="s">
        <v>199</v>
      </c>
      <c r="S121" s="5" t="s">
        <v>202</v>
      </c>
      <c r="T121" s="5" t="s">
        <v>200</v>
      </c>
      <c r="U121" s="5" t="s">
        <v>202</v>
      </c>
      <c r="V121" s="5" t="s">
        <v>202</v>
      </c>
      <c r="W121" s="5" t="s">
        <v>202</v>
      </c>
      <c r="X121" s="5" t="s">
        <v>201</v>
      </c>
      <c r="Y121" s="5" t="s">
        <v>201</v>
      </c>
      <c r="Z121" s="5" t="s">
        <v>201</v>
      </c>
      <c r="AA121" s="5" t="s">
        <v>203</v>
      </c>
      <c r="AB121" s="5" t="s">
        <v>198</v>
      </c>
      <c r="AC121" s="5" t="s">
        <v>201</v>
      </c>
      <c r="AD121" s="5" t="s">
        <v>200</v>
      </c>
      <c r="AE121" s="5" t="s">
        <v>705</v>
      </c>
      <c r="AF121" s="5" t="s">
        <v>206</v>
      </c>
      <c r="AG121" s="5" t="s">
        <v>202</v>
      </c>
      <c r="AH121" s="5" t="s">
        <v>202</v>
      </c>
      <c r="AI121" s="5" t="s">
        <v>201</v>
      </c>
      <c r="AJ121" s="5" t="s">
        <v>202</v>
      </c>
      <c r="AK121" s="5" t="s">
        <v>202</v>
      </c>
      <c r="AL121" s="5" t="s">
        <v>203</v>
      </c>
      <c r="AM121" s="5" t="s">
        <v>706</v>
      </c>
      <c r="AN121" s="5" t="s">
        <v>206</v>
      </c>
      <c r="AO121" s="5" t="s">
        <v>201</v>
      </c>
      <c r="AP121" s="5" t="s">
        <v>200</v>
      </c>
      <c r="AQ121" s="5" t="s">
        <v>200</v>
      </c>
      <c r="AR121" s="5" t="s">
        <v>208</v>
      </c>
      <c r="AS121" s="5" t="s">
        <v>204</v>
      </c>
      <c r="AT121" s="5" t="s">
        <v>204</v>
      </c>
      <c r="AU121" s="5" t="s">
        <v>198</v>
      </c>
      <c r="AV121" s="5" t="s">
        <v>707</v>
      </c>
    </row>
    <row r="122">
      <c r="A122" s="7">
        <v>45869.30694444444</v>
      </c>
      <c r="B122" s="7">
        <v>45869.31805555556</v>
      </c>
      <c r="C122" s="5" t="s">
        <v>99</v>
      </c>
      <c r="D122" s="5" t="s">
        <v>529</v>
      </c>
      <c r="E122" s="8">
        <v>100.0</v>
      </c>
      <c r="F122" s="8">
        <v>967.0</v>
      </c>
      <c r="G122" s="9" t="b">
        <v>1</v>
      </c>
      <c r="H122" s="7">
        <v>45869.31805555556</v>
      </c>
      <c r="I122" s="5" t="s">
        <v>708</v>
      </c>
      <c r="J122" s="8">
        <v>60.1816</v>
      </c>
      <c r="K122" s="8">
        <v>24.8368</v>
      </c>
      <c r="L122" s="5" t="s">
        <v>194</v>
      </c>
      <c r="M122" s="5" t="s">
        <v>195</v>
      </c>
      <c r="N122" s="5" t="s">
        <v>669</v>
      </c>
      <c r="O122" s="5" t="s">
        <v>197</v>
      </c>
      <c r="P122" s="5" t="s">
        <v>201</v>
      </c>
      <c r="Q122" s="5" t="s">
        <v>201</v>
      </c>
      <c r="R122" s="5" t="s">
        <v>199</v>
      </c>
      <c r="S122" s="5" t="s">
        <v>198</v>
      </c>
      <c r="T122" s="5" t="s">
        <v>202</v>
      </c>
      <c r="U122" s="5" t="s">
        <v>201</v>
      </c>
      <c r="V122" s="5" t="s">
        <v>201</v>
      </c>
      <c r="W122" s="5" t="s">
        <v>202</v>
      </c>
      <c r="X122" s="5" t="s">
        <v>202</v>
      </c>
      <c r="Y122" s="5" t="s">
        <v>202</v>
      </c>
      <c r="Z122" s="5" t="s">
        <v>198</v>
      </c>
      <c r="AA122" s="5" t="s">
        <v>202</v>
      </c>
      <c r="AB122" s="5" t="s">
        <v>204</v>
      </c>
      <c r="AC122" s="5" t="s">
        <v>202</v>
      </c>
      <c r="AD122" s="5" t="s">
        <v>200</v>
      </c>
      <c r="AE122" s="5" t="s">
        <v>709</v>
      </c>
      <c r="AF122" s="5" t="s">
        <v>206</v>
      </c>
      <c r="AG122" s="5" t="s">
        <v>202</v>
      </c>
      <c r="AH122" s="5" t="s">
        <v>202</v>
      </c>
      <c r="AI122" s="5" t="s">
        <v>198</v>
      </c>
      <c r="AJ122" s="5" t="s">
        <v>201</v>
      </c>
      <c r="AK122" s="5" t="s">
        <v>201</v>
      </c>
      <c r="AL122" s="5" t="s">
        <v>201</v>
      </c>
      <c r="AM122" s="5" t="s">
        <v>710</v>
      </c>
      <c r="AN122" s="5" t="s">
        <v>206</v>
      </c>
      <c r="AO122" s="5" t="s">
        <v>201</v>
      </c>
      <c r="AP122" s="5" t="s">
        <v>201</v>
      </c>
      <c r="AQ122" s="5" t="s">
        <v>201</v>
      </c>
      <c r="AR122" s="5" t="s">
        <v>204</v>
      </c>
      <c r="AS122" s="5" t="s">
        <v>204</v>
      </c>
      <c r="AT122" s="5" t="s">
        <v>204</v>
      </c>
      <c r="AU122" s="5" t="s">
        <v>204</v>
      </c>
      <c r="AV122" s="5" t="s">
        <v>711</v>
      </c>
    </row>
    <row r="123">
      <c r="A123" s="7">
        <v>45869.30972222222</v>
      </c>
      <c r="B123" s="7">
        <v>45869.31875</v>
      </c>
      <c r="C123" s="5" t="s">
        <v>99</v>
      </c>
      <c r="D123" s="5" t="s">
        <v>389</v>
      </c>
      <c r="E123" s="8">
        <v>100.0</v>
      </c>
      <c r="F123" s="8">
        <v>813.0</v>
      </c>
      <c r="G123" s="9" t="b">
        <v>1</v>
      </c>
      <c r="H123" s="7">
        <v>45869.31875</v>
      </c>
      <c r="I123" s="5" t="s">
        <v>712</v>
      </c>
      <c r="J123" s="8">
        <v>60.1816</v>
      </c>
      <c r="K123" s="8">
        <v>24.8368</v>
      </c>
      <c r="L123" s="5" t="s">
        <v>194</v>
      </c>
      <c r="M123" s="5" t="s">
        <v>195</v>
      </c>
      <c r="N123" s="5" t="s">
        <v>679</v>
      </c>
      <c r="O123" s="5" t="s">
        <v>211</v>
      </c>
      <c r="P123" s="5" t="s">
        <v>203</v>
      </c>
      <c r="Q123" s="5" t="s">
        <v>208</v>
      </c>
      <c r="R123" s="5" t="s">
        <v>199</v>
      </c>
      <c r="S123" s="5" t="s">
        <v>200</v>
      </c>
      <c r="T123" s="5" t="s">
        <v>202</v>
      </c>
      <c r="U123" s="5" t="s">
        <v>203</v>
      </c>
      <c r="V123" s="5" t="s">
        <v>208</v>
      </c>
      <c r="W123" s="5" t="s">
        <v>200</v>
      </c>
      <c r="X123" s="5" t="s">
        <v>202</v>
      </c>
      <c r="Y123" s="5" t="s">
        <v>202</v>
      </c>
      <c r="Z123" s="5" t="s">
        <v>200</v>
      </c>
      <c r="AA123" s="5" t="s">
        <v>208</v>
      </c>
      <c r="AB123" s="5" t="s">
        <v>198</v>
      </c>
      <c r="AC123" s="5" t="s">
        <v>202</v>
      </c>
      <c r="AD123" s="5" t="s">
        <v>202</v>
      </c>
      <c r="AE123" s="5" t="s">
        <v>713</v>
      </c>
      <c r="AF123" s="5" t="s">
        <v>206</v>
      </c>
      <c r="AG123" s="5" t="s">
        <v>202</v>
      </c>
      <c r="AH123" s="5" t="s">
        <v>202</v>
      </c>
      <c r="AI123" s="5" t="s">
        <v>202</v>
      </c>
      <c r="AJ123" s="5" t="s">
        <v>200</v>
      </c>
      <c r="AK123" s="5" t="s">
        <v>200</v>
      </c>
      <c r="AL123" s="5" t="s">
        <v>202</v>
      </c>
      <c r="AM123" s="5" t="s">
        <v>714</v>
      </c>
      <c r="AN123" s="5" t="s">
        <v>206</v>
      </c>
      <c r="AO123" s="5" t="s">
        <v>202</v>
      </c>
      <c r="AP123" s="5" t="s">
        <v>202</v>
      </c>
      <c r="AQ123" s="5" t="s">
        <v>200</v>
      </c>
      <c r="AR123" s="5" t="s">
        <v>204</v>
      </c>
      <c r="AS123" s="5" t="s">
        <v>204</v>
      </c>
      <c r="AT123" s="5" t="s">
        <v>204</v>
      </c>
      <c r="AU123" s="5" t="s">
        <v>204</v>
      </c>
      <c r="AV123" s="5" t="s">
        <v>715</v>
      </c>
    </row>
    <row r="124">
      <c r="A124" s="7">
        <v>45869.40277777778</v>
      </c>
      <c r="B124" s="7">
        <v>45869.41527777778</v>
      </c>
      <c r="C124" s="5" t="s">
        <v>99</v>
      </c>
      <c r="D124" s="5" t="s">
        <v>716</v>
      </c>
      <c r="E124" s="8">
        <v>100.0</v>
      </c>
      <c r="F124" s="8">
        <v>1099.0</v>
      </c>
      <c r="G124" s="9" t="b">
        <v>1</v>
      </c>
      <c r="H124" s="7">
        <v>45869.41527777778</v>
      </c>
      <c r="I124" s="5" t="s">
        <v>717</v>
      </c>
      <c r="J124" s="8">
        <v>60.1872</v>
      </c>
      <c r="K124" s="8">
        <v>24.9585</v>
      </c>
      <c r="L124" s="5" t="s">
        <v>194</v>
      </c>
      <c r="M124" s="5" t="s">
        <v>195</v>
      </c>
      <c r="N124" s="5" t="s">
        <v>674</v>
      </c>
      <c r="O124" s="5" t="s">
        <v>263</v>
      </c>
      <c r="P124" s="5" t="s">
        <v>202</v>
      </c>
      <c r="Q124" s="5" t="s">
        <v>200</v>
      </c>
      <c r="R124" s="5" t="s">
        <v>199</v>
      </c>
      <c r="S124" s="5" t="s">
        <v>203</v>
      </c>
      <c r="T124" s="5" t="s">
        <v>200</v>
      </c>
      <c r="U124" s="5" t="s">
        <v>200</v>
      </c>
      <c r="V124" s="5" t="s">
        <v>200</v>
      </c>
      <c r="W124" s="5" t="s">
        <v>200</v>
      </c>
      <c r="X124" s="5" t="s">
        <v>203</v>
      </c>
      <c r="Y124" s="5" t="s">
        <v>203</v>
      </c>
      <c r="Z124" s="5" t="s">
        <v>200</v>
      </c>
      <c r="AA124" s="5" t="s">
        <v>208</v>
      </c>
      <c r="AB124" s="5" t="s">
        <v>200</v>
      </c>
      <c r="AC124" s="5" t="s">
        <v>203</v>
      </c>
      <c r="AD124" s="5" t="s">
        <v>202</v>
      </c>
      <c r="AE124" s="5" t="s">
        <v>413</v>
      </c>
      <c r="AF124" s="5" t="s">
        <v>206</v>
      </c>
      <c r="AG124" s="5" t="s">
        <v>203</v>
      </c>
      <c r="AH124" s="5" t="s">
        <v>200</v>
      </c>
      <c r="AI124" s="5" t="s">
        <v>200</v>
      </c>
      <c r="AJ124" s="5" t="s">
        <v>200</v>
      </c>
      <c r="AK124" s="5" t="s">
        <v>200</v>
      </c>
      <c r="AL124" s="5" t="s">
        <v>202</v>
      </c>
      <c r="AM124" s="5" t="s">
        <v>413</v>
      </c>
      <c r="AN124" s="5" t="s">
        <v>206</v>
      </c>
      <c r="AO124" s="5" t="s">
        <v>200</v>
      </c>
      <c r="AP124" s="5" t="s">
        <v>200</v>
      </c>
      <c r="AQ124" s="5" t="s">
        <v>202</v>
      </c>
      <c r="AR124" s="5" t="s">
        <v>204</v>
      </c>
      <c r="AS124" s="5" t="s">
        <v>204</v>
      </c>
      <c r="AT124" s="5" t="s">
        <v>204</v>
      </c>
      <c r="AU124" s="5" t="s">
        <v>204</v>
      </c>
      <c r="AV124" s="5" t="s">
        <v>413</v>
      </c>
    </row>
  </sheetData>
  <mergeCells count="3">
    <mergeCell ref="AM78:AN78"/>
    <mergeCell ref="AM79:AN79"/>
    <mergeCell ref="AM81:AN8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7" width="22.75"/>
    <col customWidth="1" min="18" max="18" width="19.5"/>
  </cols>
  <sheetData>
    <row r="1">
      <c r="A1" s="6" t="s">
        <v>96</v>
      </c>
      <c r="B1" s="5" t="s">
        <v>45</v>
      </c>
      <c r="C1" s="5" t="s">
        <v>46</v>
      </c>
      <c r="D1" s="5" t="s">
        <v>47</v>
      </c>
      <c r="E1" s="5" t="s">
        <v>48</v>
      </c>
      <c r="F1" s="5" t="s">
        <v>49</v>
      </c>
      <c r="G1" s="5" t="s">
        <v>50</v>
      </c>
      <c r="H1" s="5" t="s">
        <v>51</v>
      </c>
      <c r="I1" s="5" t="s">
        <v>52</v>
      </c>
      <c r="J1" s="5" t="s">
        <v>57</v>
      </c>
      <c r="K1" s="5" t="s">
        <v>58</v>
      </c>
      <c r="L1" s="5" t="s">
        <v>59</v>
      </c>
      <c r="M1" s="5" t="s">
        <v>60</v>
      </c>
      <c r="N1" s="5" t="s">
        <v>61</v>
      </c>
      <c r="O1" s="5" t="s">
        <v>62</v>
      </c>
      <c r="P1" s="5" t="s">
        <v>63</v>
      </c>
      <c r="Q1" s="5" t="s">
        <v>64</v>
      </c>
      <c r="R1" s="5" t="s">
        <v>65</v>
      </c>
      <c r="S1" s="5" t="s">
        <v>66</v>
      </c>
      <c r="T1" s="5" t="s">
        <v>67</v>
      </c>
      <c r="U1" s="5" t="s">
        <v>68</v>
      </c>
      <c r="V1" s="5" t="s">
        <v>69</v>
      </c>
      <c r="W1" s="5" t="s">
        <v>70</v>
      </c>
      <c r="X1" s="5" t="s">
        <v>71</v>
      </c>
      <c r="Y1" s="5" t="s">
        <v>72</v>
      </c>
      <c r="Z1" s="5" t="s">
        <v>73</v>
      </c>
      <c r="AA1" s="5" t="s">
        <v>74</v>
      </c>
      <c r="AB1" s="5" t="s">
        <v>75</v>
      </c>
      <c r="AC1" s="5" t="s">
        <v>76</v>
      </c>
      <c r="AD1" s="5" t="s">
        <v>77</v>
      </c>
      <c r="AE1" s="5" t="s">
        <v>78</v>
      </c>
      <c r="AF1" s="5" t="s">
        <v>79</v>
      </c>
      <c r="AG1" s="5" t="s">
        <v>80</v>
      </c>
      <c r="AH1" s="5" t="s">
        <v>81</v>
      </c>
      <c r="AI1" s="5" t="s">
        <v>82</v>
      </c>
      <c r="AJ1" s="5" t="s">
        <v>83</v>
      </c>
      <c r="AK1" s="5" t="s">
        <v>84</v>
      </c>
      <c r="AL1" s="5" t="s">
        <v>85</v>
      </c>
      <c r="AM1" s="5" t="s">
        <v>86</v>
      </c>
      <c r="AN1" s="5" t="s">
        <v>87</v>
      </c>
      <c r="AO1" s="5" t="s">
        <v>88</v>
      </c>
      <c r="AP1" s="5" t="s">
        <v>89</v>
      </c>
      <c r="AQ1" s="5" t="s">
        <v>90</v>
      </c>
      <c r="AR1" s="5" t="s">
        <v>91</v>
      </c>
      <c r="AS1" s="5" t="s">
        <v>92</v>
      </c>
      <c r="AT1" s="5" t="s">
        <v>93</v>
      </c>
      <c r="AU1" s="5" t="s">
        <v>94</v>
      </c>
      <c r="AV1" s="5" t="s">
        <v>95</v>
      </c>
    </row>
    <row r="2">
      <c r="A2" s="7">
        <v>45866.25</v>
      </c>
      <c r="B2" s="7">
        <v>45866.260416666664</v>
      </c>
      <c r="C2" s="5" t="s">
        <v>99</v>
      </c>
      <c r="D2" s="5" t="s">
        <v>192</v>
      </c>
      <c r="E2" s="8">
        <v>100.0</v>
      </c>
      <c r="F2" s="8">
        <v>913.0</v>
      </c>
      <c r="G2" s="9" t="b">
        <v>1</v>
      </c>
      <c r="H2" s="7">
        <v>45866.260416666664</v>
      </c>
      <c r="I2" s="5" t="s">
        <v>220</v>
      </c>
      <c r="J2" s="8">
        <v>60.1816</v>
      </c>
      <c r="K2" s="8">
        <v>24.8368</v>
      </c>
      <c r="L2" s="5" t="s">
        <v>194</v>
      </c>
      <c r="M2" s="5" t="s">
        <v>195</v>
      </c>
      <c r="N2" s="5" t="s">
        <v>221</v>
      </c>
      <c r="O2" s="5" t="s">
        <v>211</v>
      </c>
      <c r="P2" s="5" t="s">
        <v>204</v>
      </c>
      <c r="Q2" s="5" t="s">
        <v>204</v>
      </c>
      <c r="R2" s="5" t="s">
        <v>199</v>
      </c>
      <c r="S2" s="5" t="s">
        <v>201</v>
      </c>
      <c r="T2" s="5" t="s">
        <v>203</v>
      </c>
      <c r="U2" s="5" t="s">
        <v>204</v>
      </c>
      <c r="V2" s="5" t="s">
        <v>204</v>
      </c>
      <c r="W2" s="5" t="s">
        <v>204</v>
      </c>
      <c r="X2" s="5" t="s">
        <v>208</v>
      </c>
      <c r="Y2" s="5" t="s">
        <v>201</v>
      </c>
      <c r="Z2" s="5" t="s">
        <v>202</v>
      </c>
      <c r="AA2" s="5" t="s">
        <v>204</v>
      </c>
      <c r="AB2" s="5" t="s">
        <v>204</v>
      </c>
      <c r="AC2" s="5" t="s">
        <v>203</v>
      </c>
      <c r="AD2" s="5" t="s">
        <v>201</v>
      </c>
      <c r="AE2" s="5" t="s">
        <v>222</v>
      </c>
      <c r="AF2" s="5" t="s">
        <v>206</v>
      </c>
      <c r="AG2" s="5" t="s">
        <v>204</v>
      </c>
      <c r="AH2" s="5" t="s">
        <v>200</v>
      </c>
      <c r="AI2" s="5" t="s">
        <v>203</v>
      </c>
      <c r="AJ2" s="5" t="s">
        <v>200</v>
      </c>
      <c r="AK2" s="5" t="s">
        <v>200</v>
      </c>
      <c r="AL2" s="5" t="s">
        <v>201</v>
      </c>
      <c r="AM2" s="5" t="s">
        <v>223</v>
      </c>
      <c r="AN2" s="5" t="s">
        <v>206</v>
      </c>
      <c r="AO2" s="5" t="s">
        <v>204</v>
      </c>
      <c r="AP2" s="5" t="s">
        <v>201</v>
      </c>
      <c r="AQ2" s="5" t="s">
        <v>203</v>
      </c>
      <c r="AR2" s="5" t="s">
        <v>204</v>
      </c>
      <c r="AS2" s="5" t="s">
        <v>204</v>
      </c>
      <c r="AT2" s="5" t="s">
        <v>204</v>
      </c>
      <c r="AU2" s="5" t="s">
        <v>204</v>
      </c>
      <c r="AV2" s="5" t="s">
        <v>224</v>
      </c>
    </row>
    <row r="3">
      <c r="A3" s="7">
        <v>45866.26666666667</v>
      </c>
      <c r="B3" s="7">
        <v>45866.27291666667</v>
      </c>
      <c r="C3" s="5" t="s">
        <v>99</v>
      </c>
      <c r="D3" s="5" t="s">
        <v>192</v>
      </c>
      <c r="E3" s="8">
        <v>100.0</v>
      </c>
      <c r="F3" s="8">
        <v>512.0</v>
      </c>
      <c r="G3" s="9" t="b">
        <v>1</v>
      </c>
      <c r="H3" s="7">
        <v>45866.27291666667</v>
      </c>
      <c r="I3" s="5" t="s">
        <v>225</v>
      </c>
      <c r="J3" s="8">
        <v>60.1816</v>
      </c>
      <c r="K3" s="8">
        <v>24.8368</v>
      </c>
      <c r="L3" s="5" t="s">
        <v>194</v>
      </c>
      <c r="M3" s="5" t="s">
        <v>195</v>
      </c>
      <c r="N3" s="5" t="s">
        <v>221</v>
      </c>
      <c r="O3" s="5" t="s">
        <v>216</v>
      </c>
      <c r="P3" s="5" t="s">
        <v>200</v>
      </c>
      <c r="Q3" s="5" t="s">
        <v>204</v>
      </c>
      <c r="R3" s="5" t="s">
        <v>199</v>
      </c>
      <c r="S3" s="5" t="s">
        <v>201</v>
      </c>
      <c r="T3" s="5" t="s">
        <v>203</v>
      </c>
      <c r="U3" s="5" t="s">
        <v>201</v>
      </c>
      <c r="V3" s="5" t="s">
        <v>204</v>
      </c>
      <c r="W3" s="5" t="s">
        <v>204</v>
      </c>
      <c r="X3" s="5" t="s">
        <v>200</v>
      </c>
      <c r="Y3" s="5" t="s">
        <v>201</v>
      </c>
      <c r="Z3" s="5" t="s">
        <v>204</v>
      </c>
      <c r="AA3" s="5" t="s">
        <v>204</v>
      </c>
      <c r="AB3" s="5" t="s">
        <v>204</v>
      </c>
      <c r="AC3" s="5" t="s">
        <v>203</v>
      </c>
      <c r="AD3" s="5" t="s">
        <v>201</v>
      </c>
      <c r="AE3" s="5" t="s">
        <v>226</v>
      </c>
      <c r="AF3" s="5" t="s">
        <v>206</v>
      </c>
      <c r="AG3" s="5" t="s">
        <v>204</v>
      </c>
      <c r="AH3" s="5" t="s">
        <v>201</v>
      </c>
      <c r="AI3" s="5" t="s">
        <v>200</v>
      </c>
      <c r="AJ3" s="5" t="s">
        <v>201</v>
      </c>
      <c r="AK3" s="5" t="s">
        <v>201</v>
      </c>
      <c r="AL3" s="5" t="s">
        <v>201</v>
      </c>
      <c r="AM3" s="5" t="s">
        <v>227</v>
      </c>
      <c r="AN3" s="5" t="s">
        <v>206</v>
      </c>
      <c r="AO3" s="5" t="s">
        <v>200</v>
      </c>
      <c r="AP3" s="5" t="s">
        <v>204</v>
      </c>
      <c r="AQ3" s="5" t="s">
        <v>200</v>
      </c>
      <c r="AR3" s="5" t="s">
        <v>201</v>
      </c>
      <c r="AS3" s="5" t="s">
        <v>203</v>
      </c>
      <c r="AT3" s="5" t="s">
        <v>200</v>
      </c>
      <c r="AU3" s="5" t="s">
        <v>200</v>
      </c>
      <c r="AV3" s="5" t="s">
        <v>228</v>
      </c>
    </row>
    <row r="4">
      <c r="A4" s="7">
        <v>45866.28055555555</v>
      </c>
      <c r="B4" s="7">
        <v>45866.28472222222</v>
      </c>
      <c r="C4" s="5" t="s">
        <v>99</v>
      </c>
      <c r="D4" s="5" t="s">
        <v>192</v>
      </c>
      <c r="E4" s="8">
        <v>100.0</v>
      </c>
      <c r="F4" s="8">
        <v>378.0</v>
      </c>
      <c r="G4" s="9" t="b">
        <v>1</v>
      </c>
      <c r="H4" s="7">
        <v>45866.28472222222</v>
      </c>
      <c r="I4" s="5" t="s">
        <v>229</v>
      </c>
      <c r="J4" s="8">
        <v>60.1816</v>
      </c>
      <c r="K4" s="8">
        <v>24.8368</v>
      </c>
      <c r="L4" s="5" t="s">
        <v>194</v>
      </c>
      <c r="M4" s="5" t="s">
        <v>195</v>
      </c>
      <c r="N4" s="5" t="s">
        <v>221</v>
      </c>
      <c r="O4" s="5" t="s">
        <v>197</v>
      </c>
      <c r="P4" s="5" t="s">
        <v>204</v>
      </c>
      <c r="Q4" s="5" t="s">
        <v>204</v>
      </c>
      <c r="R4" s="5" t="s">
        <v>199</v>
      </c>
      <c r="S4" s="5" t="s">
        <v>198</v>
      </c>
      <c r="T4" s="5" t="s">
        <v>203</v>
      </c>
      <c r="U4" s="5" t="s">
        <v>201</v>
      </c>
      <c r="V4" s="5" t="s">
        <v>204</v>
      </c>
      <c r="W4" s="5" t="s">
        <v>204</v>
      </c>
      <c r="X4" s="5" t="s">
        <v>201</v>
      </c>
      <c r="Y4" s="5" t="s">
        <v>203</v>
      </c>
      <c r="Z4" s="5" t="s">
        <v>198</v>
      </c>
      <c r="AA4" s="5" t="s">
        <v>204</v>
      </c>
      <c r="AB4" s="5" t="s">
        <v>204</v>
      </c>
      <c r="AC4" s="5" t="s">
        <v>201</v>
      </c>
      <c r="AD4" s="5" t="s">
        <v>201</v>
      </c>
      <c r="AE4" s="11" t="s">
        <v>230</v>
      </c>
      <c r="AF4" s="5" t="s">
        <v>206</v>
      </c>
      <c r="AG4" s="5" t="s">
        <v>204</v>
      </c>
      <c r="AH4" s="5" t="s">
        <v>203</v>
      </c>
      <c r="AI4" s="5" t="s">
        <v>204</v>
      </c>
      <c r="AJ4" s="5" t="s">
        <v>200</v>
      </c>
      <c r="AK4" s="5" t="s">
        <v>204</v>
      </c>
      <c r="AL4" s="5" t="s">
        <v>208</v>
      </c>
      <c r="AM4" s="5" t="s">
        <v>231</v>
      </c>
      <c r="AN4" s="5" t="s">
        <v>206</v>
      </c>
      <c r="AO4" s="5" t="s">
        <v>204</v>
      </c>
      <c r="AP4" s="5" t="s">
        <v>203</v>
      </c>
      <c r="AQ4" s="5" t="s">
        <v>200</v>
      </c>
      <c r="AR4" s="5" t="s">
        <v>204</v>
      </c>
      <c r="AS4" s="5" t="s">
        <v>204</v>
      </c>
      <c r="AT4" s="5" t="s">
        <v>203</v>
      </c>
      <c r="AU4" s="5" t="s">
        <v>204</v>
      </c>
      <c r="AV4" s="11" t="s">
        <v>232</v>
      </c>
    </row>
    <row r="5">
      <c r="A5" s="7">
        <v>45866.288194444445</v>
      </c>
      <c r="B5" s="7">
        <v>45866.290972222225</v>
      </c>
      <c r="C5" s="5" t="s">
        <v>99</v>
      </c>
      <c r="D5" s="5" t="s">
        <v>192</v>
      </c>
      <c r="E5" s="8">
        <v>100.0</v>
      </c>
      <c r="F5" s="8">
        <v>237.0</v>
      </c>
      <c r="G5" s="9" t="b">
        <v>1</v>
      </c>
      <c r="H5" s="7">
        <v>45866.290972222225</v>
      </c>
      <c r="I5" s="5" t="s">
        <v>233</v>
      </c>
      <c r="J5" s="8">
        <v>60.1816</v>
      </c>
      <c r="K5" s="8">
        <v>24.8368</v>
      </c>
      <c r="L5" s="5" t="s">
        <v>194</v>
      </c>
      <c r="M5" s="5" t="s">
        <v>195</v>
      </c>
      <c r="N5" s="5" t="s">
        <v>221</v>
      </c>
      <c r="O5" s="5" t="s">
        <v>216</v>
      </c>
      <c r="P5" s="5" t="s">
        <v>204</v>
      </c>
      <c r="Q5" s="5" t="s">
        <v>204</v>
      </c>
      <c r="R5" s="5" t="s">
        <v>199</v>
      </c>
      <c r="S5" s="5" t="s">
        <v>201</v>
      </c>
      <c r="T5" s="5" t="s">
        <v>204</v>
      </c>
      <c r="U5" s="5" t="s">
        <v>204</v>
      </c>
      <c r="V5" s="5" t="s">
        <v>204</v>
      </c>
      <c r="W5" s="5" t="s">
        <v>204</v>
      </c>
      <c r="X5" s="5" t="s">
        <v>201</v>
      </c>
      <c r="Y5" s="5" t="s">
        <v>201</v>
      </c>
      <c r="Z5" s="5" t="s">
        <v>204</v>
      </c>
      <c r="AA5" s="5" t="s">
        <v>204</v>
      </c>
      <c r="AB5" s="5" t="s">
        <v>204</v>
      </c>
      <c r="AC5" s="5" t="s">
        <v>201</v>
      </c>
      <c r="AD5" s="5" t="s">
        <v>201</v>
      </c>
      <c r="AE5" s="5" t="s">
        <v>234</v>
      </c>
      <c r="AF5" s="5" t="s">
        <v>206</v>
      </c>
      <c r="AG5" s="5" t="s">
        <v>204</v>
      </c>
      <c r="AH5" s="5" t="s">
        <v>201</v>
      </c>
      <c r="AI5" s="5" t="s">
        <v>204</v>
      </c>
      <c r="AJ5" s="5" t="s">
        <v>204</v>
      </c>
      <c r="AK5" s="5" t="s">
        <v>204</v>
      </c>
      <c r="AL5" s="5" t="s">
        <v>208</v>
      </c>
      <c r="AM5" s="5" t="s">
        <v>235</v>
      </c>
      <c r="AN5" s="5" t="s">
        <v>206</v>
      </c>
      <c r="AO5" s="5" t="s">
        <v>204</v>
      </c>
      <c r="AP5" s="5" t="s">
        <v>204</v>
      </c>
      <c r="AQ5" s="5" t="s">
        <v>204</v>
      </c>
      <c r="AR5" s="5" t="s">
        <v>203</v>
      </c>
      <c r="AS5" s="5" t="s">
        <v>203</v>
      </c>
      <c r="AT5" s="5" t="s">
        <v>203</v>
      </c>
      <c r="AU5" s="5" t="s">
        <v>203</v>
      </c>
      <c r="AV5" s="5" t="s">
        <v>236</v>
      </c>
    </row>
    <row r="6">
      <c r="A6" s="7">
        <v>45866.28958333333</v>
      </c>
      <c r="B6" s="7">
        <v>45866.3125</v>
      </c>
      <c r="C6" s="5" t="s">
        <v>99</v>
      </c>
      <c r="D6" s="5" t="s">
        <v>237</v>
      </c>
      <c r="E6" s="8">
        <v>100.0</v>
      </c>
      <c r="F6" s="8">
        <v>1957.0</v>
      </c>
      <c r="G6" s="9" t="b">
        <v>1</v>
      </c>
      <c r="H6" s="7">
        <v>45866.3125</v>
      </c>
      <c r="I6" s="5" t="s">
        <v>238</v>
      </c>
      <c r="J6" s="8">
        <v>60.2498</v>
      </c>
      <c r="K6" s="8">
        <v>24.9939</v>
      </c>
      <c r="L6" s="5" t="s">
        <v>194</v>
      </c>
      <c r="M6" s="5" t="s">
        <v>195</v>
      </c>
      <c r="N6" s="5" t="s">
        <v>239</v>
      </c>
      <c r="O6" s="5" t="s">
        <v>216</v>
      </c>
      <c r="P6" s="5" t="s">
        <v>202</v>
      </c>
      <c r="Q6" s="5" t="s">
        <v>200</v>
      </c>
      <c r="R6" s="5" t="s">
        <v>199</v>
      </c>
      <c r="S6" s="5" t="s">
        <v>201</v>
      </c>
      <c r="T6" s="5" t="s">
        <v>200</v>
      </c>
      <c r="U6" s="5" t="s">
        <v>201</v>
      </c>
      <c r="V6" s="5" t="s">
        <v>198</v>
      </c>
      <c r="W6" s="5" t="s">
        <v>198</v>
      </c>
      <c r="X6" s="5" t="s">
        <v>200</v>
      </c>
      <c r="Y6" s="5" t="s">
        <v>200</v>
      </c>
      <c r="Z6" s="5" t="s">
        <v>201</v>
      </c>
      <c r="AA6" s="5" t="s">
        <v>198</v>
      </c>
      <c r="AB6" s="5" t="s">
        <v>201</v>
      </c>
      <c r="AC6" s="5" t="s">
        <v>202</v>
      </c>
      <c r="AD6" s="5" t="s">
        <v>198</v>
      </c>
      <c r="AE6" s="5" t="s">
        <v>240</v>
      </c>
      <c r="AF6" s="5" t="s">
        <v>206</v>
      </c>
      <c r="AG6" s="5" t="s">
        <v>200</v>
      </c>
      <c r="AH6" s="5" t="s">
        <v>201</v>
      </c>
      <c r="AI6" s="5" t="s">
        <v>201</v>
      </c>
      <c r="AJ6" s="5" t="s">
        <v>200</v>
      </c>
      <c r="AK6" s="5" t="s">
        <v>201</v>
      </c>
      <c r="AL6" s="5" t="s">
        <v>201</v>
      </c>
      <c r="AM6" s="5" t="s">
        <v>241</v>
      </c>
      <c r="AN6" s="5" t="s">
        <v>206</v>
      </c>
      <c r="AO6" s="5" t="s">
        <v>202</v>
      </c>
      <c r="AP6" s="5" t="s">
        <v>201</v>
      </c>
      <c r="AQ6" s="5" t="s">
        <v>201</v>
      </c>
      <c r="AR6" s="5" t="s">
        <v>204</v>
      </c>
      <c r="AS6" s="5" t="s">
        <v>204</v>
      </c>
      <c r="AT6" s="5" t="s">
        <v>204</v>
      </c>
      <c r="AU6" s="5" t="s">
        <v>204</v>
      </c>
      <c r="AV6" s="5" t="s">
        <v>242</v>
      </c>
    </row>
    <row r="7">
      <c r="A7" s="7">
        <v>45866.302777777775</v>
      </c>
      <c r="B7" s="7">
        <v>45866.3125</v>
      </c>
      <c r="C7" s="5" t="s">
        <v>99</v>
      </c>
      <c r="D7" s="5" t="s">
        <v>192</v>
      </c>
      <c r="E7" s="8">
        <v>100.0</v>
      </c>
      <c r="F7" s="8">
        <v>822.0</v>
      </c>
      <c r="G7" s="9" t="b">
        <v>1</v>
      </c>
      <c r="H7" s="7">
        <v>45866.3125</v>
      </c>
      <c r="I7" s="5" t="s">
        <v>243</v>
      </c>
      <c r="J7" s="8">
        <v>60.1816</v>
      </c>
      <c r="K7" s="8">
        <v>24.8368</v>
      </c>
      <c r="L7" s="5" t="s">
        <v>194</v>
      </c>
      <c r="M7" s="5" t="s">
        <v>195</v>
      </c>
      <c r="N7" s="5" t="s">
        <v>244</v>
      </c>
      <c r="O7" s="5" t="s">
        <v>197</v>
      </c>
      <c r="P7" s="5" t="s">
        <v>208</v>
      </c>
      <c r="Q7" s="5" t="s">
        <v>208</v>
      </c>
      <c r="R7" s="5" t="s">
        <v>199</v>
      </c>
      <c r="S7" s="5" t="s">
        <v>201</v>
      </c>
      <c r="T7" s="5" t="s">
        <v>198</v>
      </c>
      <c r="U7" s="5" t="s">
        <v>200</v>
      </c>
      <c r="V7" s="5" t="s">
        <v>198</v>
      </c>
      <c r="W7" s="5" t="s">
        <v>204</v>
      </c>
      <c r="X7" s="5" t="s">
        <v>200</v>
      </c>
      <c r="Y7" s="5" t="s">
        <v>202</v>
      </c>
      <c r="Z7" s="5" t="s">
        <v>202</v>
      </c>
      <c r="AA7" s="5" t="s">
        <v>204</v>
      </c>
      <c r="AB7" s="5" t="s">
        <v>203</v>
      </c>
      <c r="AC7" s="5" t="s">
        <v>201</v>
      </c>
      <c r="AD7" s="5" t="s">
        <v>201</v>
      </c>
      <c r="AE7" s="5" t="s">
        <v>245</v>
      </c>
      <c r="AF7" s="5" t="s">
        <v>206</v>
      </c>
      <c r="AG7" s="5" t="s">
        <v>200</v>
      </c>
      <c r="AH7" s="5" t="s">
        <v>202</v>
      </c>
      <c r="AI7" s="5" t="s">
        <v>202</v>
      </c>
      <c r="AJ7" s="5" t="s">
        <v>200</v>
      </c>
      <c r="AK7" s="5" t="s">
        <v>200</v>
      </c>
      <c r="AL7" s="5" t="s">
        <v>203</v>
      </c>
      <c r="AM7" s="5" t="s">
        <v>246</v>
      </c>
      <c r="AN7" s="5" t="s">
        <v>206</v>
      </c>
      <c r="AO7" s="5" t="s">
        <v>200</v>
      </c>
      <c r="AP7" s="5" t="s">
        <v>198</v>
      </c>
      <c r="AQ7" s="5" t="s">
        <v>202</v>
      </c>
      <c r="AR7" s="5" t="s">
        <v>208</v>
      </c>
      <c r="AS7" s="5" t="s">
        <v>204</v>
      </c>
      <c r="AT7" s="5" t="s">
        <v>200</v>
      </c>
      <c r="AU7" s="5" t="s">
        <v>200</v>
      </c>
      <c r="AV7" s="5" t="s">
        <v>247</v>
      </c>
    </row>
    <row r="8">
      <c r="A8" s="7">
        <v>45866.31458333333</v>
      </c>
      <c r="B8" s="7">
        <v>45866.32777777778</v>
      </c>
      <c r="C8" s="5" t="s">
        <v>99</v>
      </c>
      <c r="D8" s="5" t="s">
        <v>237</v>
      </c>
      <c r="E8" s="8">
        <v>100.0</v>
      </c>
      <c r="F8" s="8">
        <v>1106.0</v>
      </c>
      <c r="G8" s="9" t="b">
        <v>1</v>
      </c>
      <c r="H8" s="7">
        <v>45866.32777777778</v>
      </c>
      <c r="I8" s="5" t="s">
        <v>248</v>
      </c>
      <c r="J8" s="8">
        <v>60.2498</v>
      </c>
      <c r="K8" s="8">
        <v>24.9939</v>
      </c>
      <c r="L8" s="5" t="s">
        <v>194</v>
      </c>
      <c r="M8" s="5" t="s">
        <v>195</v>
      </c>
      <c r="N8" s="5" t="s">
        <v>244</v>
      </c>
      <c r="O8" s="5" t="s">
        <v>211</v>
      </c>
      <c r="P8" s="5" t="s">
        <v>198</v>
      </c>
      <c r="Q8" s="5" t="s">
        <v>204</v>
      </c>
      <c r="R8" s="5" t="s">
        <v>199</v>
      </c>
      <c r="S8" s="5" t="s">
        <v>200</v>
      </c>
      <c r="T8" s="5" t="s">
        <v>208</v>
      </c>
      <c r="U8" s="5" t="s">
        <v>204</v>
      </c>
      <c r="V8" s="5" t="s">
        <v>198</v>
      </c>
      <c r="W8" s="5" t="s">
        <v>204</v>
      </c>
      <c r="X8" s="5" t="s">
        <v>200</v>
      </c>
      <c r="Y8" s="5" t="s">
        <v>202</v>
      </c>
      <c r="Z8" s="5" t="s">
        <v>208</v>
      </c>
      <c r="AA8" s="5" t="s">
        <v>204</v>
      </c>
      <c r="AB8" s="5" t="s">
        <v>208</v>
      </c>
      <c r="AC8" s="5" t="s">
        <v>200</v>
      </c>
      <c r="AD8" s="5" t="s">
        <v>201</v>
      </c>
      <c r="AE8" s="5" t="s">
        <v>249</v>
      </c>
      <c r="AF8" s="5" t="s">
        <v>206</v>
      </c>
      <c r="AG8" s="5" t="s">
        <v>202</v>
      </c>
      <c r="AH8" s="5" t="s">
        <v>202</v>
      </c>
      <c r="AI8" s="5" t="s">
        <v>202</v>
      </c>
      <c r="AJ8" s="5" t="s">
        <v>200</v>
      </c>
      <c r="AK8" s="5" t="s">
        <v>198</v>
      </c>
      <c r="AL8" s="5" t="s">
        <v>203</v>
      </c>
      <c r="AM8" s="5" t="s">
        <v>250</v>
      </c>
      <c r="AN8" s="5" t="s">
        <v>206</v>
      </c>
      <c r="AO8" s="5" t="s">
        <v>202</v>
      </c>
      <c r="AP8" s="5" t="s">
        <v>202</v>
      </c>
      <c r="AQ8" s="5" t="s">
        <v>208</v>
      </c>
      <c r="AR8" s="5" t="s">
        <v>204</v>
      </c>
      <c r="AS8" s="5" t="s">
        <v>204</v>
      </c>
      <c r="AT8" s="5" t="s">
        <v>204</v>
      </c>
      <c r="AU8" s="5" t="s">
        <v>204</v>
      </c>
      <c r="AV8" s="5" t="s">
        <v>251</v>
      </c>
    </row>
    <row r="9">
      <c r="A9" s="7">
        <v>45866.3125</v>
      </c>
      <c r="B9" s="7">
        <v>45866.32847222222</v>
      </c>
      <c r="C9" s="5" t="s">
        <v>99</v>
      </c>
      <c r="D9" s="5" t="s">
        <v>192</v>
      </c>
      <c r="E9" s="8">
        <v>100.0</v>
      </c>
      <c r="F9" s="8">
        <v>1376.0</v>
      </c>
      <c r="G9" s="9" t="b">
        <v>1</v>
      </c>
      <c r="H9" s="7">
        <v>45866.32847222222</v>
      </c>
      <c r="I9" s="5" t="s">
        <v>252</v>
      </c>
      <c r="J9" s="8">
        <v>60.1816</v>
      </c>
      <c r="K9" s="8">
        <v>24.8368</v>
      </c>
      <c r="L9" s="5" t="s">
        <v>194</v>
      </c>
      <c r="M9" s="5" t="s">
        <v>195</v>
      </c>
      <c r="N9" s="5" t="s">
        <v>239</v>
      </c>
      <c r="O9" s="5" t="s">
        <v>211</v>
      </c>
      <c r="P9" s="5" t="s">
        <v>201</v>
      </c>
      <c r="Q9" s="5" t="s">
        <v>201</v>
      </c>
      <c r="R9" s="5" t="s">
        <v>199</v>
      </c>
      <c r="S9" s="5" t="s">
        <v>200</v>
      </c>
      <c r="T9" s="5" t="s">
        <v>200</v>
      </c>
      <c r="U9" s="5" t="s">
        <v>201</v>
      </c>
      <c r="V9" s="5" t="s">
        <v>203</v>
      </c>
      <c r="W9" s="5" t="s">
        <v>203</v>
      </c>
      <c r="X9" s="5" t="s">
        <v>201</v>
      </c>
      <c r="Y9" s="5" t="s">
        <v>201</v>
      </c>
      <c r="Z9" s="5" t="s">
        <v>201</v>
      </c>
      <c r="AA9" s="5" t="s">
        <v>203</v>
      </c>
      <c r="AB9" s="5" t="s">
        <v>202</v>
      </c>
      <c r="AC9" s="5" t="s">
        <v>201</v>
      </c>
      <c r="AD9" s="5" t="s">
        <v>203</v>
      </c>
      <c r="AE9" s="5" t="s">
        <v>253</v>
      </c>
      <c r="AF9" s="5" t="s">
        <v>206</v>
      </c>
      <c r="AG9" s="5" t="s">
        <v>200</v>
      </c>
      <c r="AH9" s="5" t="s">
        <v>201</v>
      </c>
      <c r="AI9" s="5" t="s">
        <v>202</v>
      </c>
      <c r="AJ9" s="5" t="s">
        <v>202</v>
      </c>
      <c r="AK9" s="5" t="s">
        <v>202</v>
      </c>
      <c r="AL9" s="5" t="s">
        <v>202</v>
      </c>
      <c r="AM9" s="5" t="s">
        <v>254</v>
      </c>
      <c r="AN9" s="5" t="s">
        <v>206</v>
      </c>
      <c r="AO9" s="5" t="s">
        <v>200</v>
      </c>
      <c r="AP9" s="5" t="s">
        <v>200</v>
      </c>
      <c r="AQ9" s="5" t="s">
        <v>201</v>
      </c>
      <c r="AR9" s="5" t="s">
        <v>200</v>
      </c>
      <c r="AS9" s="5" t="s">
        <v>204</v>
      </c>
      <c r="AT9" s="5" t="s">
        <v>200</v>
      </c>
      <c r="AU9" s="5" t="s">
        <v>200</v>
      </c>
      <c r="AV9" s="5" t="s">
        <v>255</v>
      </c>
    </row>
    <row r="10">
      <c r="A10" s="7">
        <v>45867.01180555556</v>
      </c>
      <c r="B10" s="7">
        <v>45867.02638888889</v>
      </c>
      <c r="C10" s="5" t="s">
        <v>99</v>
      </c>
      <c r="D10" s="5" t="s">
        <v>256</v>
      </c>
      <c r="E10" s="8">
        <v>100.0</v>
      </c>
      <c r="F10" s="8">
        <v>1275.0</v>
      </c>
      <c r="G10" s="9" t="b">
        <v>1</v>
      </c>
      <c r="H10" s="7">
        <v>45867.02638888889</v>
      </c>
      <c r="I10" s="5" t="s">
        <v>257</v>
      </c>
      <c r="J10" s="8">
        <v>60.1816</v>
      </c>
      <c r="K10" s="8">
        <v>24.8368</v>
      </c>
      <c r="L10" s="5" t="s">
        <v>194</v>
      </c>
      <c r="M10" s="5" t="s">
        <v>195</v>
      </c>
      <c r="N10" s="5" t="s">
        <v>258</v>
      </c>
      <c r="O10" s="5" t="s">
        <v>211</v>
      </c>
      <c r="P10" s="5" t="s">
        <v>198</v>
      </c>
      <c r="Q10" s="5" t="s">
        <v>198</v>
      </c>
      <c r="R10" s="5" t="s">
        <v>199</v>
      </c>
      <c r="S10" s="5" t="s">
        <v>202</v>
      </c>
      <c r="T10" s="5" t="s">
        <v>201</v>
      </c>
      <c r="U10" s="5" t="s">
        <v>203</v>
      </c>
      <c r="V10" s="5" t="s">
        <v>204</v>
      </c>
      <c r="W10" s="5" t="s">
        <v>208</v>
      </c>
      <c r="X10" s="5" t="s">
        <v>201</v>
      </c>
      <c r="Y10" s="5" t="s">
        <v>201</v>
      </c>
      <c r="Z10" s="5" t="s">
        <v>202</v>
      </c>
      <c r="AA10" s="5" t="s">
        <v>204</v>
      </c>
      <c r="AB10" s="5" t="s">
        <v>203</v>
      </c>
      <c r="AC10" s="5" t="s">
        <v>200</v>
      </c>
      <c r="AD10" s="5" t="s">
        <v>201</v>
      </c>
      <c r="AE10" s="5" t="s">
        <v>259</v>
      </c>
      <c r="AF10" s="5" t="s">
        <v>206</v>
      </c>
      <c r="AG10" s="5" t="s">
        <v>202</v>
      </c>
      <c r="AH10" s="5" t="s">
        <v>202</v>
      </c>
      <c r="AI10" s="5" t="s">
        <v>202</v>
      </c>
      <c r="AJ10" s="5" t="s">
        <v>202</v>
      </c>
      <c r="AK10" s="5" t="s">
        <v>202</v>
      </c>
      <c r="AL10" s="5" t="s">
        <v>202</v>
      </c>
      <c r="AM10" s="5" t="s">
        <v>260</v>
      </c>
      <c r="AN10" s="5" t="s">
        <v>206</v>
      </c>
      <c r="AO10" s="5" t="s">
        <v>200</v>
      </c>
      <c r="AP10" s="5" t="s">
        <v>201</v>
      </c>
      <c r="AQ10" s="5" t="s">
        <v>201</v>
      </c>
      <c r="AR10" s="5" t="s">
        <v>204</v>
      </c>
      <c r="AS10" s="5" t="s">
        <v>204</v>
      </c>
      <c r="AT10" s="5" t="s">
        <v>204</v>
      </c>
      <c r="AU10" s="5" t="s">
        <v>204</v>
      </c>
      <c r="AV10" s="5" t="s">
        <v>261</v>
      </c>
    </row>
    <row r="11">
      <c r="A11" s="7">
        <v>45867.01736111111</v>
      </c>
      <c r="B11" s="7">
        <v>45867.027083333334</v>
      </c>
      <c r="C11" s="5" t="s">
        <v>99</v>
      </c>
      <c r="D11" s="5" t="s">
        <v>192</v>
      </c>
      <c r="E11" s="8">
        <v>100.0</v>
      </c>
      <c r="F11" s="8">
        <v>859.0</v>
      </c>
      <c r="G11" s="9" t="b">
        <v>1</v>
      </c>
      <c r="H11" s="7">
        <v>45867.027083333334</v>
      </c>
      <c r="I11" s="5" t="s">
        <v>262</v>
      </c>
      <c r="J11" s="8">
        <v>60.1816</v>
      </c>
      <c r="K11" s="8">
        <v>24.8368</v>
      </c>
      <c r="L11" s="5" t="s">
        <v>194</v>
      </c>
      <c r="M11" s="5" t="s">
        <v>195</v>
      </c>
      <c r="N11" s="5" t="s">
        <v>239</v>
      </c>
      <c r="O11" s="5" t="s">
        <v>263</v>
      </c>
      <c r="P11" s="5" t="s">
        <v>202</v>
      </c>
      <c r="Q11" s="5" t="s">
        <v>200</v>
      </c>
      <c r="R11" s="5" t="s">
        <v>199</v>
      </c>
      <c r="S11" s="5" t="s">
        <v>203</v>
      </c>
      <c r="T11" s="5" t="s">
        <v>200</v>
      </c>
      <c r="U11" s="5" t="s">
        <v>201</v>
      </c>
      <c r="V11" s="5" t="s">
        <v>198</v>
      </c>
      <c r="W11" s="5" t="s">
        <v>203</v>
      </c>
      <c r="X11" s="5" t="s">
        <v>202</v>
      </c>
      <c r="Y11" s="5" t="s">
        <v>201</v>
      </c>
      <c r="Z11" s="5" t="s">
        <v>201</v>
      </c>
      <c r="AA11" s="5" t="s">
        <v>200</v>
      </c>
      <c r="AB11" s="5" t="s">
        <v>201</v>
      </c>
      <c r="AC11" s="5" t="s">
        <v>201</v>
      </c>
      <c r="AD11" s="5" t="s">
        <v>203</v>
      </c>
      <c r="AE11" s="5" t="s">
        <v>264</v>
      </c>
      <c r="AF11" s="5" t="s">
        <v>206</v>
      </c>
      <c r="AG11" s="5" t="s">
        <v>200</v>
      </c>
      <c r="AH11" s="5" t="s">
        <v>202</v>
      </c>
      <c r="AI11" s="5" t="s">
        <v>200</v>
      </c>
      <c r="AJ11" s="5" t="s">
        <v>202</v>
      </c>
      <c r="AK11" s="5" t="s">
        <v>202</v>
      </c>
      <c r="AL11" s="5" t="s">
        <v>201</v>
      </c>
      <c r="AM11" s="5" t="s">
        <v>265</v>
      </c>
      <c r="AN11" s="5" t="s">
        <v>206</v>
      </c>
      <c r="AO11" s="5" t="s">
        <v>202</v>
      </c>
      <c r="AP11" s="5" t="s">
        <v>201</v>
      </c>
      <c r="AQ11" s="5" t="s">
        <v>201</v>
      </c>
      <c r="AR11" s="5" t="s">
        <v>208</v>
      </c>
      <c r="AS11" s="5" t="s">
        <v>204</v>
      </c>
      <c r="AT11" s="5" t="s">
        <v>204</v>
      </c>
      <c r="AU11" s="5" t="s">
        <v>204</v>
      </c>
      <c r="AV11" s="5" t="s">
        <v>266</v>
      </c>
    </row>
    <row r="12">
      <c r="A12" s="7">
        <v>45867.03611111111</v>
      </c>
      <c r="B12" s="7">
        <v>45867.04583333333</v>
      </c>
      <c r="C12" s="5" t="s">
        <v>99</v>
      </c>
      <c r="D12" s="5" t="s">
        <v>256</v>
      </c>
      <c r="E12" s="8">
        <v>100.0</v>
      </c>
      <c r="F12" s="8">
        <v>821.0</v>
      </c>
      <c r="G12" s="9" t="b">
        <v>1</v>
      </c>
      <c r="H12" s="7">
        <v>45867.04583333333</v>
      </c>
      <c r="I12" s="5" t="s">
        <v>267</v>
      </c>
      <c r="J12" s="8">
        <v>60.1816</v>
      </c>
      <c r="K12" s="8">
        <v>24.8368</v>
      </c>
      <c r="L12" s="5" t="s">
        <v>194</v>
      </c>
      <c r="M12" s="5" t="s">
        <v>195</v>
      </c>
      <c r="N12" s="5" t="s">
        <v>239</v>
      </c>
      <c r="O12" s="5" t="s">
        <v>211</v>
      </c>
      <c r="P12" s="5" t="s">
        <v>202</v>
      </c>
      <c r="Q12" s="5" t="s">
        <v>198</v>
      </c>
      <c r="R12" s="5" t="s">
        <v>199</v>
      </c>
      <c r="S12" s="5" t="s">
        <v>202</v>
      </c>
      <c r="T12" s="5" t="s">
        <v>201</v>
      </c>
      <c r="U12" s="5" t="s">
        <v>202</v>
      </c>
      <c r="V12" s="5" t="s">
        <v>203</v>
      </c>
      <c r="W12" s="5" t="s">
        <v>198</v>
      </c>
      <c r="X12" s="5" t="s">
        <v>201</v>
      </c>
      <c r="Y12" s="5" t="s">
        <v>202</v>
      </c>
      <c r="Z12" s="5" t="s">
        <v>198</v>
      </c>
      <c r="AA12" s="5" t="s">
        <v>203</v>
      </c>
      <c r="AB12" s="5" t="s">
        <v>201</v>
      </c>
      <c r="AC12" s="5" t="s">
        <v>202</v>
      </c>
      <c r="AD12" s="5" t="s">
        <v>203</v>
      </c>
      <c r="AE12" s="5" t="s">
        <v>268</v>
      </c>
      <c r="AF12" s="5" t="s">
        <v>206</v>
      </c>
      <c r="AG12" s="5" t="s">
        <v>203</v>
      </c>
      <c r="AH12" s="5" t="s">
        <v>200</v>
      </c>
      <c r="AI12" s="5" t="s">
        <v>203</v>
      </c>
      <c r="AJ12" s="5" t="s">
        <v>198</v>
      </c>
      <c r="AK12" s="5" t="s">
        <v>203</v>
      </c>
      <c r="AL12" s="5" t="s">
        <v>198</v>
      </c>
      <c r="AM12" s="5" t="s">
        <v>269</v>
      </c>
      <c r="AN12" s="5" t="s">
        <v>206</v>
      </c>
      <c r="AO12" s="5" t="s">
        <v>203</v>
      </c>
      <c r="AP12" s="5" t="s">
        <v>198</v>
      </c>
      <c r="AQ12" s="5" t="s">
        <v>200</v>
      </c>
      <c r="AR12" s="5" t="s">
        <v>208</v>
      </c>
      <c r="AS12" s="5" t="s">
        <v>208</v>
      </c>
      <c r="AT12" s="5" t="s">
        <v>202</v>
      </c>
      <c r="AU12" s="5" t="s">
        <v>208</v>
      </c>
      <c r="AV12" s="5" t="s">
        <v>270</v>
      </c>
    </row>
    <row r="13">
      <c r="A13" s="7">
        <v>45867.041666666664</v>
      </c>
      <c r="B13" s="7">
        <v>45867.05</v>
      </c>
      <c r="C13" s="5" t="s">
        <v>99</v>
      </c>
      <c r="D13" s="5" t="s">
        <v>192</v>
      </c>
      <c r="E13" s="8">
        <v>100.0</v>
      </c>
      <c r="F13" s="8">
        <v>741.0</v>
      </c>
      <c r="G13" s="9" t="b">
        <v>1</v>
      </c>
      <c r="H13" s="7">
        <v>45867.06041666667</v>
      </c>
      <c r="I13" s="5" t="s">
        <v>271</v>
      </c>
      <c r="J13" s="8">
        <v>60.1816</v>
      </c>
      <c r="K13" s="8">
        <v>24.8368</v>
      </c>
      <c r="L13" s="5" t="s">
        <v>194</v>
      </c>
      <c r="M13" s="5" t="s">
        <v>195</v>
      </c>
      <c r="N13" s="5" t="s">
        <v>258</v>
      </c>
      <c r="O13" s="5" t="s">
        <v>197</v>
      </c>
      <c r="P13" s="5" t="s">
        <v>202</v>
      </c>
      <c r="Q13" s="5" t="s">
        <v>208</v>
      </c>
      <c r="R13" s="5" t="s">
        <v>199</v>
      </c>
      <c r="S13" s="5" t="s">
        <v>201</v>
      </c>
      <c r="T13" s="5" t="s">
        <v>201</v>
      </c>
      <c r="U13" s="5" t="s">
        <v>201</v>
      </c>
      <c r="V13" s="5" t="s">
        <v>204</v>
      </c>
      <c r="W13" s="5" t="s">
        <v>198</v>
      </c>
      <c r="X13" s="5" t="s">
        <v>201</v>
      </c>
      <c r="Y13" s="5" t="s">
        <v>201</v>
      </c>
      <c r="Z13" s="5" t="s">
        <v>201</v>
      </c>
      <c r="AA13" s="5" t="s">
        <v>204</v>
      </c>
      <c r="AB13" s="5" t="s">
        <v>204</v>
      </c>
      <c r="AC13" s="5" t="s">
        <v>201</v>
      </c>
      <c r="AD13" s="5" t="s">
        <v>201</v>
      </c>
      <c r="AE13" s="5" t="s">
        <v>272</v>
      </c>
      <c r="AF13" s="5" t="s">
        <v>206</v>
      </c>
      <c r="AG13" s="5" t="s">
        <v>202</v>
      </c>
      <c r="AH13" s="5" t="s">
        <v>201</v>
      </c>
      <c r="AI13" s="5" t="s">
        <v>202</v>
      </c>
      <c r="AJ13" s="5" t="s">
        <v>202</v>
      </c>
      <c r="AK13" s="5" t="s">
        <v>201</v>
      </c>
      <c r="AL13" s="5" t="s">
        <v>201</v>
      </c>
      <c r="AM13" s="5" t="s">
        <v>273</v>
      </c>
      <c r="AN13" s="5" t="s">
        <v>206</v>
      </c>
      <c r="AO13" s="5" t="s">
        <v>201</v>
      </c>
      <c r="AP13" s="5" t="s">
        <v>202</v>
      </c>
      <c r="AQ13" s="5" t="s">
        <v>201</v>
      </c>
      <c r="AR13" s="5" t="s">
        <v>198</v>
      </c>
      <c r="AS13" s="5" t="s">
        <v>198</v>
      </c>
      <c r="AT13" s="5" t="s">
        <v>201</v>
      </c>
      <c r="AU13" s="5" t="s">
        <v>208</v>
      </c>
      <c r="AV13" s="5" t="s">
        <v>274</v>
      </c>
    </row>
    <row r="14">
      <c r="A14" s="7">
        <v>45867.055555555555</v>
      </c>
      <c r="B14" s="7">
        <v>45867.06180555555</v>
      </c>
      <c r="C14" s="5" t="s">
        <v>99</v>
      </c>
      <c r="D14" s="5" t="s">
        <v>192</v>
      </c>
      <c r="E14" s="8">
        <v>100.0</v>
      </c>
      <c r="F14" s="8">
        <v>538.0</v>
      </c>
      <c r="G14" s="9" t="b">
        <v>1</v>
      </c>
      <c r="H14" s="7">
        <v>45867.06180555555</v>
      </c>
      <c r="I14" s="5" t="s">
        <v>275</v>
      </c>
      <c r="J14" s="8">
        <v>60.1816</v>
      </c>
      <c r="K14" s="8">
        <v>24.8368</v>
      </c>
      <c r="L14" s="5" t="s">
        <v>194</v>
      </c>
      <c r="M14" s="5" t="s">
        <v>195</v>
      </c>
      <c r="N14" s="5" t="s">
        <v>258</v>
      </c>
      <c r="O14" s="5" t="s">
        <v>263</v>
      </c>
      <c r="P14" s="5" t="s">
        <v>200</v>
      </c>
      <c r="Q14" s="5" t="s">
        <v>204</v>
      </c>
      <c r="R14" s="5" t="s">
        <v>199</v>
      </c>
      <c r="S14" s="5" t="s">
        <v>202</v>
      </c>
      <c r="T14" s="5" t="s">
        <v>201</v>
      </c>
      <c r="U14" s="5" t="s">
        <v>202</v>
      </c>
      <c r="V14" s="5" t="s">
        <v>204</v>
      </c>
      <c r="W14" s="5" t="s">
        <v>204</v>
      </c>
      <c r="X14" s="5" t="s">
        <v>201</v>
      </c>
      <c r="Y14" s="5" t="s">
        <v>202</v>
      </c>
      <c r="Z14" s="5" t="s">
        <v>201</v>
      </c>
      <c r="AA14" s="5" t="s">
        <v>208</v>
      </c>
      <c r="AB14" s="5" t="s">
        <v>204</v>
      </c>
      <c r="AC14" s="5" t="s">
        <v>201</v>
      </c>
      <c r="AD14" s="5" t="s">
        <v>204</v>
      </c>
      <c r="AE14" s="5" t="s">
        <v>276</v>
      </c>
      <c r="AF14" s="5" t="s">
        <v>206</v>
      </c>
      <c r="AG14" s="5" t="s">
        <v>201</v>
      </c>
      <c r="AH14" s="5" t="s">
        <v>201</v>
      </c>
      <c r="AI14" s="5" t="s">
        <v>201</v>
      </c>
      <c r="AJ14" s="5" t="s">
        <v>201</v>
      </c>
      <c r="AK14" s="5" t="s">
        <v>200</v>
      </c>
      <c r="AL14" s="5" t="s">
        <v>201</v>
      </c>
      <c r="AM14" s="5" t="s">
        <v>277</v>
      </c>
      <c r="AN14" s="5" t="s">
        <v>206</v>
      </c>
      <c r="AO14" s="5" t="s">
        <v>201</v>
      </c>
      <c r="AP14" s="5" t="s">
        <v>201</v>
      </c>
      <c r="AQ14" s="5" t="s">
        <v>202</v>
      </c>
      <c r="AR14" s="5" t="s">
        <v>208</v>
      </c>
      <c r="AS14" s="5" t="s">
        <v>208</v>
      </c>
      <c r="AT14" s="5" t="s">
        <v>201</v>
      </c>
      <c r="AU14" s="5" t="s">
        <v>208</v>
      </c>
      <c r="AV14" s="5" t="s">
        <v>278</v>
      </c>
    </row>
    <row r="15">
      <c r="A15" s="7">
        <v>45867.05416666667</v>
      </c>
      <c r="B15" s="7">
        <v>45867.07361111111</v>
      </c>
      <c r="C15" s="5" t="s">
        <v>99</v>
      </c>
      <c r="D15" s="5" t="s">
        <v>256</v>
      </c>
      <c r="E15" s="8">
        <v>100.0</v>
      </c>
      <c r="F15" s="8">
        <v>1656.0</v>
      </c>
      <c r="G15" s="9" t="b">
        <v>1</v>
      </c>
      <c r="H15" s="7">
        <v>45867.07361111111</v>
      </c>
      <c r="I15" s="5" t="s">
        <v>279</v>
      </c>
      <c r="J15" s="8">
        <v>60.1816</v>
      </c>
      <c r="K15" s="8">
        <v>24.8368</v>
      </c>
      <c r="L15" s="5" t="s">
        <v>194</v>
      </c>
      <c r="M15" s="5" t="s">
        <v>195</v>
      </c>
      <c r="N15" s="5" t="s">
        <v>258</v>
      </c>
      <c r="O15" s="5" t="s">
        <v>216</v>
      </c>
      <c r="P15" s="5" t="s">
        <v>201</v>
      </c>
      <c r="Q15" s="5" t="s">
        <v>204</v>
      </c>
      <c r="R15" s="5" t="s">
        <v>199</v>
      </c>
      <c r="S15" s="5" t="s">
        <v>201</v>
      </c>
      <c r="T15" s="5" t="s">
        <v>201</v>
      </c>
      <c r="U15" s="5" t="s">
        <v>201</v>
      </c>
      <c r="V15" s="5" t="s">
        <v>204</v>
      </c>
      <c r="W15" s="5" t="s">
        <v>204</v>
      </c>
      <c r="X15" s="5" t="s">
        <v>201</v>
      </c>
      <c r="Y15" s="5" t="s">
        <v>201</v>
      </c>
      <c r="Z15" s="5" t="s">
        <v>201</v>
      </c>
      <c r="AA15" s="5" t="s">
        <v>204</v>
      </c>
      <c r="AB15" s="5" t="s">
        <v>204</v>
      </c>
      <c r="AC15" s="5" t="s">
        <v>201</v>
      </c>
      <c r="AD15" s="5" t="s">
        <v>204</v>
      </c>
      <c r="AE15" s="5" t="s">
        <v>280</v>
      </c>
      <c r="AF15" s="5" t="s">
        <v>206</v>
      </c>
      <c r="AG15" s="5" t="s">
        <v>201</v>
      </c>
      <c r="AH15" s="5" t="s">
        <v>202</v>
      </c>
      <c r="AI15" s="5" t="s">
        <v>201</v>
      </c>
      <c r="AJ15" s="5" t="s">
        <v>201</v>
      </c>
      <c r="AK15" s="5" t="s">
        <v>202</v>
      </c>
      <c r="AL15" s="5" t="s">
        <v>201</v>
      </c>
      <c r="AM15" s="5" t="s">
        <v>281</v>
      </c>
      <c r="AN15" s="5" t="s">
        <v>206</v>
      </c>
      <c r="AO15" s="5" t="s">
        <v>201</v>
      </c>
      <c r="AP15" s="5" t="s">
        <v>201</v>
      </c>
      <c r="AQ15" s="5" t="s">
        <v>201</v>
      </c>
      <c r="AR15" s="5" t="s">
        <v>201</v>
      </c>
      <c r="AS15" s="5" t="s">
        <v>201</v>
      </c>
      <c r="AT15" s="5" t="s">
        <v>204</v>
      </c>
      <c r="AU15" s="5" t="s">
        <v>201</v>
      </c>
      <c r="AV15" s="5" t="s">
        <v>282</v>
      </c>
    </row>
    <row r="16">
      <c r="A16" s="7">
        <v>45867.08611111111</v>
      </c>
      <c r="B16" s="7">
        <v>45867.095138888886</v>
      </c>
      <c r="C16" s="5" t="s">
        <v>99</v>
      </c>
      <c r="D16" s="5" t="s">
        <v>192</v>
      </c>
      <c r="E16" s="8">
        <v>100.0</v>
      </c>
      <c r="F16" s="8">
        <v>797.0</v>
      </c>
      <c r="G16" s="9" t="b">
        <v>1</v>
      </c>
      <c r="H16" s="7">
        <v>45867.095138888886</v>
      </c>
      <c r="I16" s="5" t="s">
        <v>283</v>
      </c>
      <c r="J16" s="8">
        <v>60.1816</v>
      </c>
      <c r="K16" s="8">
        <v>24.8368</v>
      </c>
      <c r="L16" s="5" t="s">
        <v>194</v>
      </c>
      <c r="M16" s="5" t="s">
        <v>195</v>
      </c>
      <c r="N16" s="5" t="s">
        <v>284</v>
      </c>
      <c r="O16" s="5" t="s">
        <v>263</v>
      </c>
      <c r="P16" s="5" t="s">
        <v>200</v>
      </c>
      <c r="Q16" s="5" t="s">
        <v>202</v>
      </c>
      <c r="R16" s="5" t="s">
        <v>199</v>
      </c>
      <c r="S16" s="5" t="s">
        <v>202</v>
      </c>
      <c r="T16" s="5" t="s">
        <v>208</v>
      </c>
      <c r="U16" s="5" t="s">
        <v>208</v>
      </c>
      <c r="V16" s="5" t="s">
        <v>202</v>
      </c>
      <c r="W16" s="5" t="s">
        <v>198</v>
      </c>
      <c r="X16" s="5" t="s">
        <v>202</v>
      </c>
      <c r="Y16" s="5" t="s">
        <v>202</v>
      </c>
      <c r="Z16" s="5" t="s">
        <v>198</v>
      </c>
      <c r="AA16" s="5" t="s">
        <v>208</v>
      </c>
      <c r="AB16" s="5" t="s">
        <v>202</v>
      </c>
      <c r="AC16" s="5" t="s">
        <v>202</v>
      </c>
      <c r="AD16" s="5" t="s">
        <v>200</v>
      </c>
      <c r="AE16" s="5" t="s">
        <v>285</v>
      </c>
      <c r="AF16" s="5" t="s">
        <v>206</v>
      </c>
      <c r="AG16" s="5" t="s">
        <v>203</v>
      </c>
      <c r="AH16" s="5" t="s">
        <v>202</v>
      </c>
      <c r="AI16" s="5" t="s">
        <v>202</v>
      </c>
      <c r="AJ16" s="5" t="s">
        <v>202</v>
      </c>
      <c r="AK16" s="5" t="s">
        <v>200</v>
      </c>
      <c r="AL16" s="5" t="s">
        <v>208</v>
      </c>
      <c r="AM16" s="5" t="s">
        <v>286</v>
      </c>
      <c r="AN16" s="5" t="s">
        <v>206</v>
      </c>
      <c r="AO16" s="5" t="s">
        <v>202</v>
      </c>
      <c r="AP16" s="5" t="s">
        <v>198</v>
      </c>
      <c r="AQ16" s="5" t="s">
        <v>202</v>
      </c>
      <c r="AR16" s="5" t="s">
        <v>204</v>
      </c>
      <c r="AS16" s="5" t="s">
        <v>208</v>
      </c>
      <c r="AT16" s="5" t="s">
        <v>200</v>
      </c>
      <c r="AU16" s="5" t="s">
        <v>204</v>
      </c>
      <c r="AV16" s="5" t="s">
        <v>287</v>
      </c>
    </row>
    <row r="17">
      <c r="A17" s="7">
        <v>45867.08125</v>
      </c>
      <c r="B17" s="7">
        <v>45867.09652777778</v>
      </c>
      <c r="C17" s="5" t="s">
        <v>99</v>
      </c>
      <c r="D17" s="5" t="s">
        <v>256</v>
      </c>
      <c r="E17" s="8">
        <v>100.0</v>
      </c>
      <c r="F17" s="8">
        <v>1356.0</v>
      </c>
      <c r="G17" s="9" t="b">
        <v>1</v>
      </c>
      <c r="H17" s="7">
        <v>45867.09652777778</v>
      </c>
      <c r="I17" s="5" t="s">
        <v>288</v>
      </c>
      <c r="J17" s="8">
        <v>60.1816</v>
      </c>
      <c r="K17" s="8">
        <v>24.8368</v>
      </c>
      <c r="L17" s="5" t="s">
        <v>194</v>
      </c>
      <c r="M17" s="5" t="s">
        <v>195</v>
      </c>
      <c r="N17" s="5" t="s">
        <v>289</v>
      </c>
      <c r="O17" s="5" t="s">
        <v>216</v>
      </c>
      <c r="P17" s="5" t="s">
        <v>202</v>
      </c>
      <c r="Q17" s="5" t="s">
        <v>200</v>
      </c>
      <c r="R17" s="5" t="s">
        <v>199</v>
      </c>
      <c r="S17" s="5" t="s">
        <v>202</v>
      </c>
      <c r="T17" s="5" t="s">
        <v>201</v>
      </c>
      <c r="U17" s="5" t="s">
        <v>202</v>
      </c>
      <c r="V17" s="5" t="s">
        <v>203</v>
      </c>
      <c r="W17" s="5" t="s">
        <v>202</v>
      </c>
      <c r="X17" s="5" t="s">
        <v>202</v>
      </c>
      <c r="Y17" s="5" t="s">
        <v>202</v>
      </c>
      <c r="Z17" s="5" t="s">
        <v>201</v>
      </c>
      <c r="AA17" s="5" t="s">
        <v>208</v>
      </c>
      <c r="AB17" s="5" t="s">
        <v>208</v>
      </c>
      <c r="AC17" s="5" t="s">
        <v>201</v>
      </c>
      <c r="AD17" s="5" t="s">
        <v>203</v>
      </c>
      <c r="AE17" s="5" t="s">
        <v>290</v>
      </c>
      <c r="AF17" s="5" t="s">
        <v>206</v>
      </c>
      <c r="AG17" s="5" t="s">
        <v>203</v>
      </c>
      <c r="AH17" s="5" t="s">
        <v>200</v>
      </c>
      <c r="AI17" s="5" t="s">
        <v>202</v>
      </c>
      <c r="AJ17" s="5" t="s">
        <v>200</v>
      </c>
      <c r="AK17" s="5" t="s">
        <v>202</v>
      </c>
      <c r="AL17" s="5" t="s">
        <v>202</v>
      </c>
      <c r="AM17" s="5" t="s">
        <v>291</v>
      </c>
      <c r="AN17" s="5" t="s">
        <v>206</v>
      </c>
      <c r="AO17" s="5" t="s">
        <v>202</v>
      </c>
      <c r="AP17" s="5" t="s">
        <v>201</v>
      </c>
      <c r="AQ17" s="5" t="s">
        <v>201</v>
      </c>
      <c r="AR17" s="5" t="s">
        <v>204</v>
      </c>
      <c r="AS17" s="5" t="s">
        <v>204</v>
      </c>
      <c r="AT17" s="5" t="s">
        <v>204</v>
      </c>
      <c r="AU17" s="5" t="s">
        <v>204</v>
      </c>
      <c r="AV17" s="5" t="s">
        <v>292</v>
      </c>
    </row>
    <row r="18">
      <c r="A18" s="7">
        <v>45867.09722222222</v>
      </c>
      <c r="B18" s="7">
        <v>45867.10902777778</v>
      </c>
      <c r="C18" s="5" t="s">
        <v>99</v>
      </c>
      <c r="D18" s="5" t="s">
        <v>256</v>
      </c>
      <c r="E18" s="8">
        <v>100.0</v>
      </c>
      <c r="F18" s="8">
        <v>986.0</v>
      </c>
      <c r="G18" s="9" t="b">
        <v>1</v>
      </c>
      <c r="H18" s="7">
        <v>45867.10902777778</v>
      </c>
      <c r="I18" s="5" t="s">
        <v>293</v>
      </c>
      <c r="J18" s="8">
        <v>60.1816</v>
      </c>
      <c r="K18" s="8">
        <v>24.8368</v>
      </c>
      <c r="L18" s="5" t="s">
        <v>194</v>
      </c>
      <c r="M18" s="5" t="s">
        <v>195</v>
      </c>
      <c r="N18" s="5" t="s">
        <v>284</v>
      </c>
      <c r="O18" s="5" t="s">
        <v>211</v>
      </c>
      <c r="P18" s="5" t="s">
        <v>198</v>
      </c>
      <c r="Q18" s="5" t="s">
        <v>198</v>
      </c>
      <c r="R18" s="5" t="s">
        <v>199</v>
      </c>
      <c r="S18" s="5" t="s">
        <v>200</v>
      </c>
      <c r="T18" s="5" t="s">
        <v>200</v>
      </c>
      <c r="U18" s="5" t="s">
        <v>208</v>
      </c>
      <c r="V18" s="5" t="s">
        <v>198</v>
      </c>
      <c r="W18" s="5" t="s">
        <v>198</v>
      </c>
      <c r="X18" s="5" t="s">
        <v>202</v>
      </c>
      <c r="Y18" s="5" t="s">
        <v>200</v>
      </c>
      <c r="Z18" s="5" t="s">
        <v>202</v>
      </c>
      <c r="AA18" s="5" t="s">
        <v>208</v>
      </c>
      <c r="AB18" s="5" t="s">
        <v>198</v>
      </c>
      <c r="AC18" s="5" t="s">
        <v>202</v>
      </c>
      <c r="AD18" s="5" t="s">
        <v>202</v>
      </c>
      <c r="AE18" s="5" t="s">
        <v>294</v>
      </c>
      <c r="AF18" s="5" t="s">
        <v>206</v>
      </c>
      <c r="AG18" s="5" t="s">
        <v>198</v>
      </c>
      <c r="AH18" s="5" t="s">
        <v>200</v>
      </c>
      <c r="AI18" s="5" t="s">
        <v>200</v>
      </c>
      <c r="AJ18" s="5" t="s">
        <v>200</v>
      </c>
      <c r="AK18" s="5" t="s">
        <v>200</v>
      </c>
      <c r="AL18" s="5" t="s">
        <v>200</v>
      </c>
      <c r="AM18" s="5" t="s">
        <v>295</v>
      </c>
      <c r="AN18" s="5" t="s">
        <v>206</v>
      </c>
      <c r="AO18" s="5" t="s">
        <v>200</v>
      </c>
      <c r="AP18" s="5" t="s">
        <v>200</v>
      </c>
      <c r="AQ18" s="5" t="s">
        <v>200</v>
      </c>
      <c r="AR18" s="5" t="s">
        <v>208</v>
      </c>
      <c r="AS18" s="5" t="s">
        <v>208</v>
      </c>
      <c r="AT18" s="5" t="s">
        <v>208</v>
      </c>
      <c r="AU18" s="5" t="s">
        <v>204</v>
      </c>
      <c r="AV18" s="5" t="s">
        <v>296</v>
      </c>
    </row>
    <row r="19">
      <c r="A19" s="7">
        <v>45867.10555555556</v>
      </c>
      <c r="B19" s="7">
        <v>45867.11041666667</v>
      </c>
      <c r="C19" s="5" t="s">
        <v>99</v>
      </c>
      <c r="D19" s="5" t="s">
        <v>192</v>
      </c>
      <c r="E19" s="8">
        <v>100.0</v>
      </c>
      <c r="F19" s="8">
        <v>401.0</v>
      </c>
      <c r="G19" s="9" t="b">
        <v>1</v>
      </c>
      <c r="H19" s="7">
        <v>45867.11041666667</v>
      </c>
      <c r="I19" s="5" t="s">
        <v>297</v>
      </c>
      <c r="J19" s="8">
        <v>60.1816</v>
      </c>
      <c r="K19" s="8">
        <v>24.8368</v>
      </c>
      <c r="L19" s="5" t="s">
        <v>194</v>
      </c>
      <c r="M19" s="5" t="s">
        <v>195</v>
      </c>
      <c r="N19" s="5" t="s">
        <v>289</v>
      </c>
      <c r="O19" s="5" t="s">
        <v>197</v>
      </c>
      <c r="P19" s="5" t="s">
        <v>201</v>
      </c>
      <c r="Q19" s="5" t="s">
        <v>202</v>
      </c>
      <c r="R19" s="5" t="s">
        <v>199</v>
      </c>
      <c r="S19" s="5" t="s">
        <v>202</v>
      </c>
      <c r="T19" s="5" t="s">
        <v>201</v>
      </c>
      <c r="U19" s="5" t="s">
        <v>200</v>
      </c>
      <c r="V19" s="5" t="s">
        <v>201</v>
      </c>
      <c r="W19" s="5" t="s">
        <v>201</v>
      </c>
      <c r="X19" s="5" t="s">
        <v>201</v>
      </c>
      <c r="Y19" s="5" t="s">
        <v>202</v>
      </c>
      <c r="Z19" s="5" t="s">
        <v>202</v>
      </c>
      <c r="AA19" s="5" t="s">
        <v>198</v>
      </c>
      <c r="AB19" s="5" t="s">
        <v>203</v>
      </c>
      <c r="AC19" s="5" t="s">
        <v>201</v>
      </c>
      <c r="AD19" s="5" t="s">
        <v>202</v>
      </c>
      <c r="AE19" s="5" t="s">
        <v>298</v>
      </c>
      <c r="AF19" s="5" t="s">
        <v>206</v>
      </c>
      <c r="AG19" s="5" t="s">
        <v>202</v>
      </c>
      <c r="AH19" s="5" t="s">
        <v>202</v>
      </c>
      <c r="AI19" s="5" t="s">
        <v>201</v>
      </c>
      <c r="AJ19" s="5" t="s">
        <v>201</v>
      </c>
      <c r="AK19" s="5" t="s">
        <v>201</v>
      </c>
      <c r="AL19" s="5" t="s">
        <v>200</v>
      </c>
      <c r="AM19" s="5" t="s">
        <v>299</v>
      </c>
      <c r="AN19" s="5" t="s">
        <v>206</v>
      </c>
      <c r="AO19" s="5" t="s">
        <v>202</v>
      </c>
      <c r="AP19" s="5" t="s">
        <v>200</v>
      </c>
      <c r="AQ19" s="5" t="s">
        <v>201</v>
      </c>
      <c r="AR19" s="5" t="s">
        <v>208</v>
      </c>
      <c r="AS19" s="5" t="s">
        <v>204</v>
      </c>
      <c r="AT19" s="5" t="s">
        <v>198</v>
      </c>
      <c r="AU19" s="5" t="s">
        <v>208</v>
      </c>
      <c r="AV19" s="5" t="s">
        <v>300</v>
      </c>
    </row>
    <row r="20">
      <c r="A20" s="7">
        <v>45867.10972222222</v>
      </c>
      <c r="B20" s="7">
        <v>45867.11944444444</v>
      </c>
      <c r="C20" s="5" t="s">
        <v>99</v>
      </c>
      <c r="D20" s="5" t="s">
        <v>256</v>
      </c>
      <c r="E20" s="8">
        <v>100.0</v>
      </c>
      <c r="F20" s="8">
        <v>845.0</v>
      </c>
      <c r="G20" s="9" t="b">
        <v>1</v>
      </c>
      <c r="H20" s="7">
        <v>45867.11944444444</v>
      </c>
      <c r="I20" s="5" t="s">
        <v>301</v>
      </c>
      <c r="J20" s="8">
        <v>60.1816</v>
      </c>
      <c r="K20" s="8">
        <v>24.8368</v>
      </c>
      <c r="L20" s="5" t="s">
        <v>194</v>
      </c>
      <c r="M20" s="5" t="s">
        <v>195</v>
      </c>
      <c r="N20" s="5" t="s">
        <v>284</v>
      </c>
      <c r="O20" s="5" t="s">
        <v>216</v>
      </c>
      <c r="P20" s="5" t="s">
        <v>198</v>
      </c>
      <c r="Q20" s="5" t="s">
        <v>208</v>
      </c>
      <c r="R20" s="5" t="s">
        <v>199</v>
      </c>
      <c r="S20" s="5" t="s">
        <v>200</v>
      </c>
      <c r="T20" s="5" t="s">
        <v>198</v>
      </c>
      <c r="U20" s="5" t="s">
        <v>198</v>
      </c>
      <c r="V20" s="5" t="s">
        <v>198</v>
      </c>
      <c r="W20" s="5" t="s">
        <v>198</v>
      </c>
      <c r="X20" s="5" t="s">
        <v>202</v>
      </c>
      <c r="Y20" s="5" t="s">
        <v>202</v>
      </c>
      <c r="Z20" s="5" t="s">
        <v>202</v>
      </c>
      <c r="AA20" s="5" t="s">
        <v>208</v>
      </c>
      <c r="AB20" s="5" t="s">
        <v>198</v>
      </c>
      <c r="AC20" s="5" t="s">
        <v>202</v>
      </c>
      <c r="AD20" s="5" t="s">
        <v>200</v>
      </c>
      <c r="AE20" s="5" t="s">
        <v>302</v>
      </c>
      <c r="AF20" s="5" t="s">
        <v>206</v>
      </c>
      <c r="AG20" s="5" t="s">
        <v>200</v>
      </c>
      <c r="AH20" s="5" t="s">
        <v>202</v>
      </c>
      <c r="AI20" s="5" t="s">
        <v>202</v>
      </c>
      <c r="AJ20" s="5" t="s">
        <v>202</v>
      </c>
      <c r="AK20" s="5" t="s">
        <v>200</v>
      </c>
      <c r="AL20" s="5" t="s">
        <v>200</v>
      </c>
      <c r="AM20" s="5" t="s">
        <v>303</v>
      </c>
      <c r="AN20" s="5" t="s">
        <v>206</v>
      </c>
      <c r="AO20" s="5" t="s">
        <v>202</v>
      </c>
      <c r="AP20" s="5" t="s">
        <v>202</v>
      </c>
      <c r="AQ20" s="5" t="s">
        <v>198</v>
      </c>
      <c r="AR20" s="5" t="s">
        <v>208</v>
      </c>
      <c r="AS20" s="5" t="s">
        <v>208</v>
      </c>
      <c r="AT20" s="5" t="s">
        <v>208</v>
      </c>
      <c r="AU20" s="5" t="s">
        <v>204</v>
      </c>
      <c r="AV20" s="5" t="s">
        <v>304</v>
      </c>
    </row>
    <row r="21">
      <c r="A21" s="7">
        <v>45867.11666666667</v>
      </c>
      <c r="B21" s="7">
        <v>45867.12013888889</v>
      </c>
      <c r="C21" s="5" t="s">
        <v>99</v>
      </c>
      <c r="D21" s="5" t="s">
        <v>192</v>
      </c>
      <c r="E21" s="8">
        <v>100.0</v>
      </c>
      <c r="F21" s="8">
        <v>341.0</v>
      </c>
      <c r="G21" s="9" t="b">
        <v>1</v>
      </c>
      <c r="H21" s="7">
        <v>45867.12013888889</v>
      </c>
      <c r="I21" s="5" t="s">
        <v>305</v>
      </c>
      <c r="J21" s="8">
        <v>60.1816</v>
      </c>
      <c r="K21" s="8">
        <v>24.8368</v>
      </c>
      <c r="L21" s="5" t="s">
        <v>194</v>
      </c>
      <c r="M21" s="5" t="s">
        <v>195</v>
      </c>
      <c r="N21" s="5" t="s">
        <v>289</v>
      </c>
      <c r="O21" s="5" t="s">
        <v>263</v>
      </c>
      <c r="P21" s="5" t="s">
        <v>201</v>
      </c>
      <c r="Q21" s="5" t="s">
        <v>200</v>
      </c>
      <c r="R21" s="5" t="s">
        <v>199</v>
      </c>
      <c r="S21" s="5" t="s">
        <v>201</v>
      </c>
      <c r="T21" s="5" t="s">
        <v>201</v>
      </c>
      <c r="U21" s="5" t="s">
        <v>201</v>
      </c>
      <c r="V21" s="5" t="s">
        <v>200</v>
      </c>
      <c r="W21" s="5" t="s">
        <v>201</v>
      </c>
      <c r="X21" s="5" t="s">
        <v>202</v>
      </c>
      <c r="Y21" s="5" t="s">
        <v>202</v>
      </c>
      <c r="Z21" s="5" t="s">
        <v>200</v>
      </c>
      <c r="AA21" s="5" t="s">
        <v>202</v>
      </c>
      <c r="AB21" s="5" t="s">
        <v>203</v>
      </c>
      <c r="AC21" s="5" t="s">
        <v>202</v>
      </c>
      <c r="AD21" s="5" t="s">
        <v>208</v>
      </c>
      <c r="AE21" s="5" t="s">
        <v>306</v>
      </c>
      <c r="AF21" s="5" t="s">
        <v>206</v>
      </c>
      <c r="AG21" s="5" t="s">
        <v>202</v>
      </c>
      <c r="AH21" s="5" t="s">
        <v>201</v>
      </c>
      <c r="AI21" s="5" t="s">
        <v>201</v>
      </c>
      <c r="AJ21" s="5" t="s">
        <v>201</v>
      </c>
      <c r="AK21" s="5" t="s">
        <v>201</v>
      </c>
      <c r="AL21" s="5" t="s">
        <v>202</v>
      </c>
      <c r="AM21" s="5" t="s">
        <v>307</v>
      </c>
      <c r="AN21" s="5" t="s">
        <v>206</v>
      </c>
      <c r="AO21" s="5" t="s">
        <v>201</v>
      </c>
      <c r="AP21" s="5" t="s">
        <v>202</v>
      </c>
      <c r="AQ21" s="5" t="s">
        <v>201</v>
      </c>
      <c r="AR21" s="5" t="s">
        <v>208</v>
      </c>
      <c r="AS21" s="5" t="s">
        <v>204</v>
      </c>
      <c r="AT21" s="5" t="s">
        <v>204</v>
      </c>
      <c r="AU21" s="5" t="s">
        <v>204</v>
      </c>
      <c r="AV21" s="5" t="s">
        <v>308</v>
      </c>
    </row>
    <row r="22">
      <c r="A22" s="7">
        <v>45867.123611111114</v>
      </c>
      <c r="B22" s="7">
        <v>45867.12847222222</v>
      </c>
      <c r="C22" s="5" t="s">
        <v>99</v>
      </c>
      <c r="D22" s="5" t="s">
        <v>256</v>
      </c>
      <c r="E22" s="8">
        <v>100.0</v>
      </c>
      <c r="F22" s="8">
        <v>465.0</v>
      </c>
      <c r="G22" s="9" t="b">
        <v>1</v>
      </c>
      <c r="H22" s="7">
        <v>45867.12847222222</v>
      </c>
      <c r="I22" s="5" t="s">
        <v>309</v>
      </c>
      <c r="J22" s="8">
        <v>60.1816</v>
      </c>
      <c r="K22" s="8">
        <v>24.8368</v>
      </c>
      <c r="L22" s="5" t="s">
        <v>194</v>
      </c>
      <c r="M22" s="5" t="s">
        <v>195</v>
      </c>
      <c r="N22" s="5" t="s">
        <v>289</v>
      </c>
      <c r="O22" s="5" t="s">
        <v>216</v>
      </c>
      <c r="P22" s="5" t="s">
        <v>201</v>
      </c>
      <c r="Q22" s="5" t="s">
        <v>202</v>
      </c>
      <c r="R22" s="5" t="s">
        <v>199</v>
      </c>
      <c r="S22" s="5" t="s">
        <v>201</v>
      </c>
      <c r="T22" s="5" t="s">
        <v>201</v>
      </c>
      <c r="U22" s="5" t="s">
        <v>202</v>
      </c>
      <c r="V22" s="5" t="s">
        <v>201</v>
      </c>
      <c r="W22" s="5" t="s">
        <v>201</v>
      </c>
      <c r="X22" s="5" t="s">
        <v>201</v>
      </c>
      <c r="Y22" s="5" t="s">
        <v>201</v>
      </c>
      <c r="Z22" s="5" t="s">
        <v>201</v>
      </c>
      <c r="AA22" s="5" t="s">
        <v>202</v>
      </c>
      <c r="AB22" s="5" t="s">
        <v>203</v>
      </c>
      <c r="AC22" s="5" t="s">
        <v>201</v>
      </c>
      <c r="AD22" s="5" t="s">
        <v>202</v>
      </c>
      <c r="AE22" s="5" t="s">
        <v>310</v>
      </c>
      <c r="AF22" s="5" t="s">
        <v>206</v>
      </c>
      <c r="AG22" s="5" t="s">
        <v>201</v>
      </c>
      <c r="AH22" s="5" t="s">
        <v>202</v>
      </c>
      <c r="AI22" s="5" t="s">
        <v>202</v>
      </c>
      <c r="AJ22" s="5" t="s">
        <v>202</v>
      </c>
      <c r="AK22" s="5" t="s">
        <v>201</v>
      </c>
      <c r="AL22" s="5" t="s">
        <v>202</v>
      </c>
      <c r="AM22" s="5" t="s">
        <v>311</v>
      </c>
      <c r="AN22" s="5" t="s">
        <v>206</v>
      </c>
      <c r="AO22" s="5" t="s">
        <v>202</v>
      </c>
      <c r="AP22" s="5" t="s">
        <v>201</v>
      </c>
      <c r="AQ22" s="5" t="s">
        <v>201</v>
      </c>
      <c r="AR22" s="5" t="s">
        <v>204</v>
      </c>
      <c r="AS22" s="5" t="s">
        <v>204</v>
      </c>
      <c r="AT22" s="5" t="s">
        <v>204</v>
      </c>
      <c r="AU22" s="5" t="s">
        <v>204</v>
      </c>
      <c r="AV22" s="5" t="s">
        <v>312</v>
      </c>
    </row>
    <row r="23">
      <c r="A23" s="7">
        <v>45867.12569444445</v>
      </c>
      <c r="B23" s="7">
        <v>45867.131944444445</v>
      </c>
      <c r="C23" s="5" t="s">
        <v>99</v>
      </c>
      <c r="D23" s="5" t="s">
        <v>192</v>
      </c>
      <c r="E23" s="8">
        <v>100.0</v>
      </c>
      <c r="F23" s="8">
        <v>559.0</v>
      </c>
      <c r="G23" s="9" t="b">
        <v>1</v>
      </c>
      <c r="H23" s="7">
        <v>45867.131944444445</v>
      </c>
      <c r="I23" s="5" t="s">
        <v>313</v>
      </c>
      <c r="J23" s="8">
        <v>60.1816</v>
      </c>
      <c r="K23" s="8">
        <v>24.8368</v>
      </c>
      <c r="L23" s="5" t="s">
        <v>194</v>
      </c>
      <c r="M23" s="5" t="s">
        <v>195</v>
      </c>
      <c r="N23" s="5" t="s">
        <v>284</v>
      </c>
      <c r="O23" s="5" t="s">
        <v>197</v>
      </c>
      <c r="P23" s="5" t="s">
        <v>202</v>
      </c>
      <c r="Q23" s="5" t="s">
        <v>203</v>
      </c>
      <c r="R23" s="5" t="s">
        <v>199</v>
      </c>
      <c r="S23" s="5" t="s">
        <v>200</v>
      </c>
      <c r="T23" s="5" t="s">
        <v>202</v>
      </c>
      <c r="U23" s="5" t="s">
        <v>208</v>
      </c>
      <c r="V23" s="5" t="s">
        <v>198</v>
      </c>
      <c r="W23" s="5" t="s">
        <v>208</v>
      </c>
      <c r="X23" s="5" t="s">
        <v>202</v>
      </c>
      <c r="Y23" s="5" t="s">
        <v>202</v>
      </c>
      <c r="Z23" s="5" t="s">
        <v>202</v>
      </c>
      <c r="AA23" s="5" t="s">
        <v>208</v>
      </c>
      <c r="AB23" s="5" t="s">
        <v>208</v>
      </c>
      <c r="AC23" s="5" t="s">
        <v>208</v>
      </c>
      <c r="AD23" s="5" t="s">
        <v>200</v>
      </c>
      <c r="AE23" s="5" t="s">
        <v>314</v>
      </c>
      <c r="AF23" s="5" t="s">
        <v>206</v>
      </c>
      <c r="AG23" s="5" t="s">
        <v>202</v>
      </c>
      <c r="AH23" s="5" t="s">
        <v>202</v>
      </c>
      <c r="AI23" s="5" t="s">
        <v>202</v>
      </c>
      <c r="AJ23" s="5" t="s">
        <v>202</v>
      </c>
      <c r="AK23" s="5" t="s">
        <v>202</v>
      </c>
      <c r="AL23" s="5" t="s">
        <v>200</v>
      </c>
      <c r="AM23" s="5" t="s">
        <v>315</v>
      </c>
      <c r="AN23" s="5" t="s">
        <v>206</v>
      </c>
      <c r="AO23" s="5" t="s">
        <v>202</v>
      </c>
      <c r="AP23" s="5" t="s">
        <v>202</v>
      </c>
      <c r="AQ23" s="5" t="s">
        <v>200</v>
      </c>
      <c r="AR23" s="5" t="s">
        <v>208</v>
      </c>
      <c r="AS23" s="5" t="s">
        <v>203</v>
      </c>
      <c r="AT23" s="5" t="s">
        <v>200</v>
      </c>
      <c r="AU23" s="5" t="s">
        <v>208</v>
      </c>
      <c r="AV23" s="5" t="s">
        <v>316</v>
      </c>
    </row>
    <row r="24">
      <c r="A24" s="7">
        <v>45867.20277777778</v>
      </c>
      <c r="B24" s="7">
        <v>45867.2125</v>
      </c>
      <c r="C24" s="5" t="s">
        <v>99</v>
      </c>
      <c r="D24" s="5" t="s">
        <v>192</v>
      </c>
      <c r="E24" s="8">
        <v>100.0</v>
      </c>
      <c r="F24" s="8">
        <v>845.0</v>
      </c>
      <c r="G24" s="9" t="b">
        <v>1</v>
      </c>
      <c r="H24" s="7">
        <v>45867.2125</v>
      </c>
      <c r="I24" s="5" t="s">
        <v>317</v>
      </c>
      <c r="J24" s="8">
        <v>60.1816</v>
      </c>
      <c r="K24" s="8">
        <v>24.8368</v>
      </c>
      <c r="L24" s="5" t="s">
        <v>194</v>
      </c>
      <c r="M24" s="5" t="s">
        <v>195</v>
      </c>
      <c r="N24" s="5" t="s">
        <v>318</v>
      </c>
      <c r="O24" s="5" t="s">
        <v>197</v>
      </c>
      <c r="P24" s="5" t="s">
        <v>198</v>
      </c>
      <c r="Q24" s="5" t="s">
        <v>208</v>
      </c>
      <c r="R24" s="5" t="s">
        <v>199</v>
      </c>
      <c r="S24" s="5" t="s">
        <v>198</v>
      </c>
      <c r="T24" s="5" t="s">
        <v>200</v>
      </c>
      <c r="U24" s="5" t="s">
        <v>198</v>
      </c>
      <c r="V24" s="5" t="s">
        <v>203</v>
      </c>
      <c r="W24" s="5" t="s">
        <v>198</v>
      </c>
      <c r="X24" s="5" t="s">
        <v>200</v>
      </c>
      <c r="Y24" s="5" t="s">
        <v>202</v>
      </c>
      <c r="Z24" s="5" t="s">
        <v>203</v>
      </c>
      <c r="AA24" s="5" t="s">
        <v>208</v>
      </c>
      <c r="AB24" s="5" t="s">
        <v>204</v>
      </c>
      <c r="AC24" s="5" t="s">
        <v>203</v>
      </c>
      <c r="AD24" s="5" t="s">
        <v>202</v>
      </c>
      <c r="AE24" s="5" t="s">
        <v>319</v>
      </c>
      <c r="AF24" s="5" t="s">
        <v>206</v>
      </c>
      <c r="AG24" s="5" t="s">
        <v>198</v>
      </c>
      <c r="AH24" s="5" t="s">
        <v>200</v>
      </c>
      <c r="AI24" s="5" t="s">
        <v>200</v>
      </c>
      <c r="AJ24" s="5" t="s">
        <v>202</v>
      </c>
      <c r="AK24" s="5" t="s">
        <v>200</v>
      </c>
      <c r="AL24" s="5" t="s">
        <v>202</v>
      </c>
      <c r="AM24" s="5" t="s">
        <v>320</v>
      </c>
      <c r="AN24" s="5" t="s">
        <v>206</v>
      </c>
      <c r="AO24" s="5" t="s">
        <v>200</v>
      </c>
      <c r="AP24" s="5" t="s">
        <v>202</v>
      </c>
      <c r="AQ24" s="5" t="s">
        <v>202</v>
      </c>
      <c r="AR24" s="5" t="s">
        <v>204</v>
      </c>
      <c r="AS24" s="5" t="s">
        <v>204</v>
      </c>
      <c r="AT24" s="5" t="s">
        <v>204</v>
      </c>
      <c r="AU24" s="5" t="s">
        <v>204</v>
      </c>
      <c r="AV24" s="5" t="s">
        <v>321</v>
      </c>
    </row>
    <row r="25">
      <c r="A25" s="7">
        <v>45867.21805555555</v>
      </c>
      <c r="B25" s="7">
        <v>45867.22222222222</v>
      </c>
      <c r="C25" s="5" t="s">
        <v>99</v>
      </c>
      <c r="D25" s="5" t="s">
        <v>256</v>
      </c>
      <c r="E25" s="8">
        <v>100.0</v>
      </c>
      <c r="F25" s="8">
        <v>353.0</v>
      </c>
      <c r="G25" s="9" t="b">
        <v>1</v>
      </c>
      <c r="H25" s="7">
        <v>45867.22222222222</v>
      </c>
      <c r="I25" s="5" t="s">
        <v>322</v>
      </c>
      <c r="J25" s="8">
        <v>60.1816</v>
      </c>
      <c r="K25" s="8">
        <v>24.8368</v>
      </c>
      <c r="L25" s="5" t="s">
        <v>194</v>
      </c>
      <c r="M25" s="5" t="s">
        <v>195</v>
      </c>
      <c r="N25" s="5" t="s">
        <v>318</v>
      </c>
      <c r="O25" s="5" t="s">
        <v>211</v>
      </c>
      <c r="P25" s="5" t="s">
        <v>200</v>
      </c>
      <c r="Q25" s="5" t="s">
        <v>203</v>
      </c>
      <c r="R25" s="5" t="s">
        <v>199</v>
      </c>
      <c r="S25" s="5" t="s">
        <v>202</v>
      </c>
      <c r="T25" s="5" t="s">
        <v>200</v>
      </c>
      <c r="U25" s="5" t="s">
        <v>198</v>
      </c>
      <c r="V25" s="5" t="s">
        <v>203</v>
      </c>
      <c r="W25" s="5" t="s">
        <v>203</v>
      </c>
      <c r="X25" s="5" t="s">
        <v>202</v>
      </c>
      <c r="Y25" s="5" t="s">
        <v>202</v>
      </c>
      <c r="Z25" s="5" t="s">
        <v>202</v>
      </c>
      <c r="AA25" s="5" t="s">
        <v>208</v>
      </c>
      <c r="AB25" s="5" t="s">
        <v>198</v>
      </c>
      <c r="AC25" s="5" t="s">
        <v>203</v>
      </c>
      <c r="AD25" s="5" t="s">
        <v>200</v>
      </c>
      <c r="AE25" s="5" t="s">
        <v>323</v>
      </c>
      <c r="AF25" s="5" t="s">
        <v>206</v>
      </c>
      <c r="AG25" s="5" t="s">
        <v>202</v>
      </c>
      <c r="AH25" s="5" t="s">
        <v>202</v>
      </c>
      <c r="AI25" s="5" t="s">
        <v>202</v>
      </c>
      <c r="AJ25" s="5" t="s">
        <v>201</v>
      </c>
      <c r="AK25" s="5" t="s">
        <v>201</v>
      </c>
      <c r="AL25" s="5" t="s">
        <v>202</v>
      </c>
      <c r="AM25" s="5" t="s">
        <v>324</v>
      </c>
      <c r="AN25" s="5" t="s">
        <v>206</v>
      </c>
      <c r="AO25" s="5" t="s">
        <v>202</v>
      </c>
      <c r="AP25" s="5" t="s">
        <v>202</v>
      </c>
      <c r="AQ25" s="5" t="s">
        <v>202</v>
      </c>
      <c r="AR25" s="5" t="s">
        <v>204</v>
      </c>
      <c r="AS25" s="5" t="s">
        <v>204</v>
      </c>
      <c r="AT25" s="5" t="s">
        <v>204</v>
      </c>
      <c r="AU25" s="5" t="s">
        <v>204</v>
      </c>
      <c r="AV25" s="5" t="s">
        <v>325</v>
      </c>
    </row>
    <row r="26">
      <c r="A26" s="7">
        <v>45867.225</v>
      </c>
      <c r="B26" s="7">
        <v>45867.23125</v>
      </c>
      <c r="C26" s="5" t="s">
        <v>99</v>
      </c>
      <c r="D26" s="5" t="s">
        <v>256</v>
      </c>
      <c r="E26" s="8">
        <v>100.0</v>
      </c>
      <c r="F26" s="8">
        <v>560.0</v>
      </c>
      <c r="G26" s="9" t="b">
        <v>1</v>
      </c>
      <c r="H26" s="7">
        <v>45867.23125</v>
      </c>
      <c r="I26" s="5" t="s">
        <v>326</v>
      </c>
      <c r="J26" s="8">
        <v>60.1816</v>
      </c>
      <c r="K26" s="8">
        <v>24.8368</v>
      </c>
      <c r="L26" s="5" t="s">
        <v>194</v>
      </c>
      <c r="M26" s="5" t="s">
        <v>195</v>
      </c>
      <c r="N26" s="5" t="s">
        <v>318</v>
      </c>
      <c r="O26" s="5" t="s">
        <v>216</v>
      </c>
      <c r="P26" s="5" t="s">
        <v>203</v>
      </c>
      <c r="Q26" s="5" t="s">
        <v>198</v>
      </c>
      <c r="R26" s="5" t="s">
        <v>199</v>
      </c>
      <c r="S26" s="5" t="s">
        <v>202</v>
      </c>
      <c r="T26" s="5" t="s">
        <v>202</v>
      </c>
      <c r="U26" s="5" t="s">
        <v>198</v>
      </c>
      <c r="V26" s="5" t="s">
        <v>198</v>
      </c>
      <c r="W26" s="5" t="s">
        <v>200</v>
      </c>
      <c r="X26" s="5" t="s">
        <v>202</v>
      </c>
      <c r="Y26" s="5" t="s">
        <v>202</v>
      </c>
      <c r="Z26" s="5" t="s">
        <v>200</v>
      </c>
      <c r="AA26" s="5" t="s">
        <v>198</v>
      </c>
      <c r="AB26" s="5" t="s">
        <v>203</v>
      </c>
      <c r="AC26" s="5" t="s">
        <v>198</v>
      </c>
      <c r="AD26" s="5" t="s">
        <v>200</v>
      </c>
      <c r="AE26" s="5" t="s">
        <v>327</v>
      </c>
      <c r="AF26" s="5" t="s">
        <v>206</v>
      </c>
      <c r="AG26" s="5" t="s">
        <v>202</v>
      </c>
      <c r="AH26" s="5" t="s">
        <v>201</v>
      </c>
      <c r="AI26" s="5" t="s">
        <v>202</v>
      </c>
      <c r="AJ26" s="5" t="s">
        <v>201</v>
      </c>
      <c r="AK26" s="5" t="s">
        <v>201</v>
      </c>
      <c r="AL26" s="5" t="s">
        <v>201</v>
      </c>
      <c r="AM26" s="5" t="s">
        <v>328</v>
      </c>
      <c r="AN26" s="5" t="s">
        <v>206</v>
      </c>
      <c r="AO26" s="5" t="s">
        <v>202</v>
      </c>
      <c r="AP26" s="5" t="s">
        <v>201</v>
      </c>
      <c r="AQ26" s="5" t="s">
        <v>200</v>
      </c>
      <c r="AR26" s="5" t="s">
        <v>204</v>
      </c>
      <c r="AS26" s="5" t="s">
        <v>204</v>
      </c>
      <c r="AT26" s="5" t="s">
        <v>204</v>
      </c>
      <c r="AU26" s="5" t="s">
        <v>204</v>
      </c>
      <c r="AV26" s="5" t="s">
        <v>329</v>
      </c>
    </row>
    <row r="27">
      <c r="A27" s="7">
        <v>45867.228472222225</v>
      </c>
      <c r="B27" s="7">
        <v>45867.240277777775</v>
      </c>
      <c r="C27" s="5" t="s">
        <v>99</v>
      </c>
      <c r="D27" s="5" t="s">
        <v>192</v>
      </c>
      <c r="E27" s="8">
        <v>100.0</v>
      </c>
      <c r="F27" s="8">
        <v>990.0</v>
      </c>
      <c r="G27" s="9" t="b">
        <v>1</v>
      </c>
      <c r="H27" s="7">
        <v>45867.240277777775</v>
      </c>
      <c r="I27" s="5" t="s">
        <v>330</v>
      </c>
      <c r="J27" s="8">
        <v>60.1816</v>
      </c>
      <c r="K27" s="8">
        <v>24.8368</v>
      </c>
      <c r="L27" s="5" t="s">
        <v>194</v>
      </c>
      <c r="M27" s="5" t="s">
        <v>195</v>
      </c>
      <c r="N27" s="5" t="s">
        <v>331</v>
      </c>
      <c r="O27" s="5" t="s">
        <v>197</v>
      </c>
      <c r="P27" s="5" t="s">
        <v>202</v>
      </c>
      <c r="Q27" s="5" t="s">
        <v>202</v>
      </c>
      <c r="R27" s="5" t="s">
        <v>199</v>
      </c>
      <c r="S27" s="5" t="s">
        <v>202</v>
      </c>
      <c r="T27" s="5" t="s">
        <v>201</v>
      </c>
      <c r="U27" s="5" t="s">
        <v>200</v>
      </c>
      <c r="V27" s="5" t="s">
        <v>202</v>
      </c>
      <c r="W27" s="5" t="s">
        <v>202</v>
      </c>
      <c r="X27" s="5" t="s">
        <v>200</v>
      </c>
      <c r="Y27" s="5" t="s">
        <v>200</v>
      </c>
      <c r="Z27" s="5" t="s">
        <v>201</v>
      </c>
      <c r="AA27" s="5" t="s">
        <v>198</v>
      </c>
      <c r="AB27" s="5" t="s">
        <v>200</v>
      </c>
      <c r="AC27" s="5" t="s">
        <v>201</v>
      </c>
      <c r="AD27" s="5" t="s">
        <v>208</v>
      </c>
      <c r="AE27" s="5" t="s">
        <v>332</v>
      </c>
      <c r="AF27" s="5" t="s">
        <v>206</v>
      </c>
      <c r="AG27" s="5" t="s">
        <v>200</v>
      </c>
      <c r="AH27" s="5" t="s">
        <v>201</v>
      </c>
      <c r="AI27" s="5" t="s">
        <v>201</v>
      </c>
      <c r="AJ27" s="5" t="s">
        <v>201</v>
      </c>
      <c r="AK27" s="5" t="s">
        <v>201</v>
      </c>
      <c r="AL27" s="5" t="s">
        <v>203</v>
      </c>
      <c r="AM27" s="5" t="s">
        <v>333</v>
      </c>
      <c r="AN27" s="5" t="s">
        <v>206</v>
      </c>
      <c r="AO27" s="5" t="s">
        <v>201</v>
      </c>
      <c r="AP27" s="5" t="s">
        <v>202</v>
      </c>
      <c r="AQ27" s="5" t="s">
        <v>201</v>
      </c>
      <c r="AR27" s="5" t="s">
        <v>208</v>
      </c>
      <c r="AS27" s="5" t="s">
        <v>204</v>
      </c>
      <c r="AT27" s="5" t="s">
        <v>208</v>
      </c>
      <c r="AU27" s="5" t="s">
        <v>204</v>
      </c>
      <c r="AV27" s="5" t="s">
        <v>334</v>
      </c>
    </row>
    <row r="28">
      <c r="A28" s="7">
        <v>45867.24097222222</v>
      </c>
      <c r="B28" s="7">
        <v>45867.25208333333</v>
      </c>
      <c r="C28" s="5" t="s">
        <v>99</v>
      </c>
      <c r="D28" s="5" t="s">
        <v>256</v>
      </c>
      <c r="E28" s="8">
        <v>100.0</v>
      </c>
      <c r="F28" s="8">
        <v>934.0</v>
      </c>
      <c r="G28" s="9" t="b">
        <v>1</v>
      </c>
      <c r="H28" s="7">
        <v>45867.25208333333</v>
      </c>
      <c r="I28" s="5" t="s">
        <v>335</v>
      </c>
      <c r="J28" s="8">
        <v>60.1816</v>
      </c>
      <c r="K28" s="8">
        <v>24.8368</v>
      </c>
      <c r="L28" s="5" t="s">
        <v>194</v>
      </c>
      <c r="M28" s="5" t="s">
        <v>195</v>
      </c>
      <c r="N28" s="5" t="s">
        <v>331</v>
      </c>
      <c r="O28" s="5" t="s">
        <v>211</v>
      </c>
      <c r="P28" s="5" t="s">
        <v>200</v>
      </c>
      <c r="Q28" s="5" t="s">
        <v>202</v>
      </c>
      <c r="R28" s="5" t="s">
        <v>199</v>
      </c>
      <c r="S28" s="5" t="s">
        <v>202</v>
      </c>
      <c r="T28" s="5" t="s">
        <v>202</v>
      </c>
      <c r="U28" s="5" t="s">
        <v>202</v>
      </c>
      <c r="V28" s="5" t="s">
        <v>202</v>
      </c>
      <c r="W28" s="5" t="s">
        <v>201</v>
      </c>
      <c r="X28" s="5" t="s">
        <v>202</v>
      </c>
      <c r="Y28" s="5" t="s">
        <v>200</v>
      </c>
      <c r="Z28" s="5" t="s">
        <v>201</v>
      </c>
      <c r="AA28" s="5" t="s">
        <v>202</v>
      </c>
      <c r="AB28" s="5" t="s">
        <v>198</v>
      </c>
      <c r="AC28" s="5" t="s">
        <v>202</v>
      </c>
      <c r="AD28" s="5" t="s">
        <v>208</v>
      </c>
      <c r="AE28" s="5" t="s">
        <v>336</v>
      </c>
      <c r="AF28" s="5" t="s">
        <v>206</v>
      </c>
      <c r="AG28" s="5" t="s">
        <v>202</v>
      </c>
      <c r="AH28" s="5" t="s">
        <v>202</v>
      </c>
      <c r="AI28" s="5" t="s">
        <v>201</v>
      </c>
      <c r="AJ28" s="5" t="s">
        <v>201</v>
      </c>
      <c r="AK28" s="5" t="s">
        <v>202</v>
      </c>
      <c r="AL28" s="5" t="s">
        <v>198</v>
      </c>
      <c r="AM28" s="5" t="s">
        <v>337</v>
      </c>
      <c r="AN28" s="5" t="s">
        <v>206</v>
      </c>
      <c r="AO28" s="5" t="s">
        <v>201</v>
      </c>
      <c r="AP28" s="5" t="s">
        <v>201</v>
      </c>
      <c r="AQ28" s="5" t="s">
        <v>201</v>
      </c>
      <c r="AR28" s="5" t="s">
        <v>204</v>
      </c>
      <c r="AS28" s="5" t="s">
        <v>204</v>
      </c>
      <c r="AT28" s="5" t="s">
        <v>204</v>
      </c>
      <c r="AU28" s="5" t="s">
        <v>204</v>
      </c>
      <c r="AV28" s="5" t="s">
        <v>338</v>
      </c>
    </row>
    <row r="29">
      <c r="A29" s="7">
        <v>45867.24930555555</v>
      </c>
      <c r="B29" s="7">
        <v>45867.254166666666</v>
      </c>
      <c r="C29" s="5" t="s">
        <v>99</v>
      </c>
      <c r="D29" s="5" t="s">
        <v>192</v>
      </c>
      <c r="E29" s="8">
        <v>100.0</v>
      </c>
      <c r="F29" s="8">
        <v>468.0</v>
      </c>
      <c r="G29" s="9" t="b">
        <v>1</v>
      </c>
      <c r="H29" s="7">
        <v>45867.25486111111</v>
      </c>
      <c r="I29" s="5" t="s">
        <v>339</v>
      </c>
      <c r="J29" s="8">
        <v>60.1816</v>
      </c>
      <c r="K29" s="8">
        <v>24.8368</v>
      </c>
      <c r="L29" s="5" t="s">
        <v>194</v>
      </c>
      <c r="M29" s="5" t="s">
        <v>195</v>
      </c>
      <c r="N29" s="5" t="s">
        <v>318</v>
      </c>
      <c r="O29" s="5" t="s">
        <v>263</v>
      </c>
      <c r="P29" s="5" t="s">
        <v>200</v>
      </c>
      <c r="Q29" s="5" t="s">
        <v>203</v>
      </c>
      <c r="R29" s="5" t="s">
        <v>199</v>
      </c>
      <c r="S29" s="5" t="s">
        <v>200</v>
      </c>
      <c r="T29" s="5" t="s">
        <v>202</v>
      </c>
      <c r="U29" s="5" t="s">
        <v>203</v>
      </c>
      <c r="V29" s="5" t="s">
        <v>208</v>
      </c>
      <c r="W29" s="5" t="s">
        <v>203</v>
      </c>
      <c r="X29" s="5" t="s">
        <v>202</v>
      </c>
      <c r="Y29" s="5" t="s">
        <v>202</v>
      </c>
      <c r="Z29" s="5" t="s">
        <v>200</v>
      </c>
      <c r="AA29" s="5" t="s">
        <v>203</v>
      </c>
      <c r="AB29" s="5" t="s">
        <v>198</v>
      </c>
      <c r="AC29" s="5" t="s">
        <v>200</v>
      </c>
      <c r="AD29" s="5" t="s">
        <v>200</v>
      </c>
      <c r="AE29" s="5" t="s">
        <v>340</v>
      </c>
      <c r="AF29" s="5" t="s">
        <v>206</v>
      </c>
      <c r="AG29" s="5" t="s">
        <v>200</v>
      </c>
      <c r="AH29" s="5" t="s">
        <v>201</v>
      </c>
      <c r="AI29" s="5" t="s">
        <v>202</v>
      </c>
      <c r="AJ29" s="5" t="s">
        <v>201</v>
      </c>
      <c r="AK29" s="5" t="s">
        <v>201</v>
      </c>
      <c r="AL29" s="5" t="s">
        <v>201</v>
      </c>
      <c r="AM29" s="5" t="s">
        <v>341</v>
      </c>
      <c r="AN29" s="5" t="s">
        <v>206</v>
      </c>
      <c r="AO29" s="5" t="s">
        <v>202</v>
      </c>
      <c r="AP29" s="5" t="s">
        <v>198</v>
      </c>
      <c r="AQ29" s="5" t="s">
        <v>200</v>
      </c>
      <c r="AR29" s="5" t="s">
        <v>203</v>
      </c>
      <c r="AS29" s="5" t="s">
        <v>204</v>
      </c>
      <c r="AT29" s="5" t="s">
        <v>200</v>
      </c>
      <c r="AU29" s="5" t="s">
        <v>198</v>
      </c>
      <c r="AV29" s="5" t="s">
        <v>342</v>
      </c>
    </row>
    <row r="30">
      <c r="A30" s="7">
        <v>45867.20694444444</v>
      </c>
      <c r="B30" s="7">
        <v>45867.26388888889</v>
      </c>
      <c r="C30" s="5" t="s">
        <v>99</v>
      </c>
      <c r="D30" s="5" t="s">
        <v>256</v>
      </c>
      <c r="E30" s="8">
        <v>100.0</v>
      </c>
      <c r="F30" s="8">
        <v>4924.0</v>
      </c>
      <c r="G30" s="9" t="b">
        <v>1</v>
      </c>
      <c r="H30" s="7">
        <v>45867.26388888889</v>
      </c>
      <c r="I30" s="5" t="s">
        <v>343</v>
      </c>
      <c r="J30" s="8">
        <v>60.1816</v>
      </c>
      <c r="K30" s="8">
        <v>24.8368</v>
      </c>
      <c r="L30" s="5" t="s">
        <v>194</v>
      </c>
      <c r="M30" s="5" t="s">
        <v>195</v>
      </c>
      <c r="N30" s="5" t="s">
        <v>331</v>
      </c>
      <c r="O30" s="5" t="s">
        <v>216</v>
      </c>
      <c r="P30" s="5" t="s">
        <v>202</v>
      </c>
      <c r="Q30" s="5" t="s">
        <v>202</v>
      </c>
      <c r="R30" s="5" t="s">
        <v>199</v>
      </c>
      <c r="S30" s="5" t="s">
        <v>202</v>
      </c>
      <c r="T30" s="5" t="s">
        <v>201</v>
      </c>
      <c r="U30" s="5" t="s">
        <v>202</v>
      </c>
      <c r="V30" s="5" t="s">
        <v>202</v>
      </c>
      <c r="W30" s="5" t="s">
        <v>202</v>
      </c>
      <c r="X30" s="5" t="s">
        <v>202</v>
      </c>
      <c r="Y30" s="5" t="s">
        <v>200</v>
      </c>
      <c r="Z30" s="5" t="s">
        <v>202</v>
      </c>
      <c r="AA30" s="5" t="s">
        <v>202</v>
      </c>
      <c r="AB30" s="5" t="s">
        <v>198</v>
      </c>
      <c r="AC30" s="5" t="s">
        <v>202</v>
      </c>
      <c r="AD30" s="5" t="s">
        <v>200</v>
      </c>
      <c r="AE30" s="5" t="s">
        <v>344</v>
      </c>
      <c r="AF30" s="5" t="s">
        <v>206</v>
      </c>
      <c r="AG30" s="5" t="s">
        <v>202</v>
      </c>
      <c r="AH30" s="5" t="s">
        <v>202</v>
      </c>
      <c r="AI30" s="5" t="s">
        <v>202</v>
      </c>
      <c r="AJ30" s="5" t="s">
        <v>202</v>
      </c>
      <c r="AK30" s="5" t="s">
        <v>202</v>
      </c>
      <c r="AL30" s="5" t="s">
        <v>202</v>
      </c>
      <c r="AM30" s="5" t="s">
        <v>345</v>
      </c>
      <c r="AN30" s="5" t="s">
        <v>206</v>
      </c>
      <c r="AO30" s="5" t="s">
        <v>202</v>
      </c>
      <c r="AP30" s="5" t="s">
        <v>201</v>
      </c>
      <c r="AQ30" s="5" t="s">
        <v>202</v>
      </c>
      <c r="AR30" s="5" t="s">
        <v>204</v>
      </c>
      <c r="AS30" s="5" t="s">
        <v>204</v>
      </c>
      <c r="AT30" s="5" t="s">
        <v>204</v>
      </c>
      <c r="AU30" s="5" t="s">
        <v>204</v>
      </c>
      <c r="AV30" s="5" t="s">
        <v>346</v>
      </c>
    </row>
    <row r="31">
      <c r="A31" s="7">
        <v>45867.26666666667</v>
      </c>
      <c r="B31" s="7">
        <v>45867.27569444444</v>
      </c>
      <c r="C31" s="5" t="s">
        <v>99</v>
      </c>
      <c r="D31" s="5" t="s">
        <v>347</v>
      </c>
      <c r="E31" s="8">
        <v>100.0</v>
      </c>
      <c r="F31" s="8">
        <v>764.0</v>
      </c>
      <c r="G31" s="9" t="b">
        <v>1</v>
      </c>
      <c r="H31" s="7">
        <v>45867.27569444444</v>
      </c>
      <c r="I31" s="5" t="s">
        <v>348</v>
      </c>
      <c r="J31" s="8">
        <v>60.2141</v>
      </c>
      <c r="K31" s="8">
        <v>24.896</v>
      </c>
      <c r="L31" s="5" t="s">
        <v>194</v>
      </c>
      <c r="M31" s="5" t="s">
        <v>195</v>
      </c>
      <c r="N31" s="5" t="s">
        <v>331</v>
      </c>
      <c r="O31" s="5" t="s">
        <v>263</v>
      </c>
      <c r="P31" s="5" t="s">
        <v>201</v>
      </c>
      <c r="Q31" s="5" t="s">
        <v>202</v>
      </c>
      <c r="R31" s="5" t="s">
        <v>199</v>
      </c>
      <c r="S31" s="5" t="s">
        <v>202</v>
      </c>
      <c r="T31" s="5" t="s">
        <v>202</v>
      </c>
      <c r="U31" s="5" t="s">
        <v>201</v>
      </c>
      <c r="V31" s="5" t="s">
        <v>202</v>
      </c>
      <c r="W31" s="5" t="s">
        <v>201</v>
      </c>
      <c r="X31" s="5" t="s">
        <v>202</v>
      </c>
      <c r="Y31" s="5" t="s">
        <v>202</v>
      </c>
      <c r="Z31" s="5" t="s">
        <v>200</v>
      </c>
      <c r="AA31" s="5" t="s">
        <v>202</v>
      </c>
      <c r="AB31" s="5" t="s">
        <v>208</v>
      </c>
      <c r="AC31" s="5" t="s">
        <v>202</v>
      </c>
      <c r="AD31" s="5" t="s">
        <v>208</v>
      </c>
      <c r="AE31" s="5" t="s">
        <v>349</v>
      </c>
      <c r="AF31" s="5" t="s">
        <v>206</v>
      </c>
      <c r="AG31" s="5" t="s">
        <v>200</v>
      </c>
      <c r="AH31" s="5" t="s">
        <v>201</v>
      </c>
      <c r="AI31" s="5" t="s">
        <v>202</v>
      </c>
      <c r="AJ31" s="5" t="s">
        <v>200</v>
      </c>
      <c r="AK31" s="5" t="s">
        <v>202</v>
      </c>
      <c r="AL31" s="5" t="s">
        <v>202</v>
      </c>
      <c r="AM31" s="5" t="s">
        <v>350</v>
      </c>
      <c r="AN31" s="5" t="s">
        <v>206</v>
      </c>
      <c r="AO31" s="5" t="s">
        <v>202</v>
      </c>
      <c r="AP31" s="5" t="s">
        <v>201</v>
      </c>
      <c r="AQ31" s="5" t="s">
        <v>201</v>
      </c>
      <c r="AR31" s="5" t="s">
        <v>208</v>
      </c>
      <c r="AS31" s="5" t="s">
        <v>198</v>
      </c>
      <c r="AT31" s="5" t="s">
        <v>208</v>
      </c>
      <c r="AU31" s="5" t="s">
        <v>204</v>
      </c>
      <c r="AV31" s="5" t="s">
        <v>351</v>
      </c>
    </row>
    <row r="32">
      <c r="A32" s="7">
        <v>45867.26944444444</v>
      </c>
      <c r="B32" s="7">
        <v>45867.282638888886</v>
      </c>
      <c r="C32" s="5" t="s">
        <v>99</v>
      </c>
      <c r="D32" s="5" t="s">
        <v>192</v>
      </c>
      <c r="E32" s="8">
        <v>100.0</v>
      </c>
      <c r="F32" s="8">
        <v>1145.0</v>
      </c>
      <c r="G32" s="9" t="b">
        <v>1</v>
      </c>
      <c r="H32" s="7">
        <v>45867.282638888886</v>
      </c>
      <c r="I32" s="5" t="s">
        <v>352</v>
      </c>
      <c r="J32" s="8">
        <v>60.1816</v>
      </c>
      <c r="K32" s="8">
        <v>24.8368</v>
      </c>
      <c r="L32" s="5" t="s">
        <v>194</v>
      </c>
      <c r="M32" s="5" t="s">
        <v>195</v>
      </c>
      <c r="N32" s="5" t="s">
        <v>353</v>
      </c>
      <c r="O32" s="5" t="s">
        <v>197</v>
      </c>
      <c r="P32" s="5" t="s">
        <v>208</v>
      </c>
      <c r="Q32" s="5" t="s">
        <v>204</v>
      </c>
      <c r="R32" s="5" t="s">
        <v>199</v>
      </c>
      <c r="S32" s="5" t="s">
        <v>208</v>
      </c>
      <c r="T32" s="5" t="s">
        <v>200</v>
      </c>
      <c r="U32" s="5" t="s">
        <v>204</v>
      </c>
      <c r="V32" s="5" t="s">
        <v>203</v>
      </c>
      <c r="W32" s="5" t="s">
        <v>198</v>
      </c>
      <c r="X32" s="5" t="s">
        <v>208</v>
      </c>
      <c r="Y32" s="5" t="s">
        <v>203</v>
      </c>
      <c r="Z32" s="5" t="s">
        <v>198</v>
      </c>
      <c r="AA32" s="5" t="s">
        <v>204</v>
      </c>
      <c r="AB32" s="5" t="s">
        <v>204</v>
      </c>
      <c r="AC32" s="5" t="s">
        <v>198</v>
      </c>
      <c r="AD32" s="5" t="s">
        <v>201</v>
      </c>
      <c r="AE32" s="5" t="s">
        <v>354</v>
      </c>
      <c r="AF32" s="5" t="s">
        <v>206</v>
      </c>
      <c r="AG32" s="5" t="s">
        <v>203</v>
      </c>
      <c r="AH32" s="5" t="s">
        <v>198</v>
      </c>
      <c r="AI32" s="5" t="s">
        <v>200</v>
      </c>
      <c r="AJ32" s="5" t="s">
        <v>200</v>
      </c>
      <c r="AK32" s="5" t="s">
        <v>203</v>
      </c>
      <c r="AL32" s="5" t="s">
        <v>201</v>
      </c>
      <c r="AM32" s="5" t="s">
        <v>355</v>
      </c>
      <c r="AN32" s="5" t="s">
        <v>206</v>
      </c>
      <c r="AO32" s="5" t="s">
        <v>203</v>
      </c>
      <c r="AP32" s="5" t="s">
        <v>200</v>
      </c>
      <c r="AQ32" s="5" t="s">
        <v>200</v>
      </c>
      <c r="AR32" s="5" t="s">
        <v>198</v>
      </c>
      <c r="AS32" s="5" t="s">
        <v>208</v>
      </c>
      <c r="AT32" s="5" t="s">
        <v>200</v>
      </c>
      <c r="AU32" s="5" t="s">
        <v>204</v>
      </c>
      <c r="AV32" s="5" t="s">
        <v>356</v>
      </c>
    </row>
    <row r="33">
      <c r="A33" s="7">
        <v>45867.28888888889</v>
      </c>
      <c r="B33" s="7">
        <v>45867.29375</v>
      </c>
      <c r="C33" s="5" t="s">
        <v>99</v>
      </c>
      <c r="D33" s="5" t="s">
        <v>192</v>
      </c>
      <c r="E33" s="8">
        <v>100.0</v>
      </c>
      <c r="F33" s="8">
        <v>418.0</v>
      </c>
      <c r="G33" s="9" t="b">
        <v>1</v>
      </c>
      <c r="H33" s="7">
        <v>45867.29375</v>
      </c>
      <c r="I33" s="5" t="s">
        <v>357</v>
      </c>
      <c r="J33" s="8">
        <v>60.1816</v>
      </c>
      <c r="K33" s="8">
        <v>24.8368</v>
      </c>
      <c r="L33" s="5" t="s">
        <v>194</v>
      </c>
      <c r="M33" s="5" t="s">
        <v>195</v>
      </c>
      <c r="N33" s="5" t="s">
        <v>353</v>
      </c>
      <c r="O33" s="5" t="s">
        <v>263</v>
      </c>
      <c r="P33" s="5" t="s">
        <v>208</v>
      </c>
      <c r="Q33" s="5" t="s">
        <v>203</v>
      </c>
      <c r="R33" s="5" t="s">
        <v>199</v>
      </c>
      <c r="S33" s="5" t="s">
        <v>198</v>
      </c>
      <c r="T33" s="5" t="s">
        <v>204</v>
      </c>
      <c r="U33" s="5" t="s">
        <v>204</v>
      </c>
      <c r="V33" s="5" t="s">
        <v>198</v>
      </c>
      <c r="W33" s="5" t="s">
        <v>198</v>
      </c>
      <c r="X33" s="5" t="s">
        <v>202</v>
      </c>
      <c r="Y33" s="5" t="s">
        <v>202</v>
      </c>
      <c r="Z33" s="5" t="s">
        <v>202</v>
      </c>
      <c r="AA33" s="5" t="s">
        <v>208</v>
      </c>
      <c r="AB33" s="5" t="s">
        <v>204</v>
      </c>
      <c r="AC33" s="5" t="s">
        <v>208</v>
      </c>
      <c r="AD33" s="5" t="s">
        <v>201</v>
      </c>
      <c r="AE33" s="11" t="s">
        <v>358</v>
      </c>
      <c r="AF33" s="5" t="s">
        <v>206</v>
      </c>
      <c r="AG33" s="5" t="s">
        <v>203</v>
      </c>
      <c r="AH33" s="5" t="s">
        <v>200</v>
      </c>
      <c r="AI33" s="5" t="s">
        <v>202</v>
      </c>
      <c r="AJ33" s="5" t="s">
        <v>198</v>
      </c>
      <c r="AK33" s="5" t="s">
        <v>201</v>
      </c>
      <c r="AL33" s="5" t="s">
        <v>200</v>
      </c>
      <c r="AM33" s="5" t="s">
        <v>359</v>
      </c>
      <c r="AN33" s="5" t="s">
        <v>206</v>
      </c>
      <c r="AO33" s="5" t="s">
        <v>200</v>
      </c>
      <c r="AP33" s="5" t="s">
        <v>202</v>
      </c>
      <c r="AQ33" s="5" t="s">
        <v>198</v>
      </c>
      <c r="AR33" s="5" t="s">
        <v>198</v>
      </c>
      <c r="AS33" s="5" t="s">
        <v>198</v>
      </c>
      <c r="AT33" s="5" t="s">
        <v>200</v>
      </c>
      <c r="AU33" s="5" t="s">
        <v>198</v>
      </c>
      <c r="AV33" s="5" t="s">
        <v>360</v>
      </c>
    </row>
    <row r="34">
      <c r="A34" s="7">
        <v>45867.274305555555</v>
      </c>
      <c r="B34" s="7">
        <v>45867.29375</v>
      </c>
      <c r="C34" s="5" t="s">
        <v>99</v>
      </c>
      <c r="D34" s="5" t="s">
        <v>256</v>
      </c>
      <c r="E34" s="8">
        <v>100.0</v>
      </c>
      <c r="F34" s="8">
        <v>1716.0</v>
      </c>
      <c r="G34" s="9" t="b">
        <v>1</v>
      </c>
      <c r="H34" s="7">
        <v>45867.29375</v>
      </c>
      <c r="I34" s="5" t="s">
        <v>361</v>
      </c>
      <c r="J34" s="8">
        <v>60.1816</v>
      </c>
      <c r="K34" s="8">
        <v>24.8368</v>
      </c>
      <c r="L34" s="5" t="s">
        <v>194</v>
      </c>
      <c r="M34" s="5" t="s">
        <v>195</v>
      </c>
      <c r="N34" s="5" t="s">
        <v>362</v>
      </c>
      <c r="O34" s="5" t="s">
        <v>216</v>
      </c>
      <c r="P34" s="5" t="s">
        <v>200</v>
      </c>
      <c r="Q34" s="5" t="s">
        <v>201</v>
      </c>
      <c r="R34" s="5" t="s">
        <v>199</v>
      </c>
      <c r="S34" s="5" t="s">
        <v>202</v>
      </c>
      <c r="T34" s="5" t="s">
        <v>201</v>
      </c>
      <c r="U34" s="5" t="s">
        <v>198</v>
      </c>
      <c r="V34" s="5" t="s">
        <v>202</v>
      </c>
      <c r="W34" s="5" t="s">
        <v>201</v>
      </c>
      <c r="X34" s="5" t="s">
        <v>201</v>
      </c>
      <c r="Y34" s="5" t="s">
        <v>201</v>
      </c>
      <c r="Z34" s="5" t="s">
        <v>201</v>
      </c>
      <c r="AA34" s="5" t="s">
        <v>208</v>
      </c>
      <c r="AB34" s="5" t="s">
        <v>200</v>
      </c>
      <c r="AC34" s="5" t="s">
        <v>200</v>
      </c>
      <c r="AD34" s="5" t="s">
        <v>203</v>
      </c>
      <c r="AE34" s="11" t="s">
        <v>363</v>
      </c>
      <c r="AF34" s="5" t="s">
        <v>206</v>
      </c>
      <c r="AG34" s="5" t="s">
        <v>202</v>
      </c>
      <c r="AH34" s="5" t="s">
        <v>202</v>
      </c>
      <c r="AI34" s="5" t="s">
        <v>201</v>
      </c>
      <c r="AJ34" s="5" t="s">
        <v>201</v>
      </c>
      <c r="AK34" s="5" t="s">
        <v>201</v>
      </c>
      <c r="AL34" s="5" t="s">
        <v>201</v>
      </c>
      <c r="AM34" s="5" t="s">
        <v>364</v>
      </c>
      <c r="AN34" s="5" t="s">
        <v>206</v>
      </c>
      <c r="AO34" s="5" t="s">
        <v>201</v>
      </c>
      <c r="AP34" s="5" t="s">
        <v>202</v>
      </c>
      <c r="AQ34" s="5" t="s">
        <v>201</v>
      </c>
      <c r="AR34" s="5" t="s">
        <v>204</v>
      </c>
      <c r="AS34" s="5" t="s">
        <v>204</v>
      </c>
      <c r="AT34" s="5" t="s">
        <v>204</v>
      </c>
      <c r="AU34" s="5" t="s">
        <v>204</v>
      </c>
      <c r="AV34" s="11" t="s">
        <v>365</v>
      </c>
    </row>
    <row r="35">
      <c r="A35" s="7">
        <v>45867.294444444444</v>
      </c>
      <c r="B35" s="7">
        <v>45867.305555555555</v>
      </c>
      <c r="C35" s="5" t="s">
        <v>99</v>
      </c>
      <c r="D35" s="5" t="s">
        <v>256</v>
      </c>
      <c r="E35" s="8">
        <v>100.0</v>
      </c>
      <c r="F35" s="8">
        <v>1001.0</v>
      </c>
      <c r="G35" s="9" t="b">
        <v>1</v>
      </c>
      <c r="H35" s="7">
        <v>45867.305555555555</v>
      </c>
      <c r="I35" s="5" t="s">
        <v>366</v>
      </c>
      <c r="J35" s="8">
        <v>60.1816</v>
      </c>
      <c r="K35" s="8">
        <v>24.8368</v>
      </c>
      <c r="L35" s="5" t="s">
        <v>194</v>
      </c>
      <c r="M35" s="5" t="s">
        <v>195</v>
      </c>
      <c r="N35" s="5" t="s">
        <v>353</v>
      </c>
      <c r="O35" s="5" t="s">
        <v>216</v>
      </c>
      <c r="P35" s="5" t="s">
        <v>203</v>
      </c>
      <c r="Q35" s="5" t="s">
        <v>208</v>
      </c>
      <c r="R35" s="5" t="s">
        <v>199</v>
      </c>
      <c r="S35" s="5" t="s">
        <v>203</v>
      </c>
      <c r="T35" s="5" t="s">
        <v>208</v>
      </c>
      <c r="U35" s="5" t="s">
        <v>204</v>
      </c>
      <c r="V35" s="5" t="s">
        <v>198</v>
      </c>
      <c r="W35" s="5" t="s">
        <v>202</v>
      </c>
      <c r="X35" s="5" t="s">
        <v>198</v>
      </c>
      <c r="Y35" s="5" t="s">
        <v>202</v>
      </c>
      <c r="Z35" s="5" t="s">
        <v>202</v>
      </c>
      <c r="AA35" s="5" t="s">
        <v>204</v>
      </c>
      <c r="AB35" s="5" t="s">
        <v>204</v>
      </c>
      <c r="AC35" s="5" t="s">
        <v>200</v>
      </c>
      <c r="AD35" s="5" t="s">
        <v>201</v>
      </c>
      <c r="AE35" s="5" t="s">
        <v>367</v>
      </c>
      <c r="AF35" s="5" t="s">
        <v>206</v>
      </c>
      <c r="AG35" s="5" t="s">
        <v>202</v>
      </c>
      <c r="AH35" s="5" t="s">
        <v>203</v>
      </c>
      <c r="AI35" s="5" t="s">
        <v>200</v>
      </c>
      <c r="AJ35" s="5" t="s">
        <v>202</v>
      </c>
      <c r="AK35" s="5" t="s">
        <v>202</v>
      </c>
      <c r="AL35" s="5" t="s">
        <v>203</v>
      </c>
      <c r="AM35" s="5" t="s">
        <v>368</v>
      </c>
      <c r="AN35" s="5" t="s">
        <v>206</v>
      </c>
      <c r="AO35" s="5" t="s">
        <v>203</v>
      </c>
      <c r="AP35" s="5" t="s">
        <v>202</v>
      </c>
      <c r="AQ35" s="5" t="s">
        <v>200</v>
      </c>
      <c r="AR35" s="5" t="s">
        <v>204</v>
      </c>
      <c r="AS35" s="5" t="s">
        <v>204</v>
      </c>
      <c r="AT35" s="5" t="s">
        <v>204</v>
      </c>
      <c r="AU35" s="5" t="s">
        <v>204</v>
      </c>
      <c r="AV35" s="5" t="s">
        <v>369</v>
      </c>
    </row>
    <row r="36">
      <c r="A36" s="7">
        <v>45867.308333333334</v>
      </c>
      <c r="B36" s="7">
        <v>45867.31458333333</v>
      </c>
      <c r="C36" s="5" t="s">
        <v>99</v>
      </c>
      <c r="D36" s="5" t="s">
        <v>256</v>
      </c>
      <c r="E36" s="8">
        <v>100.0</v>
      </c>
      <c r="F36" s="8">
        <v>594.0</v>
      </c>
      <c r="G36" s="9" t="b">
        <v>1</v>
      </c>
      <c r="H36" s="7">
        <v>45867.31458333333</v>
      </c>
      <c r="I36" s="5" t="s">
        <v>370</v>
      </c>
      <c r="J36" s="8">
        <v>60.1816</v>
      </c>
      <c r="K36" s="8">
        <v>24.8368</v>
      </c>
      <c r="L36" s="5" t="s">
        <v>194</v>
      </c>
      <c r="M36" s="5" t="s">
        <v>195</v>
      </c>
      <c r="N36" s="5" t="s">
        <v>353</v>
      </c>
      <c r="O36" s="5" t="s">
        <v>211</v>
      </c>
      <c r="P36" s="5" t="s">
        <v>200</v>
      </c>
      <c r="Q36" s="5" t="s">
        <v>204</v>
      </c>
      <c r="R36" s="5" t="s">
        <v>199</v>
      </c>
      <c r="S36" s="5" t="s">
        <v>204</v>
      </c>
      <c r="T36" s="5" t="s">
        <v>200</v>
      </c>
      <c r="U36" s="5" t="s">
        <v>198</v>
      </c>
      <c r="V36" s="5" t="s">
        <v>208</v>
      </c>
      <c r="W36" s="5" t="s">
        <v>202</v>
      </c>
      <c r="X36" s="5" t="s">
        <v>203</v>
      </c>
      <c r="Y36" s="5" t="s">
        <v>200</v>
      </c>
      <c r="Z36" s="5" t="s">
        <v>200</v>
      </c>
      <c r="AA36" s="5" t="s">
        <v>202</v>
      </c>
      <c r="AB36" s="5" t="s">
        <v>198</v>
      </c>
      <c r="AC36" s="5" t="s">
        <v>200</v>
      </c>
      <c r="AD36" s="5" t="s">
        <v>203</v>
      </c>
      <c r="AE36" s="5" t="s">
        <v>371</v>
      </c>
      <c r="AF36" s="5" t="s">
        <v>206</v>
      </c>
      <c r="AG36" s="5" t="s">
        <v>202</v>
      </c>
      <c r="AH36" s="5" t="s">
        <v>200</v>
      </c>
      <c r="AI36" s="5" t="s">
        <v>200</v>
      </c>
      <c r="AJ36" s="5" t="s">
        <v>208</v>
      </c>
      <c r="AK36" s="5" t="s">
        <v>203</v>
      </c>
      <c r="AL36" s="5" t="s">
        <v>204</v>
      </c>
      <c r="AM36" s="5" t="s">
        <v>372</v>
      </c>
      <c r="AN36" s="5" t="s">
        <v>206</v>
      </c>
      <c r="AO36" s="5" t="s">
        <v>200</v>
      </c>
      <c r="AP36" s="5" t="s">
        <v>200</v>
      </c>
      <c r="AQ36" s="5" t="s">
        <v>202</v>
      </c>
      <c r="AR36" s="5" t="s">
        <v>204</v>
      </c>
      <c r="AS36" s="5" t="s">
        <v>204</v>
      </c>
      <c r="AT36" s="5" t="s">
        <v>204</v>
      </c>
      <c r="AU36" s="5" t="s">
        <v>204</v>
      </c>
      <c r="AV36" s="5" t="s">
        <v>373</v>
      </c>
    </row>
    <row r="37">
      <c r="A37" s="7">
        <v>45867.330555555556</v>
      </c>
      <c r="B37" s="7">
        <v>45867.34583333333</v>
      </c>
      <c r="C37" s="5" t="s">
        <v>99</v>
      </c>
      <c r="D37" s="5" t="s">
        <v>192</v>
      </c>
      <c r="E37" s="8">
        <v>100.0</v>
      </c>
      <c r="F37" s="8">
        <v>1333.0</v>
      </c>
      <c r="G37" s="9" t="b">
        <v>1</v>
      </c>
      <c r="H37" s="7">
        <v>45867.34583333333</v>
      </c>
      <c r="I37" s="5" t="s">
        <v>374</v>
      </c>
      <c r="J37" s="8">
        <v>60.1816</v>
      </c>
      <c r="K37" s="8">
        <v>24.8368</v>
      </c>
      <c r="L37" s="5" t="s">
        <v>194</v>
      </c>
      <c r="M37" s="5" t="s">
        <v>195</v>
      </c>
      <c r="N37" s="5" t="s">
        <v>362</v>
      </c>
      <c r="O37" s="5" t="s">
        <v>263</v>
      </c>
      <c r="P37" s="5" t="s">
        <v>202</v>
      </c>
      <c r="Q37" s="5" t="s">
        <v>202</v>
      </c>
      <c r="R37" s="5" t="s">
        <v>199</v>
      </c>
      <c r="S37" s="5" t="s">
        <v>201</v>
      </c>
      <c r="T37" s="5" t="s">
        <v>198</v>
      </c>
      <c r="U37" s="5" t="s">
        <v>200</v>
      </c>
      <c r="V37" s="5" t="s">
        <v>202</v>
      </c>
      <c r="W37" s="5" t="s">
        <v>201</v>
      </c>
      <c r="X37" s="5" t="s">
        <v>201</v>
      </c>
      <c r="Y37" s="5" t="s">
        <v>201</v>
      </c>
      <c r="Z37" s="5" t="s">
        <v>201</v>
      </c>
      <c r="AA37" s="5" t="s">
        <v>200</v>
      </c>
      <c r="AB37" s="5" t="s">
        <v>200</v>
      </c>
      <c r="AC37" s="5" t="s">
        <v>201</v>
      </c>
      <c r="AD37" s="5" t="s">
        <v>200</v>
      </c>
      <c r="AE37" s="5" t="s">
        <v>375</v>
      </c>
      <c r="AF37" s="5" t="s">
        <v>206</v>
      </c>
      <c r="AG37" s="5" t="s">
        <v>202</v>
      </c>
      <c r="AH37" s="5" t="s">
        <v>201</v>
      </c>
      <c r="AI37" s="5" t="s">
        <v>201</v>
      </c>
      <c r="AJ37" s="5" t="s">
        <v>198</v>
      </c>
      <c r="AK37" s="5" t="s">
        <v>203</v>
      </c>
      <c r="AL37" s="5" t="s">
        <v>203</v>
      </c>
      <c r="AM37" s="5" t="s">
        <v>376</v>
      </c>
      <c r="AN37" s="5" t="s">
        <v>206</v>
      </c>
      <c r="AO37" s="5" t="s">
        <v>202</v>
      </c>
      <c r="AP37" s="5" t="s">
        <v>202</v>
      </c>
      <c r="AQ37" s="5" t="s">
        <v>202</v>
      </c>
      <c r="AR37" s="5" t="s">
        <v>208</v>
      </c>
      <c r="AS37" s="5" t="s">
        <v>202</v>
      </c>
      <c r="AT37" s="5" t="s">
        <v>208</v>
      </c>
      <c r="AU37" s="5" t="s">
        <v>208</v>
      </c>
      <c r="AV37" s="5" t="s">
        <v>377</v>
      </c>
    </row>
    <row r="38">
      <c r="A38" s="7">
        <v>45868.01527777778</v>
      </c>
      <c r="B38" s="7">
        <v>45868.02847222222</v>
      </c>
      <c r="C38" s="5" t="s">
        <v>99</v>
      </c>
      <c r="D38" s="5" t="s">
        <v>192</v>
      </c>
      <c r="E38" s="8">
        <v>100.0</v>
      </c>
      <c r="F38" s="8">
        <v>1140.0</v>
      </c>
      <c r="G38" s="9" t="b">
        <v>1</v>
      </c>
      <c r="H38" s="7">
        <v>45868.02847222222</v>
      </c>
      <c r="I38" s="5" t="s">
        <v>378</v>
      </c>
      <c r="J38" s="8">
        <v>60.1816</v>
      </c>
      <c r="K38" s="8">
        <v>24.8368</v>
      </c>
      <c r="L38" s="5" t="s">
        <v>194</v>
      </c>
      <c r="M38" s="5" t="s">
        <v>195</v>
      </c>
      <c r="N38" s="5" t="s">
        <v>379</v>
      </c>
      <c r="O38" s="5" t="s">
        <v>197</v>
      </c>
      <c r="P38" s="5" t="s">
        <v>202</v>
      </c>
      <c r="Q38" s="5" t="s">
        <v>202</v>
      </c>
      <c r="R38" s="5" t="s">
        <v>199</v>
      </c>
      <c r="S38" s="5" t="s">
        <v>202</v>
      </c>
      <c r="T38" s="5" t="s">
        <v>201</v>
      </c>
      <c r="U38" s="5" t="s">
        <v>201</v>
      </c>
      <c r="V38" s="5" t="s">
        <v>202</v>
      </c>
      <c r="W38" s="5" t="s">
        <v>201</v>
      </c>
      <c r="X38" s="5" t="s">
        <v>201</v>
      </c>
      <c r="Y38" s="5" t="s">
        <v>201</v>
      </c>
      <c r="Z38" s="5" t="s">
        <v>202</v>
      </c>
      <c r="AA38" s="5" t="s">
        <v>202</v>
      </c>
      <c r="AB38" s="5" t="s">
        <v>200</v>
      </c>
      <c r="AC38" s="5" t="s">
        <v>202</v>
      </c>
      <c r="AD38" s="5" t="s">
        <v>200</v>
      </c>
      <c r="AE38" s="5" t="s">
        <v>380</v>
      </c>
      <c r="AF38" s="5" t="s">
        <v>206</v>
      </c>
      <c r="AG38" s="5" t="s">
        <v>201</v>
      </c>
      <c r="AH38" s="5" t="s">
        <v>201</v>
      </c>
      <c r="AI38" s="5" t="s">
        <v>201</v>
      </c>
      <c r="AJ38" s="5" t="s">
        <v>201</v>
      </c>
      <c r="AK38" s="5" t="s">
        <v>201</v>
      </c>
      <c r="AL38" s="5" t="s">
        <v>202</v>
      </c>
      <c r="AM38" s="5" t="s">
        <v>381</v>
      </c>
      <c r="AN38" s="5" t="s">
        <v>206</v>
      </c>
      <c r="AO38" s="5" t="s">
        <v>202</v>
      </c>
      <c r="AP38" s="5" t="s">
        <v>202</v>
      </c>
      <c r="AQ38" s="5" t="s">
        <v>201</v>
      </c>
      <c r="AR38" s="5" t="s">
        <v>208</v>
      </c>
      <c r="AS38" s="5" t="s">
        <v>204</v>
      </c>
      <c r="AT38" s="5" t="s">
        <v>208</v>
      </c>
      <c r="AU38" s="5" t="s">
        <v>204</v>
      </c>
      <c r="AV38" s="5" t="s">
        <v>382</v>
      </c>
    </row>
    <row r="39">
      <c r="A39" s="7">
        <v>45868.01527777778</v>
      </c>
      <c r="B39" s="7">
        <v>45868.040972222225</v>
      </c>
      <c r="C39" s="5" t="s">
        <v>99</v>
      </c>
      <c r="D39" s="5" t="s">
        <v>383</v>
      </c>
      <c r="E39" s="8">
        <v>100.0</v>
      </c>
      <c r="F39" s="8">
        <v>2166.0</v>
      </c>
      <c r="G39" s="9" t="b">
        <v>1</v>
      </c>
      <c r="H39" s="7">
        <v>45868.040972222225</v>
      </c>
      <c r="I39" s="5" t="s">
        <v>384</v>
      </c>
      <c r="J39" s="8">
        <v>60.1816</v>
      </c>
      <c r="K39" s="8">
        <v>24.8368</v>
      </c>
      <c r="L39" s="5" t="s">
        <v>194</v>
      </c>
      <c r="M39" s="5" t="s">
        <v>195</v>
      </c>
      <c r="N39" s="5" t="s">
        <v>385</v>
      </c>
      <c r="O39" s="5" t="s">
        <v>211</v>
      </c>
      <c r="P39" s="5" t="s">
        <v>203</v>
      </c>
      <c r="Q39" s="5" t="s">
        <v>200</v>
      </c>
      <c r="R39" s="5" t="s">
        <v>199</v>
      </c>
      <c r="S39" s="5" t="s">
        <v>202</v>
      </c>
      <c r="T39" s="5" t="s">
        <v>202</v>
      </c>
      <c r="U39" s="5" t="s">
        <v>198</v>
      </c>
      <c r="V39" s="5" t="s">
        <v>198</v>
      </c>
      <c r="W39" s="5" t="s">
        <v>202</v>
      </c>
      <c r="X39" s="5" t="s">
        <v>200</v>
      </c>
      <c r="Y39" s="5" t="s">
        <v>200</v>
      </c>
      <c r="Z39" s="5" t="s">
        <v>202</v>
      </c>
      <c r="AA39" s="5" t="s">
        <v>203</v>
      </c>
      <c r="AB39" s="5" t="s">
        <v>203</v>
      </c>
      <c r="AC39" s="5" t="s">
        <v>200</v>
      </c>
      <c r="AD39" s="5" t="s">
        <v>203</v>
      </c>
      <c r="AE39" s="5" t="s">
        <v>386</v>
      </c>
      <c r="AF39" s="5" t="s">
        <v>206</v>
      </c>
      <c r="AG39" s="5" t="s">
        <v>202</v>
      </c>
      <c r="AH39" s="5" t="s">
        <v>202</v>
      </c>
      <c r="AI39" s="5" t="s">
        <v>201</v>
      </c>
      <c r="AJ39" s="5" t="s">
        <v>202</v>
      </c>
      <c r="AK39" s="5" t="s">
        <v>200</v>
      </c>
      <c r="AL39" s="5" t="s">
        <v>203</v>
      </c>
      <c r="AM39" s="5" t="s">
        <v>387</v>
      </c>
      <c r="AN39" s="5" t="s">
        <v>206</v>
      </c>
      <c r="AO39" s="5" t="s">
        <v>201</v>
      </c>
      <c r="AP39" s="5" t="s">
        <v>202</v>
      </c>
      <c r="AQ39" s="5" t="s">
        <v>202</v>
      </c>
      <c r="AR39" s="5" t="s">
        <v>204</v>
      </c>
      <c r="AS39" s="5" t="s">
        <v>204</v>
      </c>
      <c r="AT39" s="5" t="s">
        <v>204</v>
      </c>
      <c r="AU39" s="5" t="s">
        <v>204</v>
      </c>
      <c r="AV39" s="5" t="s">
        <v>388</v>
      </c>
    </row>
    <row r="40">
      <c r="A40" s="7">
        <v>45868.02361111111</v>
      </c>
      <c r="B40" s="7">
        <v>45868.041666666664</v>
      </c>
      <c r="C40" s="5" t="s">
        <v>99</v>
      </c>
      <c r="D40" s="5" t="s">
        <v>389</v>
      </c>
      <c r="E40" s="8">
        <v>100.0</v>
      </c>
      <c r="F40" s="8">
        <v>1527.0</v>
      </c>
      <c r="G40" s="9" t="b">
        <v>1</v>
      </c>
      <c r="H40" s="7">
        <v>45868.041666666664</v>
      </c>
      <c r="I40" s="5" t="s">
        <v>390</v>
      </c>
      <c r="J40" s="8">
        <v>60.1816</v>
      </c>
      <c r="K40" s="8">
        <v>24.8368</v>
      </c>
      <c r="L40" s="5" t="s">
        <v>194</v>
      </c>
      <c r="M40" s="5" t="s">
        <v>195</v>
      </c>
      <c r="N40" s="5" t="s">
        <v>379</v>
      </c>
      <c r="O40" s="5" t="s">
        <v>211</v>
      </c>
      <c r="P40" s="5" t="s">
        <v>202</v>
      </c>
      <c r="Q40" s="5" t="s">
        <v>202</v>
      </c>
      <c r="R40" s="5" t="s">
        <v>199</v>
      </c>
      <c r="S40" s="5" t="s">
        <v>202</v>
      </c>
      <c r="T40" s="5" t="s">
        <v>201</v>
      </c>
      <c r="U40" s="5" t="s">
        <v>201</v>
      </c>
      <c r="V40" s="5" t="s">
        <v>202</v>
      </c>
      <c r="W40" s="5" t="s">
        <v>201</v>
      </c>
      <c r="X40" s="5" t="s">
        <v>201</v>
      </c>
      <c r="Y40" s="5" t="s">
        <v>201</v>
      </c>
      <c r="Z40" s="5" t="s">
        <v>202</v>
      </c>
      <c r="AA40" s="5" t="s">
        <v>202</v>
      </c>
      <c r="AB40" s="5" t="s">
        <v>203</v>
      </c>
      <c r="AC40" s="5" t="s">
        <v>202</v>
      </c>
      <c r="AD40" s="5" t="s">
        <v>208</v>
      </c>
      <c r="AE40" s="5" t="s">
        <v>391</v>
      </c>
      <c r="AF40" s="5" t="s">
        <v>206</v>
      </c>
      <c r="AG40" s="5" t="s">
        <v>202</v>
      </c>
      <c r="AH40" s="5" t="s">
        <v>202</v>
      </c>
      <c r="AI40" s="5" t="s">
        <v>202</v>
      </c>
      <c r="AJ40" s="5" t="s">
        <v>201</v>
      </c>
      <c r="AK40" s="5" t="s">
        <v>202</v>
      </c>
      <c r="AL40" s="5" t="s">
        <v>201</v>
      </c>
      <c r="AM40" s="5" t="s">
        <v>392</v>
      </c>
      <c r="AN40" s="5" t="s">
        <v>206</v>
      </c>
      <c r="AO40" s="5" t="s">
        <v>201</v>
      </c>
      <c r="AP40" s="5" t="s">
        <v>201</v>
      </c>
      <c r="AQ40" s="5" t="s">
        <v>202</v>
      </c>
      <c r="AR40" s="5" t="s">
        <v>204</v>
      </c>
      <c r="AS40" s="5" t="s">
        <v>204</v>
      </c>
      <c r="AT40" s="5" t="s">
        <v>204</v>
      </c>
      <c r="AU40" s="5" t="s">
        <v>204</v>
      </c>
      <c r="AV40" s="5" t="s">
        <v>393</v>
      </c>
    </row>
    <row r="41">
      <c r="A41" s="7">
        <v>45868.04375</v>
      </c>
      <c r="B41" s="7">
        <v>45868.05416666667</v>
      </c>
      <c r="C41" s="5" t="s">
        <v>99</v>
      </c>
      <c r="D41" s="5" t="s">
        <v>389</v>
      </c>
      <c r="E41" s="8">
        <v>100.0</v>
      </c>
      <c r="F41" s="8">
        <v>866.0</v>
      </c>
      <c r="G41" s="9" t="b">
        <v>1</v>
      </c>
      <c r="H41" s="7">
        <v>45868.05416666667</v>
      </c>
      <c r="I41" s="5" t="s">
        <v>394</v>
      </c>
      <c r="J41" s="8">
        <v>60.1816</v>
      </c>
      <c r="K41" s="8">
        <v>24.8368</v>
      </c>
      <c r="L41" s="5" t="s">
        <v>194</v>
      </c>
      <c r="M41" s="5" t="s">
        <v>195</v>
      </c>
      <c r="N41" s="5" t="s">
        <v>379</v>
      </c>
      <c r="O41" s="5" t="s">
        <v>216</v>
      </c>
      <c r="P41" s="5" t="s">
        <v>202</v>
      </c>
      <c r="Q41" s="5" t="s">
        <v>200</v>
      </c>
      <c r="R41" s="5" t="s">
        <v>199</v>
      </c>
      <c r="S41" s="5" t="s">
        <v>201</v>
      </c>
      <c r="T41" s="5" t="s">
        <v>201</v>
      </c>
      <c r="U41" s="5" t="s">
        <v>201</v>
      </c>
      <c r="V41" s="5" t="s">
        <v>202</v>
      </c>
      <c r="W41" s="5" t="s">
        <v>202</v>
      </c>
      <c r="X41" s="5" t="s">
        <v>201</v>
      </c>
      <c r="Y41" s="5" t="s">
        <v>201</v>
      </c>
      <c r="Z41" s="5" t="s">
        <v>202</v>
      </c>
      <c r="AA41" s="5" t="s">
        <v>200</v>
      </c>
      <c r="AB41" s="5" t="s">
        <v>202</v>
      </c>
      <c r="AC41" s="5" t="s">
        <v>202</v>
      </c>
      <c r="AD41" s="5" t="s">
        <v>198</v>
      </c>
      <c r="AE41" s="5" t="s">
        <v>395</v>
      </c>
      <c r="AF41" s="5" t="s">
        <v>206</v>
      </c>
      <c r="AG41" s="5" t="s">
        <v>202</v>
      </c>
      <c r="AH41" s="5" t="s">
        <v>202</v>
      </c>
      <c r="AI41" s="5" t="s">
        <v>201</v>
      </c>
      <c r="AJ41" s="5" t="s">
        <v>201</v>
      </c>
      <c r="AK41" s="5" t="s">
        <v>201</v>
      </c>
      <c r="AL41" s="5" t="s">
        <v>201</v>
      </c>
      <c r="AM41" s="5" t="s">
        <v>396</v>
      </c>
      <c r="AN41" s="5" t="s">
        <v>206</v>
      </c>
      <c r="AO41" s="5" t="s">
        <v>202</v>
      </c>
      <c r="AP41" s="5" t="s">
        <v>202</v>
      </c>
      <c r="AQ41" s="5" t="s">
        <v>202</v>
      </c>
      <c r="AR41" s="5" t="s">
        <v>204</v>
      </c>
      <c r="AS41" s="5" t="s">
        <v>204</v>
      </c>
      <c r="AT41" s="5" t="s">
        <v>204</v>
      </c>
      <c r="AU41" s="5" t="s">
        <v>204</v>
      </c>
      <c r="AV41" s="5" t="s">
        <v>397</v>
      </c>
    </row>
    <row r="42">
      <c r="A42" s="7">
        <v>45868.04513888889</v>
      </c>
      <c r="B42" s="7">
        <v>45868.055555555555</v>
      </c>
      <c r="C42" s="5" t="s">
        <v>99</v>
      </c>
      <c r="D42" s="5" t="s">
        <v>192</v>
      </c>
      <c r="E42" s="8">
        <v>100.0</v>
      </c>
      <c r="F42" s="8">
        <v>863.0</v>
      </c>
      <c r="G42" s="9" t="b">
        <v>1</v>
      </c>
      <c r="H42" s="7">
        <v>45868.055555555555</v>
      </c>
      <c r="I42" s="5" t="s">
        <v>398</v>
      </c>
      <c r="J42" s="8">
        <v>60.1816</v>
      </c>
      <c r="K42" s="8">
        <v>24.8368</v>
      </c>
      <c r="L42" s="5" t="s">
        <v>194</v>
      </c>
      <c r="M42" s="5" t="s">
        <v>195</v>
      </c>
      <c r="N42" s="5" t="s">
        <v>385</v>
      </c>
      <c r="O42" s="5" t="s">
        <v>197</v>
      </c>
      <c r="P42" s="5" t="s">
        <v>201</v>
      </c>
      <c r="Q42" s="5" t="s">
        <v>202</v>
      </c>
      <c r="R42" s="5" t="s">
        <v>199</v>
      </c>
      <c r="S42" s="5" t="s">
        <v>202</v>
      </c>
      <c r="T42" s="5" t="s">
        <v>202</v>
      </c>
      <c r="U42" s="5" t="s">
        <v>201</v>
      </c>
      <c r="V42" s="5" t="s">
        <v>202</v>
      </c>
      <c r="W42" s="5" t="s">
        <v>201</v>
      </c>
      <c r="X42" s="5" t="s">
        <v>202</v>
      </c>
      <c r="Y42" s="5" t="s">
        <v>202</v>
      </c>
      <c r="Z42" s="5" t="s">
        <v>202</v>
      </c>
      <c r="AA42" s="5" t="s">
        <v>203</v>
      </c>
      <c r="AB42" s="5" t="s">
        <v>203</v>
      </c>
      <c r="AC42" s="5" t="s">
        <v>202</v>
      </c>
      <c r="AD42" s="5" t="s">
        <v>200</v>
      </c>
      <c r="AE42" s="5" t="s">
        <v>399</v>
      </c>
      <c r="AF42" s="5" t="s">
        <v>206</v>
      </c>
      <c r="AG42" s="5" t="s">
        <v>202</v>
      </c>
      <c r="AH42" s="5" t="s">
        <v>202</v>
      </c>
      <c r="AI42" s="5" t="s">
        <v>201</v>
      </c>
      <c r="AJ42" s="5" t="s">
        <v>202</v>
      </c>
      <c r="AK42" s="5" t="s">
        <v>202</v>
      </c>
      <c r="AL42" s="5" t="s">
        <v>203</v>
      </c>
      <c r="AM42" s="5" t="s">
        <v>400</v>
      </c>
      <c r="AN42" s="5" t="s">
        <v>206</v>
      </c>
      <c r="AO42" s="5" t="s">
        <v>202</v>
      </c>
      <c r="AP42" s="5" t="s">
        <v>202</v>
      </c>
      <c r="AQ42" s="5" t="s">
        <v>202</v>
      </c>
      <c r="AR42" s="5" t="s">
        <v>208</v>
      </c>
      <c r="AS42" s="5" t="s">
        <v>204</v>
      </c>
      <c r="AT42" s="5" t="s">
        <v>208</v>
      </c>
      <c r="AU42" s="5" t="s">
        <v>204</v>
      </c>
      <c r="AV42" s="5" t="s">
        <v>401</v>
      </c>
    </row>
    <row r="43">
      <c r="A43" s="7">
        <v>45868.06041666667</v>
      </c>
      <c r="B43" s="7">
        <v>45868.07083333333</v>
      </c>
      <c r="C43" s="5" t="s">
        <v>99</v>
      </c>
      <c r="D43" s="5" t="s">
        <v>389</v>
      </c>
      <c r="E43" s="8">
        <v>100.0</v>
      </c>
      <c r="F43" s="8">
        <v>942.0</v>
      </c>
      <c r="G43" s="9" t="b">
        <v>1</v>
      </c>
      <c r="H43" s="7">
        <v>45868.07083333333</v>
      </c>
      <c r="I43" s="5" t="s">
        <v>402</v>
      </c>
      <c r="J43" s="8">
        <v>60.1816</v>
      </c>
      <c r="K43" s="8">
        <v>24.8368</v>
      </c>
      <c r="L43" s="5" t="s">
        <v>194</v>
      </c>
      <c r="M43" s="5" t="s">
        <v>195</v>
      </c>
      <c r="N43" s="5" t="s">
        <v>385</v>
      </c>
      <c r="O43" s="5" t="s">
        <v>263</v>
      </c>
      <c r="P43" s="5" t="s">
        <v>202</v>
      </c>
      <c r="Q43" s="5" t="s">
        <v>200</v>
      </c>
      <c r="R43" s="5" t="s">
        <v>199</v>
      </c>
      <c r="S43" s="5" t="s">
        <v>202</v>
      </c>
      <c r="T43" s="5" t="s">
        <v>200</v>
      </c>
      <c r="U43" s="5" t="s">
        <v>201</v>
      </c>
      <c r="V43" s="5" t="s">
        <v>200</v>
      </c>
      <c r="W43" s="5" t="s">
        <v>201</v>
      </c>
      <c r="X43" s="5" t="s">
        <v>202</v>
      </c>
      <c r="Y43" s="5" t="s">
        <v>200</v>
      </c>
      <c r="Z43" s="5" t="s">
        <v>202</v>
      </c>
      <c r="AA43" s="5" t="s">
        <v>202</v>
      </c>
      <c r="AB43" s="5" t="s">
        <v>208</v>
      </c>
      <c r="AC43" s="5" t="s">
        <v>202</v>
      </c>
      <c r="AD43" s="5" t="s">
        <v>200</v>
      </c>
      <c r="AE43" s="5" t="s">
        <v>403</v>
      </c>
      <c r="AF43" s="5" t="s">
        <v>206</v>
      </c>
      <c r="AG43" s="5" t="s">
        <v>202</v>
      </c>
      <c r="AH43" s="5" t="s">
        <v>202</v>
      </c>
      <c r="AI43" s="5" t="s">
        <v>202</v>
      </c>
      <c r="AJ43" s="5" t="s">
        <v>202</v>
      </c>
      <c r="AK43" s="5" t="s">
        <v>202</v>
      </c>
      <c r="AL43" s="5" t="s">
        <v>203</v>
      </c>
      <c r="AM43" s="5" t="s">
        <v>404</v>
      </c>
      <c r="AN43" s="5" t="s">
        <v>206</v>
      </c>
      <c r="AO43" s="5" t="s">
        <v>202</v>
      </c>
      <c r="AP43" s="5" t="s">
        <v>200</v>
      </c>
      <c r="AQ43" s="5" t="s">
        <v>200</v>
      </c>
      <c r="AR43" s="5" t="s">
        <v>208</v>
      </c>
      <c r="AS43" s="5" t="s">
        <v>208</v>
      </c>
      <c r="AT43" s="5" t="s">
        <v>200</v>
      </c>
      <c r="AU43" s="5" t="s">
        <v>208</v>
      </c>
      <c r="AV43" s="5" t="s">
        <v>405</v>
      </c>
    </row>
    <row r="44">
      <c r="A44" s="7">
        <v>45868.06527777778</v>
      </c>
      <c r="B44" s="7">
        <v>45868.072916666664</v>
      </c>
      <c r="C44" s="5" t="s">
        <v>99</v>
      </c>
      <c r="D44" s="5" t="s">
        <v>192</v>
      </c>
      <c r="E44" s="8">
        <v>100.0</v>
      </c>
      <c r="F44" s="8">
        <v>659.0</v>
      </c>
      <c r="G44" s="9" t="b">
        <v>1</v>
      </c>
      <c r="H44" s="7">
        <v>45868.072916666664</v>
      </c>
      <c r="I44" s="5" t="s">
        <v>406</v>
      </c>
      <c r="J44" s="8">
        <v>60.1816</v>
      </c>
      <c r="K44" s="8">
        <v>24.8368</v>
      </c>
      <c r="L44" s="5" t="s">
        <v>194</v>
      </c>
      <c r="M44" s="5" t="s">
        <v>195</v>
      </c>
      <c r="N44" s="5" t="s">
        <v>379</v>
      </c>
      <c r="O44" s="5" t="s">
        <v>263</v>
      </c>
      <c r="P44" s="5" t="s">
        <v>202</v>
      </c>
      <c r="Q44" s="5" t="s">
        <v>202</v>
      </c>
      <c r="R44" s="5" t="s">
        <v>199</v>
      </c>
      <c r="S44" s="5" t="s">
        <v>202</v>
      </c>
      <c r="T44" s="5" t="s">
        <v>202</v>
      </c>
      <c r="U44" s="5" t="s">
        <v>202</v>
      </c>
      <c r="V44" s="5" t="s">
        <v>202</v>
      </c>
      <c r="W44" s="5" t="s">
        <v>201</v>
      </c>
      <c r="X44" s="5" t="s">
        <v>201</v>
      </c>
      <c r="Y44" s="5" t="s">
        <v>201</v>
      </c>
      <c r="Z44" s="5" t="s">
        <v>201</v>
      </c>
      <c r="AA44" s="5" t="s">
        <v>200</v>
      </c>
      <c r="AB44" s="5" t="s">
        <v>202</v>
      </c>
      <c r="AC44" s="5" t="s">
        <v>202</v>
      </c>
      <c r="AD44" s="5" t="s">
        <v>202</v>
      </c>
      <c r="AE44" s="5" t="s">
        <v>407</v>
      </c>
      <c r="AF44" s="5" t="s">
        <v>206</v>
      </c>
      <c r="AG44" s="5" t="s">
        <v>202</v>
      </c>
      <c r="AH44" s="5" t="s">
        <v>201</v>
      </c>
      <c r="AI44" s="5" t="s">
        <v>201</v>
      </c>
      <c r="AJ44" s="5" t="s">
        <v>201</v>
      </c>
      <c r="AK44" s="5" t="s">
        <v>201</v>
      </c>
      <c r="AL44" s="5" t="s">
        <v>201</v>
      </c>
      <c r="AM44" s="5" t="s">
        <v>408</v>
      </c>
      <c r="AN44" s="5" t="s">
        <v>206</v>
      </c>
      <c r="AO44" s="5" t="s">
        <v>201</v>
      </c>
      <c r="AP44" s="5" t="s">
        <v>201</v>
      </c>
      <c r="AQ44" s="5" t="s">
        <v>201</v>
      </c>
      <c r="AR44" s="5" t="s">
        <v>204</v>
      </c>
      <c r="AS44" s="5" t="s">
        <v>204</v>
      </c>
      <c r="AT44" s="5" t="s">
        <v>204</v>
      </c>
      <c r="AU44" s="5" t="s">
        <v>204</v>
      </c>
      <c r="AV44" s="5" t="s">
        <v>409</v>
      </c>
    </row>
    <row r="45">
      <c r="A45" s="7">
        <v>45868.080555555556</v>
      </c>
      <c r="B45" s="7">
        <v>45868.08541666667</v>
      </c>
      <c r="C45" s="5" t="s">
        <v>99</v>
      </c>
      <c r="D45" s="5" t="s">
        <v>192</v>
      </c>
      <c r="E45" s="8">
        <v>100.0</v>
      </c>
      <c r="F45" s="8">
        <v>380.0</v>
      </c>
      <c r="G45" s="9" t="b">
        <v>1</v>
      </c>
      <c r="H45" s="7">
        <v>45868.08541666667</v>
      </c>
      <c r="I45" s="5" t="s">
        <v>410</v>
      </c>
      <c r="J45" s="8">
        <v>60.1816</v>
      </c>
      <c r="K45" s="8">
        <v>24.8368</v>
      </c>
      <c r="L45" s="5" t="s">
        <v>194</v>
      </c>
      <c r="M45" s="5" t="s">
        <v>195</v>
      </c>
      <c r="N45" s="5" t="s">
        <v>411</v>
      </c>
      <c r="O45" s="5" t="s">
        <v>263</v>
      </c>
      <c r="P45" s="5" t="s">
        <v>198</v>
      </c>
      <c r="Q45" s="5" t="s">
        <v>198</v>
      </c>
      <c r="R45" s="5" t="s">
        <v>199</v>
      </c>
      <c r="S45" s="5" t="s">
        <v>202</v>
      </c>
      <c r="T45" s="5" t="s">
        <v>202</v>
      </c>
      <c r="U45" s="5" t="s">
        <v>198</v>
      </c>
      <c r="V45" s="5" t="s">
        <v>198</v>
      </c>
      <c r="W45" s="5" t="s">
        <v>200</v>
      </c>
      <c r="X45" s="5" t="s">
        <v>202</v>
      </c>
      <c r="Y45" s="5" t="s">
        <v>202</v>
      </c>
      <c r="Z45" s="5" t="s">
        <v>202</v>
      </c>
      <c r="AA45" s="5" t="s">
        <v>198</v>
      </c>
      <c r="AB45" s="5" t="s">
        <v>203</v>
      </c>
      <c r="AC45" s="5" t="s">
        <v>202</v>
      </c>
      <c r="AD45" s="5" t="s">
        <v>208</v>
      </c>
      <c r="AE45" s="11" t="s">
        <v>412</v>
      </c>
      <c r="AF45" s="5" t="s">
        <v>206</v>
      </c>
      <c r="AG45" s="5" t="s">
        <v>200</v>
      </c>
      <c r="AH45" s="5" t="s">
        <v>200</v>
      </c>
      <c r="AI45" s="5" t="s">
        <v>200</v>
      </c>
      <c r="AJ45" s="5" t="s">
        <v>200</v>
      </c>
      <c r="AK45" s="5" t="s">
        <v>200</v>
      </c>
      <c r="AL45" s="5" t="s">
        <v>202</v>
      </c>
      <c r="AM45" s="5" t="s">
        <v>413</v>
      </c>
      <c r="AN45" s="5" t="s">
        <v>206</v>
      </c>
      <c r="AO45" s="5" t="s">
        <v>202</v>
      </c>
      <c r="AP45" s="5" t="s">
        <v>201</v>
      </c>
      <c r="AQ45" s="5" t="s">
        <v>202</v>
      </c>
      <c r="AR45" s="5" t="s">
        <v>208</v>
      </c>
      <c r="AS45" s="5" t="s">
        <v>208</v>
      </c>
      <c r="AT45" s="5" t="s">
        <v>204</v>
      </c>
      <c r="AU45" s="5" t="s">
        <v>208</v>
      </c>
      <c r="AV45" s="5" t="s">
        <v>414</v>
      </c>
    </row>
    <row r="46">
      <c r="A46" s="7">
        <v>45868.07152777778</v>
      </c>
      <c r="B46" s="7">
        <v>45868.08541666667</v>
      </c>
      <c r="C46" s="5" t="s">
        <v>99</v>
      </c>
      <c r="D46" s="5" t="s">
        <v>389</v>
      </c>
      <c r="E46" s="8">
        <v>100.0</v>
      </c>
      <c r="F46" s="8">
        <v>1190.0</v>
      </c>
      <c r="G46" s="9" t="b">
        <v>1</v>
      </c>
      <c r="H46" s="7">
        <v>45868.08541666667</v>
      </c>
      <c r="I46" s="5" t="s">
        <v>415</v>
      </c>
      <c r="J46" s="8">
        <v>60.1816</v>
      </c>
      <c r="K46" s="8">
        <v>24.8368</v>
      </c>
      <c r="L46" s="5" t="s">
        <v>194</v>
      </c>
      <c r="M46" s="5" t="s">
        <v>195</v>
      </c>
      <c r="N46" s="5" t="s">
        <v>385</v>
      </c>
      <c r="O46" s="5" t="s">
        <v>216</v>
      </c>
      <c r="P46" s="5" t="s">
        <v>198</v>
      </c>
      <c r="Q46" s="5" t="s">
        <v>200</v>
      </c>
      <c r="R46" s="5" t="s">
        <v>199</v>
      </c>
      <c r="S46" s="5" t="s">
        <v>203</v>
      </c>
      <c r="T46" s="5" t="s">
        <v>198</v>
      </c>
      <c r="U46" s="5" t="s">
        <v>198</v>
      </c>
      <c r="V46" s="5" t="s">
        <v>200</v>
      </c>
      <c r="W46" s="5" t="s">
        <v>202</v>
      </c>
      <c r="X46" s="5" t="s">
        <v>202</v>
      </c>
      <c r="Y46" s="5" t="s">
        <v>202</v>
      </c>
      <c r="Z46" s="5" t="s">
        <v>200</v>
      </c>
      <c r="AA46" s="5" t="s">
        <v>198</v>
      </c>
      <c r="AB46" s="5" t="s">
        <v>198</v>
      </c>
      <c r="AC46" s="5" t="s">
        <v>202</v>
      </c>
      <c r="AD46" s="5" t="s">
        <v>200</v>
      </c>
      <c r="AE46" s="5" t="s">
        <v>416</v>
      </c>
      <c r="AF46" s="5" t="s">
        <v>206</v>
      </c>
      <c r="AG46" s="5" t="s">
        <v>202</v>
      </c>
      <c r="AH46" s="5" t="s">
        <v>200</v>
      </c>
      <c r="AI46" s="5" t="s">
        <v>202</v>
      </c>
      <c r="AJ46" s="5" t="s">
        <v>200</v>
      </c>
      <c r="AK46" s="5" t="s">
        <v>198</v>
      </c>
      <c r="AL46" s="5" t="s">
        <v>203</v>
      </c>
      <c r="AM46" s="5" t="s">
        <v>417</v>
      </c>
      <c r="AN46" s="5" t="s">
        <v>206</v>
      </c>
      <c r="AO46" s="5" t="s">
        <v>202</v>
      </c>
      <c r="AP46" s="5" t="s">
        <v>200</v>
      </c>
      <c r="AQ46" s="5" t="s">
        <v>198</v>
      </c>
      <c r="AR46" s="5" t="s">
        <v>204</v>
      </c>
      <c r="AS46" s="5" t="s">
        <v>204</v>
      </c>
      <c r="AT46" s="5" t="s">
        <v>208</v>
      </c>
      <c r="AU46" s="5" t="s">
        <v>204</v>
      </c>
      <c r="AV46" s="5" t="s">
        <v>418</v>
      </c>
    </row>
    <row r="47">
      <c r="A47" s="7">
        <v>45868.08263888889</v>
      </c>
      <c r="B47" s="7">
        <v>45868.089583333334</v>
      </c>
      <c r="C47" s="5" t="s">
        <v>99</v>
      </c>
      <c r="D47" s="5" t="s">
        <v>192</v>
      </c>
      <c r="E47" s="8">
        <v>100.0</v>
      </c>
      <c r="F47" s="8">
        <v>627.0</v>
      </c>
      <c r="G47" s="9" t="b">
        <v>1</v>
      </c>
      <c r="H47" s="7">
        <v>45868.089583333334</v>
      </c>
      <c r="I47" s="5" t="s">
        <v>419</v>
      </c>
      <c r="J47" s="8">
        <v>60.1816</v>
      </c>
      <c r="K47" s="8">
        <v>24.8368</v>
      </c>
      <c r="L47" s="5" t="s">
        <v>194</v>
      </c>
      <c r="M47" s="5" t="s">
        <v>195</v>
      </c>
      <c r="N47" s="5" t="s">
        <v>411</v>
      </c>
      <c r="O47" s="5" t="s">
        <v>211</v>
      </c>
      <c r="P47" s="5" t="s">
        <v>208</v>
      </c>
      <c r="Q47" s="5" t="s">
        <v>208</v>
      </c>
      <c r="R47" s="5" t="s">
        <v>199</v>
      </c>
      <c r="S47" s="5" t="s">
        <v>208</v>
      </c>
      <c r="T47" s="5" t="s">
        <v>204</v>
      </c>
      <c r="U47" s="5" t="s">
        <v>204</v>
      </c>
      <c r="V47" s="5" t="s">
        <v>208</v>
      </c>
      <c r="W47" s="5" t="s">
        <v>202</v>
      </c>
      <c r="X47" s="5" t="s">
        <v>203</v>
      </c>
      <c r="Y47" s="5" t="s">
        <v>200</v>
      </c>
      <c r="Z47" s="5" t="s">
        <v>200</v>
      </c>
      <c r="AA47" s="5" t="s">
        <v>204</v>
      </c>
      <c r="AB47" s="5" t="s">
        <v>203</v>
      </c>
      <c r="AC47" s="5" t="s">
        <v>208</v>
      </c>
      <c r="AD47" s="5" t="s">
        <v>202</v>
      </c>
      <c r="AE47" s="5" t="s">
        <v>420</v>
      </c>
      <c r="AF47" s="5" t="s">
        <v>206</v>
      </c>
      <c r="AG47" s="5" t="s">
        <v>204</v>
      </c>
      <c r="AH47" s="5" t="s">
        <v>198</v>
      </c>
      <c r="AI47" s="5" t="s">
        <v>204</v>
      </c>
      <c r="AJ47" s="5" t="s">
        <v>203</v>
      </c>
      <c r="AK47" s="5" t="s">
        <v>200</v>
      </c>
      <c r="AL47" s="5" t="s">
        <v>202</v>
      </c>
      <c r="AM47" s="5" t="s">
        <v>421</v>
      </c>
      <c r="AN47" s="5" t="s">
        <v>206</v>
      </c>
      <c r="AO47" s="5" t="s">
        <v>200</v>
      </c>
      <c r="AP47" s="5" t="s">
        <v>203</v>
      </c>
      <c r="AQ47" s="5" t="s">
        <v>203</v>
      </c>
      <c r="AR47" s="5" t="s">
        <v>204</v>
      </c>
      <c r="AS47" s="5" t="s">
        <v>204</v>
      </c>
      <c r="AT47" s="5" t="s">
        <v>204</v>
      </c>
      <c r="AU47" s="5" t="s">
        <v>204</v>
      </c>
      <c r="AV47" s="5" t="s">
        <v>422</v>
      </c>
    </row>
    <row r="48">
      <c r="A48" s="7">
        <v>45868.092361111114</v>
      </c>
      <c r="B48" s="7">
        <v>45868.09583333333</v>
      </c>
      <c r="C48" s="5" t="s">
        <v>99</v>
      </c>
      <c r="D48" s="5" t="s">
        <v>192</v>
      </c>
      <c r="E48" s="8">
        <v>100.0</v>
      </c>
      <c r="F48" s="8">
        <v>323.0</v>
      </c>
      <c r="G48" s="9" t="b">
        <v>1</v>
      </c>
      <c r="H48" s="7">
        <v>45868.09583333333</v>
      </c>
      <c r="I48" s="5" t="s">
        <v>423</v>
      </c>
      <c r="J48" s="8">
        <v>60.1816</v>
      </c>
      <c r="K48" s="8">
        <v>24.8368</v>
      </c>
      <c r="L48" s="5" t="s">
        <v>194</v>
      </c>
      <c r="M48" s="5" t="s">
        <v>195</v>
      </c>
      <c r="N48" s="5" t="s">
        <v>411</v>
      </c>
      <c r="O48" s="5" t="s">
        <v>197</v>
      </c>
      <c r="P48" s="5" t="s">
        <v>203</v>
      </c>
      <c r="Q48" s="5" t="s">
        <v>198</v>
      </c>
      <c r="R48" s="5" t="s">
        <v>199</v>
      </c>
      <c r="S48" s="5" t="s">
        <v>200</v>
      </c>
      <c r="T48" s="5" t="s">
        <v>202</v>
      </c>
      <c r="U48" s="5" t="s">
        <v>203</v>
      </c>
      <c r="V48" s="5" t="s">
        <v>203</v>
      </c>
      <c r="W48" s="5" t="s">
        <v>202</v>
      </c>
      <c r="X48" s="5" t="s">
        <v>202</v>
      </c>
      <c r="Y48" s="5" t="s">
        <v>202</v>
      </c>
      <c r="Z48" s="5" t="s">
        <v>202</v>
      </c>
      <c r="AA48" s="5" t="s">
        <v>200</v>
      </c>
      <c r="AB48" s="5" t="s">
        <v>203</v>
      </c>
      <c r="AC48" s="5" t="s">
        <v>202</v>
      </c>
      <c r="AD48" s="5" t="s">
        <v>203</v>
      </c>
      <c r="AE48" s="11" t="s">
        <v>424</v>
      </c>
      <c r="AF48" s="5" t="s">
        <v>206</v>
      </c>
      <c r="AG48" s="5" t="s">
        <v>203</v>
      </c>
      <c r="AH48" s="5" t="s">
        <v>200</v>
      </c>
      <c r="AI48" s="5" t="s">
        <v>202</v>
      </c>
      <c r="AJ48" s="5" t="s">
        <v>203</v>
      </c>
      <c r="AK48" s="5" t="s">
        <v>202</v>
      </c>
      <c r="AL48" s="5" t="s">
        <v>202</v>
      </c>
      <c r="AM48" s="11" t="s">
        <v>425</v>
      </c>
      <c r="AN48" s="10"/>
      <c r="AO48" s="5" t="s">
        <v>202</v>
      </c>
      <c r="AP48" s="5" t="s">
        <v>202</v>
      </c>
      <c r="AQ48" s="5" t="s">
        <v>202</v>
      </c>
      <c r="AR48" s="5" t="s">
        <v>204</v>
      </c>
      <c r="AS48" s="5" t="s">
        <v>204</v>
      </c>
      <c r="AT48" s="5" t="s">
        <v>204</v>
      </c>
      <c r="AU48" s="5" t="s">
        <v>204</v>
      </c>
      <c r="AV48" s="5" t="s">
        <v>426</v>
      </c>
    </row>
    <row r="49">
      <c r="A49" s="7">
        <v>45868.09166666667</v>
      </c>
      <c r="B49" s="7">
        <v>45868.10208333333</v>
      </c>
      <c r="C49" s="5" t="s">
        <v>99</v>
      </c>
      <c r="D49" s="5" t="s">
        <v>389</v>
      </c>
      <c r="E49" s="8">
        <v>100.0</v>
      </c>
      <c r="F49" s="8">
        <v>885.0</v>
      </c>
      <c r="G49" s="9" t="b">
        <v>1</v>
      </c>
      <c r="H49" s="7">
        <v>45868.10208333333</v>
      </c>
      <c r="I49" s="5" t="s">
        <v>427</v>
      </c>
      <c r="J49" s="8">
        <v>60.1816</v>
      </c>
      <c r="K49" s="8">
        <v>24.8368</v>
      </c>
      <c r="L49" s="5" t="s">
        <v>194</v>
      </c>
      <c r="M49" s="5" t="s">
        <v>195</v>
      </c>
      <c r="N49" s="5" t="s">
        <v>428</v>
      </c>
      <c r="O49" s="5" t="s">
        <v>216</v>
      </c>
      <c r="P49" s="5" t="s">
        <v>203</v>
      </c>
      <c r="Q49" s="5" t="s">
        <v>202</v>
      </c>
      <c r="R49" s="5" t="s">
        <v>199</v>
      </c>
      <c r="S49" s="5" t="s">
        <v>202</v>
      </c>
      <c r="T49" s="5" t="s">
        <v>202</v>
      </c>
      <c r="U49" s="5" t="s">
        <v>202</v>
      </c>
      <c r="V49" s="5" t="s">
        <v>198</v>
      </c>
      <c r="W49" s="5" t="s">
        <v>202</v>
      </c>
      <c r="X49" s="5" t="s">
        <v>202</v>
      </c>
      <c r="Y49" s="5" t="s">
        <v>202</v>
      </c>
      <c r="Z49" s="5" t="s">
        <v>202</v>
      </c>
      <c r="AA49" s="5" t="s">
        <v>198</v>
      </c>
      <c r="AB49" s="5" t="s">
        <v>203</v>
      </c>
      <c r="AC49" s="5" t="s">
        <v>202</v>
      </c>
      <c r="AD49" s="5" t="s">
        <v>202</v>
      </c>
      <c r="AE49" s="5" t="s">
        <v>429</v>
      </c>
      <c r="AF49" s="5" t="s">
        <v>206</v>
      </c>
      <c r="AG49" s="5" t="s">
        <v>200</v>
      </c>
      <c r="AH49" s="5" t="s">
        <v>200</v>
      </c>
      <c r="AI49" s="5" t="s">
        <v>200</v>
      </c>
      <c r="AJ49" s="5" t="s">
        <v>202</v>
      </c>
      <c r="AK49" s="5" t="s">
        <v>203</v>
      </c>
      <c r="AL49" s="5" t="s">
        <v>200</v>
      </c>
      <c r="AM49" s="5" t="s">
        <v>430</v>
      </c>
      <c r="AN49" s="5" t="s">
        <v>206</v>
      </c>
      <c r="AO49" s="5" t="s">
        <v>202</v>
      </c>
      <c r="AP49" s="5" t="s">
        <v>200</v>
      </c>
      <c r="AQ49" s="5" t="s">
        <v>203</v>
      </c>
      <c r="AR49" s="5" t="s">
        <v>204</v>
      </c>
      <c r="AS49" s="5" t="s">
        <v>204</v>
      </c>
      <c r="AT49" s="5" t="s">
        <v>204</v>
      </c>
      <c r="AU49" s="5" t="s">
        <v>204</v>
      </c>
      <c r="AV49" s="5" t="s">
        <v>431</v>
      </c>
    </row>
    <row r="50">
      <c r="A50" s="7">
        <v>45868.15555555555</v>
      </c>
      <c r="B50" s="7">
        <v>45868.16805555556</v>
      </c>
      <c r="C50" s="5" t="s">
        <v>99</v>
      </c>
      <c r="D50" s="5" t="s">
        <v>389</v>
      </c>
      <c r="E50" s="8">
        <v>100.0</v>
      </c>
      <c r="F50" s="8">
        <v>1034.0</v>
      </c>
      <c r="G50" s="9" t="b">
        <v>1</v>
      </c>
      <c r="H50" s="7">
        <v>45868.16805555556</v>
      </c>
      <c r="I50" s="5" t="s">
        <v>432</v>
      </c>
      <c r="J50" s="8">
        <v>60.1816</v>
      </c>
      <c r="K50" s="8">
        <v>24.8368</v>
      </c>
      <c r="L50" s="5" t="s">
        <v>194</v>
      </c>
      <c r="M50" s="5" t="s">
        <v>195</v>
      </c>
      <c r="N50" s="5" t="s">
        <v>433</v>
      </c>
      <c r="O50" s="5" t="s">
        <v>216</v>
      </c>
      <c r="P50" s="5" t="s">
        <v>198</v>
      </c>
      <c r="Q50" s="5" t="s">
        <v>208</v>
      </c>
      <c r="R50" s="5" t="s">
        <v>199</v>
      </c>
      <c r="S50" s="5" t="s">
        <v>200</v>
      </c>
      <c r="T50" s="5" t="s">
        <v>203</v>
      </c>
      <c r="U50" s="5" t="s">
        <v>208</v>
      </c>
      <c r="V50" s="5" t="s">
        <v>208</v>
      </c>
      <c r="W50" s="5" t="s">
        <v>208</v>
      </c>
      <c r="X50" s="5" t="s">
        <v>202</v>
      </c>
      <c r="Y50" s="5" t="s">
        <v>202</v>
      </c>
      <c r="Z50" s="5" t="s">
        <v>198</v>
      </c>
      <c r="AA50" s="5" t="s">
        <v>208</v>
      </c>
      <c r="AB50" s="5" t="s">
        <v>208</v>
      </c>
      <c r="AC50" s="5" t="s">
        <v>202</v>
      </c>
      <c r="AD50" s="5" t="s">
        <v>202</v>
      </c>
      <c r="AE50" s="5" t="s">
        <v>434</v>
      </c>
      <c r="AF50" s="5" t="s">
        <v>206</v>
      </c>
      <c r="AG50" s="5" t="s">
        <v>202</v>
      </c>
      <c r="AH50" s="5" t="s">
        <v>203</v>
      </c>
      <c r="AI50" s="5" t="s">
        <v>198</v>
      </c>
      <c r="AJ50" s="5" t="s">
        <v>202</v>
      </c>
      <c r="AK50" s="5" t="s">
        <v>203</v>
      </c>
      <c r="AL50" s="5" t="s">
        <v>208</v>
      </c>
      <c r="AM50" s="5" t="s">
        <v>435</v>
      </c>
      <c r="AN50" s="5" t="s">
        <v>206</v>
      </c>
      <c r="AO50" s="5" t="s">
        <v>202</v>
      </c>
      <c r="AP50" s="5" t="s">
        <v>200</v>
      </c>
      <c r="AQ50" s="5" t="s">
        <v>198</v>
      </c>
      <c r="AR50" s="5" t="s">
        <v>208</v>
      </c>
      <c r="AS50" s="5" t="s">
        <v>208</v>
      </c>
      <c r="AT50" s="5" t="s">
        <v>204</v>
      </c>
      <c r="AU50" s="5" t="s">
        <v>204</v>
      </c>
      <c r="AV50" s="11" t="s">
        <v>436</v>
      </c>
    </row>
    <row r="51">
      <c r="A51" s="7">
        <v>45868.16875</v>
      </c>
      <c r="B51" s="7">
        <v>45868.180555555555</v>
      </c>
      <c r="C51" s="5" t="s">
        <v>99</v>
      </c>
      <c r="D51" s="5" t="s">
        <v>389</v>
      </c>
      <c r="E51" s="8">
        <v>100.0</v>
      </c>
      <c r="F51" s="8">
        <v>1006.0</v>
      </c>
      <c r="G51" s="9" t="b">
        <v>1</v>
      </c>
      <c r="H51" s="7">
        <v>45868.180555555555</v>
      </c>
      <c r="I51" s="5" t="s">
        <v>437</v>
      </c>
      <c r="J51" s="8">
        <v>60.1816</v>
      </c>
      <c r="K51" s="8">
        <v>24.8368</v>
      </c>
      <c r="L51" s="5" t="s">
        <v>194</v>
      </c>
      <c r="M51" s="5" t="s">
        <v>195</v>
      </c>
      <c r="N51" s="5" t="s">
        <v>433</v>
      </c>
      <c r="O51" s="5" t="s">
        <v>211</v>
      </c>
      <c r="P51" s="5" t="s">
        <v>208</v>
      </c>
      <c r="Q51" s="5" t="s">
        <v>200</v>
      </c>
      <c r="R51" s="5" t="s">
        <v>199</v>
      </c>
      <c r="S51" s="5" t="s">
        <v>202</v>
      </c>
      <c r="T51" s="5" t="s">
        <v>200</v>
      </c>
      <c r="U51" s="5" t="s">
        <v>203</v>
      </c>
      <c r="V51" s="5" t="s">
        <v>200</v>
      </c>
      <c r="W51" s="5" t="s">
        <v>200</v>
      </c>
      <c r="X51" s="5" t="s">
        <v>201</v>
      </c>
      <c r="Y51" s="5" t="s">
        <v>202</v>
      </c>
      <c r="Z51" s="5" t="s">
        <v>198</v>
      </c>
      <c r="AA51" s="5" t="s">
        <v>200</v>
      </c>
      <c r="AB51" s="5" t="s">
        <v>200</v>
      </c>
      <c r="AC51" s="5" t="s">
        <v>202</v>
      </c>
      <c r="AD51" s="5" t="s">
        <v>202</v>
      </c>
      <c r="AE51" s="11" t="s">
        <v>438</v>
      </c>
      <c r="AF51" s="5" t="s">
        <v>206</v>
      </c>
      <c r="AG51" s="5" t="s">
        <v>202</v>
      </c>
      <c r="AH51" s="5" t="s">
        <v>203</v>
      </c>
      <c r="AI51" s="5" t="s">
        <v>200</v>
      </c>
      <c r="AJ51" s="5" t="s">
        <v>200</v>
      </c>
      <c r="AK51" s="5" t="s">
        <v>200</v>
      </c>
      <c r="AL51" s="5" t="s">
        <v>202</v>
      </c>
      <c r="AM51" s="11" t="s">
        <v>439</v>
      </c>
      <c r="AN51" s="5" t="s">
        <v>206</v>
      </c>
      <c r="AO51" s="5" t="s">
        <v>200</v>
      </c>
      <c r="AP51" s="5" t="s">
        <v>202</v>
      </c>
      <c r="AQ51" s="5" t="s">
        <v>201</v>
      </c>
      <c r="AR51" s="5" t="s">
        <v>204</v>
      </c>
      <c r="AS51" s="5" t="s">
        <v>208</v>
      </c>
      <c r="AT51" s="5" t="s">
        <v>204</v>
      </c>
      <c r="AU51" s="5" t="s">
        <v>204</v>
      </c>
      <c r="AV51" s="5" t="s">
        <v>440</v>
      </c>
    </row>
    <row r="52">
      <c r="A52" s="7">
        <v>45868.17222222222</v>
      </c>
      <c r="B52" s="7">
        <v>45868.183333333334</v>
      </c>
      <c r="C52" s="5" t="s">
        <v>99</v>
      </c>
      <c r="D52" s="5" t="s">
        <v>192</v>
      </c>
      <c r="E52" s="8">
        <v>100.0</v>
      </c>
      <c r="F52" s="8">
        <v>961.0</v>
      </c>
      <c r="G52" s="9" t="b">
        <v>1</v>
      </c>
      <c r="H52" s="7">
        <v>45868.183333333334</v>
      </c>
      <c r="I52" s="5" t="s">
        <v>441</v>
      </c>
      <c r="J52" s="8">
        <v>60.1816</v>
      </c>
      <c r="K52" s="8">
        <v>24.8368</v>
      </c>
      <c r="L52" s="5" t="s">
        <v>194</v>
      </c>
      <c r="M52" s="5" t="s">
        <v>195</v>
      </c>
      <c r="N52" s="5" t="s">
        <v>442</v>
      </c>
      <c r="O52" s="5" t="s">
        <v>197</v>
      </c>
      <c r="P52" s="5" t="s">
        <v>198</v>
      </c>
      <c r="Q52" s="5" t="s">
        <v>200</v>
      </c>
      <c r="R52" s="5" t="s">
        <v>199</v>
      </c>
      <c r="S52" s="5" t="s">
        <v>198</v>
      </c>
      <c r="T52" s="5" t="s">
        <v>200</v>
      </c>
      <c r="U52" s="5" t="s">
        <v>200</v>
      </c>
      <c r="V52" s="5" t="s">
        <v>202</v>
      </c>
      <c r="W52" s="5" t="s">
        <v>202</v>
      </c>
      <c r="X52" s="5" t="s">
        <v>202</v>
      </c>
      <c r="Y52" s="5" t="s">
        <v>202</v>
      </c>
      <c r="Z52" s="5" t="s">
        <v>202</v>
      </c>
      <c r="AA52" s="5" t="s">
        <v>203</v>
      </c>
      <c r="AB52" s="5" t="s">
        <v>200</v>
      </c>
      <c r="AC52" s="5" t="s">
        <v>202</v>
      </c>
      <c r="AD52" s="5" t="s">
        <v>203</v>
      </c>
      <c r="AE52" s="5" t="s">
        <v>443</v>
      </c>
      <c r="AF52" s="5" t="s">
        <v>206</v>
      </c>
      <c r="AG52" s="5" t="s">
        <v>198</v>
      </c>
      <c r="AH52" s="5" t="s">
        <v>198</v>
      </c>
      <c r="AI52" s="5" t="s">
        <v>198</v>
      </c>
      <c r="AJ52" s="5" t="s">
        <v>198</v>
      </c>
      <c r="AK52" s="5" t="s">
        <v>203</v>
      </c>
      <c r="AL52" s="5" t="s">
        <v>200</v>
      </c>
      <c r="AM52" s="5" t="s">
        <v>444</v>
      </c>
      <c r="AN52" s="5" t="s">
        <v>206</v>
      </c>
      <c r="AO52" s="5" t="s">
        <v>203</v>
      </c>
      <c r="AP52" s="5" t="s">
        <v>200</v>
      </c>
      <c r="AQ52" s="5" t="s">
        <v>200</v>
      </c>
      <c r="AR52" s="5" t="s">
        <v>208</v>
      </c>
      <c r="AS52" s="5" t="s">
        <v>198</v>
      </c>
      <c r="AT52" s="5" t="s">
        <v>200</v>
      </c>
      <c r="AU52" s="5" t="s">
        <v>198</v>
      </c>
      <c r="AV52" s="5" t="s">
        <v>445</v>
      </c>
    </row>
    <row r="53">
      <c r="A53" s="7">
        <v>45868.18402777778</v>
      </c>
      <c r="B53" s="7">
        <v>45868.19375</v>
      </c>
      <c r="C53" s="5" t="s">
        <v>99</v>
      </c>
      <c r="D53" s="5" t="s">
        <v>389</v>
      </c>
      <c r="E53" s="8">
        <v>100.0</v>
      </c>
      <c r="F53" s="8">
        <v>829.0</v>
      </c>
      <c r="G53" s="9" t="b">
        <v>1</v>
      </c>
      <c r="H53" s="7">
        <v>45868.19375</v>
      </c>
      <c r="I53" s="5" t="s">
        <v>446</v>
      </c>
      <c r="J53" s="8">
        <v>60.1816</v>
      </c>
      <c r="K53" s="8">
        <v>24.8368</v>
      </c>
      <c r="L53" s="5" t="s">
        <v>194</v>
      </c>
      <c r="M53" s="5" t="s">
        <v>195</v>
      </c>
      <c r="N53" s="5" t="s">
        <v>442</v>
      </c>
      <c r="O53" s="5" t="s">
        <v>197</v>
      </c>
      <c r="P53" s="5" t="s">
        <v>200</v>
      </c>
      <c r="Q53" s="5" t="s">
        <v>198</v>
      </c>
      <c r="R53" s="5" t="s">
        <v>199</v>
      </c>
      <c r="S53" s="5" t="s">
        <v>203</v>
      </c>
      <c r="T53" s="5" t="s">
        <v>200</v>
      </c>
      <c r="U53" s="5" t="s">
        <v>201</v>
      </c>
      <c r="V53" s="5" t="s">
        <v>202</v>
      </c>
      <c r="W53" s="5" t="s">
        <v>201</v>
      </c>
      <c r="X53" s="5" t="s">
        <v>201</v>
      </c>
      <c r="Y53" s="5" t="s">
        <v>202</v>
      </c>
      <c r="Z53" s="5" t="s">
        <v>202</v>
      </c>
      <c r="AA53" s="5" t="s">
        <v>198</v>
      </c>
      <c r="AB53" s="5" t="s">
        <v>200</v>
      </c>
      <c r="AC53" s="5" t="s">
        <v>200</v>
      </c>
      <c r="AD53" s="5" t="s">
        <v>200</v>
      </c>
      <c r="AE53" s="5" t="s">
        <v>447</v>
      </c>
      <c r="AF53" s="5" t="s">
        <v>206</v>
      </c>
      <c r="AG53" s="5" t="s">
        <v>200</v>
      </c>
      <c r="AH53" s="5" t="s">
        <v>200</v>
      </c>
      <c r="AI53" s="5" t="s">
        <v>203</v>
      </c>
      <c r="AJ53" s="5" t="s">
        <v>200</v>
      </c>
      <c r="AK53" s="5" t="s">
        <v>198</v>
      </c>
      <c r="AL53" s="5" t="s">
        <v>200</v>
      </c>
      <c r="AM53" s="5" t="s">
        <v>448</v>
      </c>
      <c r="AN53" s="5" t="s">
        <v>206</v>
      </c>
      <c r="AO53" s="5" t="s">
        <v>202</v>
      </c>
      <c r="AP53" s="5" t="s">
        <v>202</v>
      </c>
      <c r="AQ53" s="5" t="s">
        <v>202</v>
      </c>
      <c r="AR53" s="5" t="s">
        <v>208</v>
      </c>
      <c r="AS53" s="5" t="s">
        <v>204</v>
      </c>
      <c r="AT53" s="5" t="s">
        <v>208</v>
      </c>
      <c r="AU53" s="5" t="s">
        <v>204</v>
      </c>
      <c r="AV53" s="5" t="s">
        <v>449</v>
      </c>
    </row>
    <row r="54">
      <c r="A54" s="7">
        <v>45868.18402777778</v>
      </c>
      <c r="B54" s="7">
        <v>45868.20138888889</v>
      </c>
      <c r="C54" s="5" t="s">
        <v>99</v>
      </c>
      <c r="D54" s="5" t="s">
        <v>192</v>
      </c>
      <c r="E54" s="8">
        <v>100.0</v>
      </c>
      <c r="F54" s="8">
        <v>1471.0</v>
      </c>
      <c r="G54" s="9" t="b">
        <v>1</v>
      </c>
      <c r="H54" s="7">
        <v>45868.20138888889</v>
      </c>
      <c r="I54" s="5" t="s">
        <v>450</v>
      </c>
      <c r="J54" s="8">
        <v>60.1816</v>
      </c>
      <c r="K54" s="8">
        <v>24.8368</v>
      </c>
      <c r="L54" s="5" t="s">
        <v>194</v>
      </c>
      <c r="M54" s="5" t="s">
        <v>195</v>
      </c>
      <c r="N54" s="5" t="s">
        <v>433</v>
      </c>
      <c r="O54" s="5" t="s">
        <v>197</v>
      </c>
      <c r="P54" s="5" t="s">
        <v>202</v>
      </c>
      <c r="Q54" s="5" t="s">
        <v>202</v>
      </c>
      <c r="R54" s="5" t="s">
        <v>199</v>
      </c>
      <c r="S54" s="5" t="s">
        <v>202</v>
      </c>
      <c r="T54" s="5" t="s">
        <v>201</v>
      </c>
      <c r="U54" s="5" t="s">
        <v>201</v>
      </c>
      <c r="V54" s="5" t="s">
        <v>202</v>
      </c>
      <c r="W54" s="5" t="s">
        <v>203</v>
      </c>
      <c r="X54" s="5" t="s">
        <v>202</v>
      </c>
      <c r="Y54" s="5" t="s">
        <v>202</v>
      </c>
      <c r="Z54" s="5" t="s">
        <v>202</v>
      </c>
      <c r="AA54" s="5" t="s">
        <v>202</v>
      </c>
      <c r="AB54" s="5" t="s">
        <v>200</v>
      </c>
      <c r="AC54" s="5" t="s">
        <v>201</v>
      </c>
      <c r="AD54" s="5" t="s">
        <v>202</v>
      </c>
      <c r="AE54" s="11" t="s">
        <v>451</v>
      </c>
      <c r="AF54" s="5" t="s">
        <v>206</v>
      </c>
      <c r="AG54" s="5" t="s">
        <v>202</v>
      </c>
      <c r="AH54" s="5" t="s">
        <v>202</v>
      </c>
      <c r="AI54" s="5" t="s">
        <v>202</v>
      </c>
      <c r="AJ54" s="5" t="s">
        <v>200</v>
      </c>
      <c r="AK54" s="5" t="s">
        <v>200</v>
      </c>
      <c r="AL54" s="5" t="s">
        <v>202</v>
      </c>
      <c r="AM54" s="5" t="s">
        <v>452</v>
      </c>
      <c r="AN54" s="5" t="s">
        <v>206</v>
      </c>
      <c r="AO54" s="5" t="s">
        <v>202</v>
      </c>
      <c r="AP54" s="5" t="s">
        <v>208</v>
      </c>
      <c r="AQ54" s="5" t="s">
        <v>201</v>
      </c>
      <c r="AR54" s="5" t="s">
        <v>208</v>
      </c>
      <c r="AS54" s="5" t="s">
        <v>208</v>
      </c>
      <c r="AT54" s="5" t="s">
        <v>200</v>
      </c>
      <c r="AU54" s="5" t="s">
        <v>202</v>
      </c>
      <c r="AV54" s="11" t="s">
        <v>453</v>
      </c>
    </row>
    <row r="55">
      <c r="A55" s="7">
        <v>45868.19513888889</v>
      </c>
      <c r="B55" s="7">
        <v>45868.20208333333</v>
      </c>
      <c r="C55" s="5" t="s">
        <v>99</v>
      </c>
      <c r="D55" s="5" t="s">
        <v>389</v>
      </c>
      <c r="E55" s="8">
        <v>100.0</v>
      </c>
      <c r="F55" s="8">
        <v>626.0</v>
      </c>
      <c r="G55" s="9" t="b">
        <v>1</v>
      </c>
      <c r="H55" s="7">
        <v>45868.20208333333</v>
      </c>
      <c r="I55" s="5" t="s">
        <v>454</v>
      </c>
      <c r="J55" s="8">
        <v>60.1816</v>
      </c>
      <c r="K55" s="8">
        <v>24.8368</v>
      </c>
      <c r="L55" s="5" t="s">
        <v>194</v>
      </c>
      <c r="M55" s="5" t="s">
        <v>195</v>
      </c>
      <c r="N55" s="5" t="s">
        <v>442</v>
      </c>
      <c r="O55" s="5" t="s">
        <v>216</v>
      </c>
      <c r="P55" s="5" t="s">
        <v>200</v>
      </c>
      <c r="Q55" s="5" t="s">
        <v>200</v>
      </c>
      <c r="R55" s="5" t="s">
        <v>199</v>
      </c>
      <c r="S55" s="5" t="s">
        <v>200</v>
      </c>
      <c r="T55" s="5" t="s">
        <v>200</v>
      </c>
      <c r="U55" s="5" t="s">
        <v>202</v>
      </c>
      <c r="V55" s="5" t="s">
        <v>200</v>
      </c>
      <c r="W55" s="5" t="s">
        <v>200</v>
      </c>
      <c r="X55" s="5" t="s">
        <v>200</v>
      </c>
      <c r="Y55" s="5" t="s">
        <v>200</v>
      </c>
      <c r="Z55" s="5" t="s">
        <v>200</v>
      </c>
      <c r="AA55" s="5" t="s">
        <v>203</v>
      </c>
      <c r="AB55" s="5" t="s">
        <v>198</v>
      </c>
      <c r="AC55" s="5" t="s">
        <v>200</v>
      </c>
      <c r="AD55" s="5" t="s">
        <v>208</v>
      </c>
      <c r="AE55" s="5" t="s">
        <v>455</v>
      </c>
      <c r="AF55" s="5" t="s">
        <v>206</v>
      </c>
      <c r="AG55" s="5" t="s">
        <v>200</v>
      </c>
      <c r="AH55" s="5" t="s">
        <v>200</v>
      </c>
      <c r="AI55" s="5" t="s">
        <v>200</v>
      </c>
      <c r="AJ55" s="5" t="s">
        <v>202</v>
      </c>
      <c r="AK55" s="5" t="s">
        <v>202</v>
      </c>
      <c r="AL55" s="5" t="s">
        <v>202</v>
      </c>
      <c r="AM55" s="5" t="s">
        <v>456</v>
      </c>
      <c r="AN55" s="5" t="s">
        <v>206</v>
      </c>
      <c r="AO55" s="5" t="s">
        <v>202</v>
      </c>
      <c r="AP55" s="5" t="s">
        <v>202</v>
      </c>
      <c r="AQ55" s="5" t="s">
        <v>202</v>
      </c>
      <c r="AR55" s="5" t="s">
        <v>208</v>
      </c>
      <c r="AS55" s="5" t="s">
        <v>208</v>
      </c>
      <c r="AT55" s="5" t="s">
        <v>208</v>
      </c>
      <c r="AU55" s="5" t="s">
        <v>208</v>
      </c>
      <c r="AV55" s="5" t="s">
        <v>457</v>
      </c>
    </row>
    <row r="56">
      <c r="A56" s="7">
        <v>45868.21111111111</v>
      </c>
      <c r="B56" s="7">
        <v>45868.21527777778</v>
      </c>
      <c r="C56" s="5" t="s">
        <v>99</v>
      </c>
      <c r="D56" s="5" t="s">
        <v>389</v>
      </c>
      <c r="E56" s="8">
        <v>100.0</v>
      </c>
      <c r="F56" s="8">
        <v>319.0</v>
      </c>
      <c r="G56" s="9" t="b">
        <v>1</v>
      </c>
      <c r="H56" s="7">
        <v>45868.21527777778</v>
      </c>
      <c r="I56" s="5" t="s">
        <v>458</v>
      </c>
      <c r="J56" s="8">
        <v>60.1816</v>
      </c>
      <c r="K56" s="8">
        <v>24.8368</v>
      </c>
      <c r="L56" s="5" t="s">
        <v>194</v>
      </c>
      <c r="M56" s="5" t="s">
        <v>195</v>
      </c>
      <c r="N56" s="5" t="s">
        <v>442</v>
      </c>
      <c r="O56" s="5" t="s">
        <v>263</v>
      </c>
      <c r="P56" s="5" t="s">
        <v>200</v>
      </c>
      <c r="Q56" s="5" t="s">
        <v>200</v>
      </c>
      <c r="R56" s="5" t="s">
        <v>199</v>
      </c>
      <c r="S56" s="5" t="s">
        <v>202</v>
      </c>
      <c r="T56" s="5" t="s">
        <v>200</v>
      </c>
      <c r="U56" s="5" t="s">
        <v>200</v>
      </c>
      <c r="V56" s="5" t="s">
        <v>202</v>
      </c>
      <c r="W56" s="5" t="s">
        <v>202</v>
      </c>
      <c r="X56" s="5" t="s">
        <v>202</v>
      </c>
      <c r="Y56" s="5" t="s">
        <v>202</v>
      </c>
      <c r="Z56" s="5" t="s">
        <v>202</v>
      </c>
      <c r="AA56" s="5" t="s">
        <v>200</v>
      </c>
      <c r="AB56" s="5" t="s">
        <v>203</v>
      </c>
      <c r="AC56" s="5" t="s">
        <v>202</v>
      </c>
      <c r="AD56" s="5" t="s">
        <v>203</v>
      </c>
      <c r="AE56" s="5" t="s">
        <v>459</v>
      </c>
      <c r="AF56" s="5" t="s">
        <v>206</v>
      </c>
      <c r="AG56" s="5" t="s">
        <v>202</v>
      </c>
      <c r="AH56" s="5" t="s">
        <v>202</v>
      </c>
      <c r="AI56" s="5" t="s">
        <v>202</v>
      </c>
      <c r="AJ56" s="5" t="s">
        <v>203</v>
      </c>
      <c r="AK56" s="5" t="s">
        <v>202</v>
      </c>
      <c r="AL56" s="5" t="s">
        <v>202</v>
      </c>
      <c r="AM56" s="5" t="s">
        <v>460</v>
      </c>
      <c r="AN56" s="5" t="s">
        <v>206</v>
      </c>
      <c r="AO56" s="5" t="s">
        <v>200</v>
      </c>
      <c r="AP56" s="5" t="s">
        <v>200</v>
      </c>
      <c r="AQ56" s="5" t="s">
        <v>203</v>
      </c>
      <c r="AR56" s="5" t="s">
        <v>198</v>
      </c>
      <c r="AS56" s="5" t="s">
        <v>198</v>
      </c>
      <c r="AT56" s="5" t="s">
        <v>200</v>
      </c>
      <c r="AU56" s="5" t="s">
        <v>200</v>
      </c>
      <c r="AV56" s="5" t="s">
        <v>461</v>
      </c>
    </row>
    <row r="57">
      <c r="A57" s="7">
        <v>45868.20694444444</v>
      </c>
      <c r="B57" s="7">
        <v>45868.21597222222</v>
      </c>
      <c r="C57" s="5" t="s">
        <v>99</v>
      </c>
      <c r="D57" s="5" t="s">
        <v>383</v>
      </c>
      <c r="E57" s="8">
        <v>100.0</v>
      </c>
      <c r="F57" s="8">
        <v>746.0</v>
      </c>
      <c r="G57" s="9" t="b">
        <v>1</v>
      </c>
      <c r="H57" s="7">
        <v>45868.21597222222</v>
      </c>
      <c r="I57" s="5" t="s">
        <v>462</v>
      </c>
      <c r="J57" s="8">
        <v>60.1816</v>
      </c>
      <c r="K57" s="8">
        <v>24.8368</v>
      </c>
      <c r="L57" s="5" t="s">
        <v>194</v>
      </c>
      <c r="M57" s="5" t="s">
        <v>195</v>
      </c>
      <c r="N57" s="5" t="s">
        <v>433</v>
      </c>
      <c r="O57" s="5" t="s">
        <v>263</v>
      </c>
      <c r="P57" s="5" t="s">
        <v>202</v>
      </c>
      <c r="Q57" s="5" t="s">
        <v>200</v>
      </c>
      <c r="R57" s="5" t="s">
        <v>199</v>
      </c>
      <c r="S57" s="5" t="s">
        <v>202</v>
      </c>
      <c r="T57" s="5" t="s">
        <v>201</v>
      </c>
      <c r="U57" s="5" t="s">
        <v>202</v>
      </c>
      <c r="V57" s="5" t="s">
        <v>202</v>
      </c>
      <c r="W57" s="5" t="s">
        <v>200</v>
      </c>
      <c r="X57" s="5" t="s">
        <v>202</v>
      </c>
      <c r="Y57" s="5" t="s">
        <v>202</v>
      </c>
      <c r="Z57" s="5" t="s">
        <v>202</v>
      </c>
      <c r="AA57" s="5" t="s">
        <v>208</v>
      </c>
      <c r="AB57" s="5" t="s">
        <v>198</v>
      </c>
      <c r="AC57" s="5" t="s">
        <v>200</v>
      </c>
      <c r="AD57" s="5" t="s">
        <v>202</v>
      </c>
      <c r="AE57" s="11" t="s">
        <v>463</v>
      </c>
      <c r="AF57" s="5" t="s">
        <v>206</v>
      </c>
      <c r="AG57" s="5" t="s">
        <v>202</v>
      </c>
      <c r="AH57" s="5" t="s">
        <v>202</v>
      </c>
      <c r="AI57" s="5" t="s">
        <v>202</v>
      </c>
      <c r="AJ57" s="5" t="s">
        <v>200</v>
      </c>
      <c r="AK57" s="5" t="s">
        <v>200</v>
      </c>
      <c r="AL57" s="5" t="s">
        <v>202</v>
      </c>
      <c r="AM57" s="5" t="s">
        <v>464</v>
      </c>
      <c r="AN57" s="5" t="s">
        <v>206</v>
      </c>
      <c r="AO57" s="5" t="s">
        <v>202</v>
      </c>
      <c r="AP57" s="5" t="s">
        <v>200</v>
      </c>
      <c r="AQ57" s="5" t="s">
        <v>201</v>
      </c>
      <c r="AR57" s="5" t="s">
        <v>208</v>
      </c>
      <c r="AS57" s="5" t="s">
        <v>208</v>
      </c>
      <c r="AT57" s="5" t="s">
        <v>202</v>
      </c>
      <c r="AU57" s="5" t="s">
        <v>200</v>
      </c>
      <c r="AV57" s="11" t="s">
        <v>465</v>
      </c>
    </row>
    <row r="58">
      <c r="A58" s="7">
        <v>45868.21805555555</v>
      </c>
      <c r="B58" s="7">
        <v>45868.222916666666</v>
      </c>
      <c r="C58" s="5" t="s">
        <v>99</v>
      </c>
      <c r="D58" s="5" t="s">
        <v>383</v>
      </c>
      <c r="E58" s="8">
        <v>100.0</v>
      </c>
      <c r="F58" s="8">
        <v>459.0</v>
      </c>
      <c r="G58" s="9" t="b">
        <v>1</v>
      </c>
      <c r="H58" s="7">
        <v>45868.222916666666</v>
      </c>
      <c r="I58" s="5" t="s">
        <v>466</v>
      </c>
      <c r="J58" s="8">
        <v>60.1816</v>
      </c>
      <c r="K58" s="8">
        <v>24.8368</v>
      </c>
      <c r="L58" s="5" t="s">
        <v>194</v>
      </c>
      <c r="M58" s="5" t="s">
        <v>195</v>
      </c>
      <c r="N58" s="5" t="s">
        <v>411</v>
      </c>
      <c r="O58" s="5" t="s">
        <v>211</v>
      </c>
      <c r="P58" s="5" t="s">
        <v>198</v>
      </c>
      <c r="Q58" s="5" t="s">
        <v>198</v>
      </c>
      <c r="R58" s="5" t="s">
        <v>199</v>
      </c>
      <c r="S58" s="5" t="s">
        <v>200</v>
      </c>
      <c r="T58" s="5" t="s">
        <v>200</v>
      </c>
      <c r="U58" s="5" t="s">
        <v>203</v>
      </c>
      <c r="V58" s="5" t="s">
        <v>200</v>
      </c>
      <c r="W58" s="5" t="s">
        <v>200</v>
      </c>
      <c r="X58" s="5" t="s">
        <v>202</v>
      </c>
      <c r="Y58" s="5" t="s">
        <v>200</v>
      </c>
      <c r="Z58" s="5" t="s">
        <v>200</v>
      </c>
      <c r="AA58" s="5" t="s">
        <v>203</v>
      </c>
      <c r="AB58" s="5" t="s">
        <v>203</v>
      </c>
      <c r="AC58" s="5" t="s">
        <v>200</v>
      </c>
      <c r="AD58" s="5" t="s">
        <v>201</v>
      </c>
      <c r="AE58" s="5" t="s">
        <v>467</v>
      </c>
      <c r="AF58" s="5" t="s">
        <v>206</v>
      </c>
      <c r="AG58" s="5" t="s">
        <v>200</v>
      </c>
      <c r="AH58" s="5" t="s">
        <v>202</v>
      </c>
      <c r="AI58" s="5" t="s">
        <v>202</v>
      </c>
      <c r="AJ58" s="5" t="s">
        <v>200</v>
      </c>
      <c r="AK58" s="5" t="s">
        <v>203</v>
      </c>
      <c r="AL58" s="5" t="s">
        <v>200</v>
      </c>
      <c r="AM58" s="5" t="s">
        <v>413</v>
      </c>
      <c r="AN58" s="5" t="s">
        <v>206</v>
      </c>
      <c r="AO58" s="5" t="s">
        <v>200</v>
      </c>
      <c r="AP58" s="5" t="s">
        <v>200</v>
      </c>
      <c r="AQ58" s="5" t="s">
        <v>202</v>
      </c>
      <c r="AR58" s="5" t="s">
        <v>204</v>
      </c>
      <c r="AS58" s="5" t="s">
        <v>204</v>
      </c>
      <c r="AT58" s="5" t="s">
        <v>204</v>
      </c>
      <c r="AU58" s="5" t="s">
        <v>204</v>
      </c>
      <c r="AV58" s="5" t="s">
        <v>413</v>
      </c>
    </row>
    <row r="59">
      <c r="A59" s="7">
        <v>45868.22638888889</v>
      </c>
      <c r="B59" s="7">
        <v>45868.22986111111</v>
      </c>
      <c r="C59" s="5" t="s">
        <v>99</v>
      </c>
      <c r="D59" s="5" t="s">
        <v>383</v>
      </c>
      <c r="E59" s="8">
        <v>100.0</v>
      </c>
      <c r="F59" s="8">
        <v>309.0</v>
      </c>
      <c r="G59" s="9" t="b">
        <v>1</v>
      </c>
      <c r="H59" s="7">
        <v>45868.22986111111</v>
      </c>
      <c r="I59" s="5" t="s">
        <v>468</v>
      </c>
      <c r="J59" s="8">
        <v>60.1816</v>
      </c>
      <c r="K59" s="8">
        <v>24.8368</v>
      </c>
      <c r="L59" s="5" t="s">
        <v>194</v>
      </c>
      <c r="M59" s="5" t="s">
        <v>195</v>
      </c>
      <c r="N59" s="5" t="s">
        <v>411</v>
      </c>
      <c r="O59" s="5" t="s">
        <v>216</v>
      </c>
      <c r="P59" s="5" t="s">
        <v>203</v>
      </c>
      <c r="Q59" s="5" t="s">
        <v>208</v>
      </c>
      <c r="R59" s="5" t="s">
        <v>199</v>
      </c>
      <c r="S59" s="5" t="s">
        <v>200</v>
      </c>
      <c r="T59" s="5" t="s">
        <v>202</v>
      </c>
      <c r="U59" s="5" t="s">
        <v>198</v>
      </c>
      <c r="V59" s="5" t="s">
        <v>208</v>
      </c>
      <c r="W59" s="5" t="s">
        <v>200</v>
      </c>
      <c r="X59" s="5" t="s">
        <v>200</v>
      </c>
      <c r="Y59" s="5" t="s">
        <v>200</v>
      </c>
      <c r="Z59" s="5" t="s">
        <v>200</v>
      </c>
      <c r="AA59" s="5" t="s">
        <v>198</v>
      </c>
      <c r="AB59" s="5" t="s">
        <v>203</v>
      </c>
      <c r="AC59" s="5" t="s">
        <v>200</v>
      </c>
      <c r="AD59" s="5" t="s">
        <v>198</v>
      </c>
      <c r="AE59" s="5" t="s">
        <v>413</v>
      </c>
      <c r="AF59" s="5" t="s">
        <v>206</v>
      </c>
      <c r="AG59" s="5" t="s">
        <v>200</v>
      </c>
      <c r="AH59" s="5" t="s">
        <v>200</v>
      </c>
      <c r="AI59" s="5" t="s">
        <v>203</v>
      </c>
      <c r="AJ59" s="5" t="s">
        <v>200</v>
      </c>
      <c r="AK59" s="5" t="s">
        <v>200</v>
      </c>
      <c r="AL59" s="5" t="s">
        <v>200</v>
      </c>
      <c r="AM59" s="5" t="s">
        <v>413</v>
      </c>
      <c r="AN59" s="5" t="s">
        <v>206</v>
      </c>
      <c r="AO59" s="5" t="s">
        <v>202</v>
      </c>
      <c r="AP59" s="5" t="s">
        <v>200</v>
      </c>
      <c r="AQ59" s="5" t="s">
        <v>200</v>
      </c>
      <c r="AR59" s="5" t="s">
        <v>204</v>
      </c>
      <c r="AS59" s="5" t="s">
        <v>204</v>
      </c>
      <c r="AT59" s="5" t="s">
        <v>204</v>
      </c>
      <c r="AU59" s="5" t="s">
        <v>204</v>
      </c>
      <c r="AV59" s="5" t="s">
        <v>413</v>
      </c>
    </row>
    <row r="60">
      <c r="A60" s="7">
        <v>45868.229166666664</v>
      </c>
      <c r="B60" s="7">
        <v>45868.2375</v>
      </c>
      <c r="C60" s="5" t="s">
        <v>99</v>
      </c>
      <c r="D60" s="5" t="s">
        <v>192</v>
      </c>
      <c r="E60" s="8">
        <v>100.0</v>
      </c>
      <c r="F60" s="8">
        <v>723.0</v>
      </c>
      <c r="G60" s="9" t="b">
        <v>1</v>
      </c>
      <c r="H60" s="7">
        <v>45868.2375</v>
      </c>
      <c r="I60" s="5" t="s">
        <v>469</v>
      </c>
      <c r="J60" s="8">
        <v>60.1816</v>
      </c>
      <c r="K60" s="8">
        <v>24.8368</v>
      </c>
      <c r="L60" s="5" t="s">
        <v>194</v>
      </c>
      <c r="M60" s="5" t="s">
        <v>195</v>
      </c>
      <c r="N60" s="5" t="s">
        <v>470</v>
      </c>
      <c r="O60" s="5" t="s">
        <v>197</v>
      </c>
      <c r="P60" s="5" t="s">
        <v>200</v>
      </c>
      <c r="Q60" s="5" t="s">
        <v>202</v>
      </c>
      <c r="R60" s="5" t="s">
        <v>199</v>
      </c>
      <c r="S60" s="5" t="s">
        <v>202</v>
      </c>
      <c r="T60" s="5" t="s">
        <v>202</v>
      </c>
      <c r="U60" s="5" t="s">
        <v>202</v>
      </c>
      <c r="V60" s="5" t="s">
        <v>202</v>
      </c>
      <c r="W60" s="5" t="s">
        <v>200</v>
      </c>
      <c r="X60" s="5" t="s">
        <v>202</v>
      </c>
      <c r="Y60" s="5" t="s">
        <v>202</v>
      </c>
      <c r="Z60" s="5" t="s">
        <v>202</v>
      </c>
      <c r="AA60" s="5" t="s">
        <v>203</v>
      </c>
      <c r="AB60" s="5" t="s">
        <v>203</v>
      </c>
      <c r="AC60" s="5" t="s">
        <v>200</v>
      </c>
      <c r="AD60" s="5" t="s">
        <v>200</v>
      </c>
      <c r="AE60" s="5" t="s">
        <v>471</v>
      </c>
      <c r="AF60" s="5" t="s">
        <v>206</v>
      </c>
      <c r="AG60" s="5" t="s">
        <v>203</v>
      </c>
      <c r="AH60" s="5" t="s">
        <v>203</v>
      </c>
      <c r="AI60" s="5" t="s">
        <v>200</v>
      </c>
      <c r="AJ60" s="5" t="s">
        <v>202</v>
      </c>
      <c r="AK60" s="5" t="s">
        <v>200</v>
      </c>
      <c r="AL60" s="5" t="s">
        <v>202</v>
      </c>
      <c r="AM60" s="5" t="s">
        <v>472</v>
      </c>
      <c r="AN60" s="5" t="s">
        <v>206</v>
      </c>
      <c r="AO60" s="5" t="s">
        <v>200</v>
      </c>
      <c r="AP60" s="5" t="s">
        <v>202</v>
      </c>
      <c r="AQ60" s="5" t="s">
        <v>202</v>
      </c>
      <c r="AR60" s="5" t="s">
        <v>200</v>
      </c>
      <c r="AS60" s="5" t="s">
        <v>200</v>
      </c>
      <c r="AT60" s="5" t="s">
        <v>201</v>
      </c>
      <c r="AU60" s="5" t="s">
        <v>208</v>
      </c>
      <c r="AV60" s="5" t="s">
        <v>473</v>
      </c>
    </row>
    <row r="61">
      <c r="A61" s="7">
        <v>45868.243055555555</v>
      </c>
      <c r="B61" s="7">
        <v>45868.24930555555</v>
      </c>
      <c r="C61" s="5" t="s">
        <v>99</v>
      </c>
      <c r="D61" s="5" t="s">
        <v>389</v>
      </c>
      <c r="E61" s="8">
        <v>100.0</v>
      </c>
      <c r="F61" s="8">
        <v>488.0</v>
      </c>
      <c r="G61" s="9" t="b">
        <v>1</v>
      </c>
      <c r="H61" s="7">
        <v>45868.24930555555</v>
      </c>
      <c r="I61" s="5" t="s">
        <v>474</v>
      </c>
      <c r="J61" s="8">
        <v>60.1816</v>
      </c>
      <c r="K61" s="8">
        <v>24.8368</v>
      </c>
      <c r="L61" s="5" t="s">
        <v>194</v>
      </c>
      <c r="M61" s="5" t="s">
        <v>195</v>
      </c>
      <c r="N61" s="5" t="s">
        <v>470</v>
      </c>
      <c r="O61" s="5" t="s">
        <v>263</v>
      </c>
      <c r="P61" s="5" t="s">
        <v>202</v>
      </c>
      <c r="Q61" s="5" t="s">
        <v>202</v>
      </c>
      <c r="R61" s="5" t="s">
        <v>199</v>
      </c>
      <c r="S61" s="5" t="s">
        <v>202</v>
      </c>
      <c r="T61" s="5" t="s">
        <v>200</v>
      </c>
      <c r="U61" s="5" t="s">
        <v>202</v>
      </c>
      <c r="V61" s="5" t="s">
        <v>202</v>
      </c>
      <c r="W61" s="5" t="s">
        <v>202</v>
      </c>
      <c r="X61" s="5" t="s">
        <v>202</v>
      </c>
      <c r="Y61" s="5" t="s">
        <v>201</v>
      </c>
      <c r="Z61" s="5" t="s">
        <v>202</v>
      </c>
      <c r="AA61" s="5" t="s">
        <v>202</v>
      </c>
      <c r="AB61" s="5" t="s">
        <v>200</v>
      </c>
      <c r="AC61" s="5" t="s">
        <v>202</v>
      </c>
      <c r="AD61" s="5" t="s">
        <v>201</v>
      </c>
      <c r="AE61" s="5" t="s">
        <v>475</v>
      </c>
      <c r="AF61" s="5" t="s">
        <v>206</v>
      </c>
      <c r="AG61" s="5" t="s">
        <v>202</v>
      </c>
      <c r="AH61" s="5" t="s">
        <v>200</v>
      </c>
      <c r="AI61" s="5" t="s">
        <v>202</v>
      </c>
      <c r="AJ61" s="5" t="s">
        <v>200</v>
      </c>
      <c r="AK61" s="5" t="s">
        <v>200</v>
      </c>
      <c r="AL61" s="5" t="s">
        <v>200</v>
      </c>
      <c r="AM61" s="5" t="s">
        <v>476</v>
      </c>
      <c r="AN61" s="5" t="s">
        <v>206</v>
      </c>
      <c r="AO61" s="5" t="s">
        <v>202</v>
      </c>
      <c r="AP61" s="5" t="s">
        <v>202</v>
      </c>
      <c r="AQ61" s="5" t="s">
        <v>202</v>
      </c>
      <c r="AR61" s="5" t="s">
        <v>200</v>
      </c>
      <c r="AS61" s="5" t="s">
        <v>200</v>
      </c>
      <c r="AT61" s="5" t="s">
        <v>202</v>
      </c>
      <c r="AU61" s="5" t="s">
        <v>203</v>
      </c>
      <c r="AV61" s="5" t="s">
        <v>477</v>
      </c>
    </row>
    <row r="62">
      <c r="A62" s="7">
        <v>45868.24930555555</v>
      </c>
      <c r="B62" s="7">
        <v>45868.256944444445</v>
      </c>
      <c r="C62" s="5" t="s">
        <v>99</v>
      </c>
      <c r="D62" s="5" t="s">
        <v>192</v>
      </c>
      <c r="E62" s="8">
        <v>100.0</v>
      </c>
      <c r="F62" s="8">
        <v>675.0</v>
      </c>
      <c r="G62" s="9" t="b">
        <v>1</v>
      </c>
      <c r="H62" s="7">
        <v>45868.256944444445</v>
      </c>
      <c r="I62" s="5" t="s">
        <v>478</v>
      </c>
      <c r="J62" s="8">
        <v>60.1816</v>
      </c>
      <c r="K62" s="8">
        <v>24.8368</v>
      </c>
      <c r="L62" s="5" t="s">
        <v>194</v>
      </c>
      <c r="M62" s="5" t="s">
        <v>195</v>
      </c>
      <c r="N62" s="5" t="s">
        <v>428</v>
      </c>
      <c r="O62" s="5" t="s">
        <v>197</v>
      </c>
      <c r="P62" s="5" t="s">
        <v>198</v>
      </c>
      <c r="Q62" s="5" t="s">
        <v>208</v>
      </c>
      <c r="R62" s="5" t="s">
        <v>199</v>
      </c>
      <c r="S62" s="5" t="s">
        <v>200</v>
      </c>
      <c r="T62" s="5" t="s">
        <v>200</v>
      </c>
      <c r="U62" s="5" t="s">
        <v>208</v>
      </c>
      <c r="V62" s="5" t="s">
        <v>208</v>
      </c>
      <c r="W62" s="5" t="s">
        <v>208</v>
      </c>
      <c r="X62" s="5" t="s">
        <v>200</v>
      </c>
      <c r="Y62" s="5" t="s">
        <v>200</v>
      </c>
      <c r="Z62" s="5" t="s">
        <v>200</v>
      </c>
      <c r="AA62" s="5" t="s">
        <v>208</v>
      </c>
      <c r="AB62" s="5" t="s">
        <v>203</v>
      </c>
      <c r="AC62" s="5" t="s">
        <v>200</v>
      </c>
      <c r="AD62" s="5" t="s">
        <v>208</v>
      </c>
      <c r="AE62" s="5" t="s">
        <v>479</v>
      </c>
      <c r="AF62" s="5" t="s">
        <v>206</v>
      </c>
      <c r="AG62" s="5" t="s">
        <v>200</v>
      </c>
      <c r="AH62" s="5" t="s">
        <v>200</v>
      </c>
      <c r="AI62" s="5" t="s">
        <v>200</v>
      </c>
      <c r="AJ62" s="5" t="s">
        <v>198</v>
      </c>
      <c r="AK62" s="5" t="s">
        <v>198</v>
      </c>
      <c r="AL62" s="5" t="s">
        <v>200</v>
      </c>
      <c r="AM62" s="5" t="s">
        <v>480</v>
      </c>
      <c r="AN62" s="5" t="s">
        <v>206</v>
      </c>
      <c r="AO62" s="5" t="s">
        <v>200</v>
      </c>
      <c r="AP62" s="5" t="s">
        <v>200</v>
      </c>
      <c r="AQ62" s="5" t="s">
        <v>203</v>
      </c>
      <c r="AR62" s="5" t="s">
        <v>200</v>
      </c>
      <c r="AS62" s="5" t="s">
        <v>200</v>
      </c>
      <c r="AT62" s="5" t="s">
        <v>200</v>
      </c>
      <c r="AU62" s="5" t="s">
        <v>198</v>
      </c>
      <c r="AV62" s="5" t="s">
        <v>481</v>
      </c>
    </row>
    <row r="63">
      <c r="A63" s="7">
        <v>45868.25</v>
      </c>
      <c r="B63" s="7">
        <v>45868.25833333333</v>
      </c>
      <c r="C63" s="5" t="s">
        <v>99</v>
      </c>
      <c r="D63" s="5" t="s">
        <v>389</v>
      </c>
      <c r="E63" s="8">
        <v>100.0</v>
      </c>
      <c r="F63" s="8">
        <v>735.0</v>
      </c>
      <c r="G63" s="9" t="b">
        <v>1</v>
      </c>
      <c r="H63" s="7">
        <v>45868.25833333333</v>
      </c>
      <c r="I63" s="5" t="s">
        <v>482</v>
      </c>
      <c r="J63" s="8">
        <v>60.1816</v>
      </c>
      <c r="K63" s="8">
        <v>24.8368</v>
      </c>
      <c r="L63" s="5" t="s">
        <v>194</v>
      </c>
      <c r="M63" s="5" t="s">
        <v>195</v>
      </c>
      <c r="N63" s="5" t="s">
        <v>470</v>
      </c>
      <c r="O63" s="5" t="s">
        <v>211</v>
      </c>
      <c r="P63" s="5" t="s">
        <v>203</v>
      </c>
      <c r="Q63" s="5" t="s">
        <v>202</v>
      </c>
      <c r="R63" s="5" t="s">
        <v>199</v>
      </c>
      <c r="S63" s="5" t="s">
        <v>200</v>
      </c>
      <c r="T63" s="5" t="s">
        <v>200</v>
      </c>
      <c r="U63" s="5" t="s">
        <v>200</v>
      </c>
      <c r="V63" s="5" t="s">
        <v>200</v>
      </c>
      <c r="W63" s="5" t="s">
        <v>203</v>
      </c>
      <c r="X63" s="5" t="s">
        <v>200</v>
      </c>
      <c r="Y63" s="5" t="s">
        <v>202</v>
      </c>
      <c r="Z63" s="5" t="s">
        <v>202</v>
      </c>
      <c r="AA63" s="5" t="s">
        <v>198</v>
      </c>
      <c r="AB63" s="5" t="s">
        <v>203</v>
      </c>
      <c r="AC63" s="5" t="s">
        <v>202</v>
      </c>
      <c r="AD63" s="5" t="s">
        <v>202</v>
      </c>
      <c r="AE63" s="5" t="s">
        <v>483</v>
      </c>
      <c r="AF63" s="5" t="s">
        <v>206</v>
      </c>
      <c r="AG63" s="5" t="s">
        <v>200</v>
      </c>
      <c r="AH63" s="5" t="s">
        <v>203</v>
      </c>
      <c r="AI63" s="5" t="s">
        <v>200</v>
      </c>
      <c r="AJ63" s="5" t="s">
        <v>198</v>
      </c>
      <c r="AK63" s="5" t="s">
        <v>198</v>
      </c>
      <c r="AL63" s="5" t="s">
        <v>202</v>
      </c>
      <c r="AM63" s="5" t="s">
        <v>484</v>
      </c>
      <c r="AN63" s="5" t="s">
        <v>206</v>
      </c>
      <c r="AO63" s="5" t="s">
        <v>202</v>
      </c>
      <c r="AP63" s="5" t="s">
        <v>202</v>
      </c>
      <c r="AQ63" s="5" t="s">
        <v>203</v>
      </c>
      <c r="AR63" s="5" t="s">
        <v>200</v>
      </c>
      <c r="AS63" s="5" t="s">
        <v>203</v>
      </c>
      <c r="AT63" s="5" t="s">
        <v>202</v>
      </c>
      <c r="AU63" s="5" t="s">
        <v>198</v>
      </c>
      <c r="AV63" s="5" t="s">
        <v>485</v>
      </c>
    </row>
    <row r="64">
      <c r="A64" s="7">
        <v>45868.25902777778</v>
      </c>
      <c r="B64" s="7">
        <v>45868.26527777778</v>
      </c>
      <c r="C64" s="5" t="s">
        <v>99</v>
      </c>
      <c r="D64" s="5" t="s">
        <v>389</v>
      </c>
      <c r="E64" s="8">
        <v>100.0</v>
      </c>
      <c r="F64" s="8">
        <v>537.0</v>
      </c>
      <c r="G64" s="9" t="b">
        <v>1</v>
      </c>
      <c r="H64" s="7">
        <v>45868.26527777778</v>
      </c>
      <c r="I64" s="5" t="s">
        <v>486</v>
      </c>
      <c r="J64" s="8">
        <v>60.1816</v>
      </c>
      <c r="K64" s="8">
        <v>24.8368</v>
      </c>
      <c r="L64" s="5" t="s">
        <v>194</v>
      </c>
      <c r="M64" s="5" t="s">
        <v>195</v>
      </c>
      <c r="N64" s="5" t="s">
        <v>470</v>
      </c>
      <c r="O64" s="5" t="s">
        <v>216</v>
      </c>
      <c r="P64" s="5" t="s">
        <v>202</v>
      </c>
      <c r="Q64" s="5" t="s">
        <v>202</v>
      </c>
      <c r="R64" s="5" t="s">
        <v>199</v>
      </c>
      <c r="S64" s="5" t="s">
        <v>201</v>
      </c>
      <c r="T64" s="5" t="s">
        <v>202</v>
      </c>
      <c r="U64" s="5" t="s">
        <v>203</v>
      </c>
      <c r="V64" s="5" t="s">
        <v>202</v>
      </c>
      <c r="W64" s="5" t="s">
        <v>200</v>
      </c>
      <c r="X64" s="5" t="s">
        <v>202</v>
      </c>
      <c r="Y64" s="5" t="s">
        <v>202</v>
      </c>
      <c r="Z64" s="5" t="s">
        <v>202</v>
      </c>
      <c r="AA64" s="5" t="s">
        <v>200</v>
      </c>
      <c r="AB64" s="5" t="s">
        <v>200</v>
      </c>
      <c r="AC64" s="5" t="s">
        <v>202</v>
      </c>
      <c r="AD64" s="5" t="s">
        <v>200</v>
      </c>
      <c r="AE64" s="5" t="s">
        <v>487</v>
      </c>
      <c r="AF64" s="5" t="s">
        <v>206</v>
      </c>
      <c r="AG64" s="5" t="s">
        <v>202</v>
      </c>
      <c r="AH64" s="5" t="s">
        <v>202</v>
      </c>
      <c r="AI64" s="5" t="s">
        <v>202</v>
      </c>
      <c r="AJ64" s="5" t="s">
        <v>200</v>
      </c>
      <c r="AK64" s="5" t="s">
        <v>202</v>
      </c>
      <c r="AL64" s="5" t="s">
        <v>202</v>
      </c>
      <c r="AM64" s="5" t="s">
        <v>488</v>
      </c>
      <c r="AN64" s="5" t="s">
        <v>206</v>
      </c>
      <c r="AO64" s="5" t="s">
        <v>202</v>
      </c>
      <c r="AP64" s="5" t="s">
        <v>202</v>
      </c>
      <c r="AQ64" s="5" t="s">
        <v>202</v>
      </c>
      <c r="AR64" s="5" t="s">
        <v>203</v>
      </c>
      <c r="AS64" s="5" t="s">
        <v>203</v>
      </c>
      <c r="AT64" s="5" t="s">
        <v>200</v>
      </c>
      <c r="AU64" s="5" t="s">
        <v>198</v>
      </c>
      <c r="AV64" s="5" t="s">
        <v>489</v>
      </c>
    </row>
    <row r="65">
      <c r="A65" s="7">
        <v>45868.26458333333</v>
      </c>
      <c r="B65" s="7">
        <v>45868.27222222222</v>
      </c>
      <c r="C65" s="5" t="s">
        <v>99</v>
      </c>
      <c r="D65" s="5" t="s">
        <v>490</v>
      </c>
      <c r="E65" s="8">
        <v>100.0</v>
      </c>
      <c r="F65" s="8">
        <v>616.0</v>
      </c>
      <c r="G65" s="9" t="b">
        <v>1</v>
      </c>
      <c r="H65" s="7">
        <v>45868.27222222222</v>
      </c>
      <c r="I65" s="5" t="s">
        <v>491</v>
      </c>
      <c r="J65" s="8">
        <v>60.1816</v>
      </c>
      <c r="K65" s="8">
        <v>24.8368</v>
      </c>
      <c r="L65" s="5" t="s">
        <v>194</v>
      </c>
      <c r="M65" s="5" t="s">
        <v>195</v>
      </c>
      <c r="N65" s="5" t="s">
        <v>428</v>
      </c>
      <c r="O65" s="5" t="s">
        <v>263</v>
      </c>
      <c r="P65" s="5" t="s">
        <v>208</v>
      </c>
      <c r="Q65" s="5" t="s">
        <v>204</v>
      </c>
      <c r="R65" s="5" t="s">
        <v>199</v>
      </c>
      <c r="S65" s="5" t="s">
        <v>200</v>
      </c>
      <c r="T65" s="5" t="s">
        <v>203</v>
      </c>
      <c r="U65" s="5" t="s">
        <v>208</v>
      </c>
      <c r="V65" s="5" t="s">
        <v>208</v>
      </c>
      <c r="W65" s="5" t="s">
        <v>202</v>
      </c>
      <c r="X65" s="5" t="s">
        <v>200</v>
      </c>
      <c r="Y65" s="5" t="s">
        <v>202</v>
      </c>
      <c r="Z65" s="5" t="s">
        <v>202</v>
      </c>
      <c r="AA65" s="5" t="s">
        <v>208</v>
      </c>
      <c r="AB65" s="5" t="s">
        <v>202</v>
      </c>
      <c r="AC65" s="5" t="s">
        <v>200</v>
      </c>
      <c r="AD65" s="5" t="s">
        <v>200</v>
      </c>
      <c r="AE65" s="5" t="s">
        <v>492</v>
      </c>
      <c r="AF65" s="5" t="s">
        <v>206</v>
      </c>
      <c r="AG65" s="5" t="s">
        <v>208</v>
      </c>
      <c r="AH65" s="5" t="s">
        <v>208</v>
      </c>
      <c r="AI65" s="5" t="s">
        <v>208</v>
      </c>
      <c r="AJ65" s="5" t="s">
        <v>208</v>
      </c>
      <c r="AK65" s="5" t="s">
        <v>201</v>
      </c>
      <c r="AL65" s="5" t="s">
        <v>204</v>
      </c>
      <c r="AM65" s="5" t="s">
        <v>493</v>
      </c>
      <c r="AN65" s="5" t="s">
        <v>206</v>
      </c>
      <c r="AO65" s="5" t="s">
        <v>202</v>
      </c>
      <c r="AP65" s="5" t="s">
        <v>208</v>
      </c>
      <c r="AQ65" s="5" t="s">
        <v>198</v>
      </c>
      <c r="AR65" s="5" t="s">
        <v>201</v>
      </c>
      <c r="AS65" s="5" t="s">
        <v>201</v>
      </c>
      <c r="AT65" s="5" t="s">
        <v>201</v>
      </c>
      <c r="AU65" s="5" t="s">
        <v>202</v>
      </c>
      <c r="AV65" s="5" t="s">
        <v>494</v>
      </c>
    </row>
    <row r="66">
      <c r="A66" s="7">
        <v>45868.27916666667</v>
      </c>
      <c r="B66" s="7">
        <v>45868.290972222225</v>
      </c>
      <c r="C66" s="5" t="s">
        <v>99</v>
      </c>
      <c r="D66" s="5" t="s">
        <v>192</v>
      </c>
      <c r="E66" s="8">
        <v>100.0</v>
      </c>
      <c r="F66" s="8">
        <v>1057.0</v>
      </c>
      <c r="G66" s="9" t="b">
        <v>1</v>
      </c>
      <c r="H66" s="7">
        <v>45868.290972222225</v>
      </c>
      <c r="I66" s="5" t="s">
        <v>495</v>
      </c>
      <c r="J66" s="8">
        <v>60.1816</v>
      </c>
      <c r="K66" s="8">
        <v>24.8368</v>
      </c>
      <c r="L66" s="5" t="s">
        <v>194</v>
      </c>
      <c r="M66" s="5" t="s">
        <v>195</v>
      </c>
      <c r="N66" s="5" t="s">
        <v>496</v>
      </c>
      <c r="O66" s="5" t="s">
        <v>263</v>
      </c>
      <c r="P66" s="5" t="s">
        <v>208</v>
      </c>
      <c r="Q66" s="5" t="s">
        <v>198</v>
      </c>
      <c r="R66" s="5" t="s">
        <v>199</v>
      </c>
      <c r="S66" s="5" t="s">
        <v>200</v>
      </c>
      <c r="T66" s="5" t="s">
        <v>202</v>
      </c>
      <c r="U66" s="5" t="s">
        <v>208</v>
      </c>
      <c r="V66" s="5" t="s">
        <v>202</v>
      </c>
      <c r="W66" s="5" t="s">
        <v>198</v>
      </c>
      <c r="X66" s="5" t="s">
        <v>202</v>
      </c>
      <c r="Y66" s="5" t="s">
        <v>201</v>
      </c>
      <c r="Z66" s="5" t="s">
        <v>201</v>
      </c>
      <c r="AA66" s="5" t="s">
        <v>203</v>
      </c>
      <c r="AB66" s="5" t="s">
        <v>198</v>
      </c>
      <c r="AC66" s="5" t="s">
        <v>200</v>
      </c>
      <c r="AD66" s="5" t="s">
        <v>208</v>
      </c>
      <c r="AE66" s="11" t="s">
        <v>497</v>
      </c>
      <c r="AF66" s="5" t="s">
        <v>206</v>
      </c>
      <c r="AG66" s="5" t="s">
        <v>198</v>
      </c>
      <c r="AH66" s="5" t="s">
        <v>202</v>
      </c>
      <c r="AI66" s="5" t="s">
        <v>200</v>
      </c>
      <c r="AJ66" s="5" t="s">
        <v>203</v>
      </c>
      <c r="AK66" s="5" t="s">
        <v>208</v>
      </c>
      <c r="AL66" s="5" t="s">
        <v>203</v>
      </c>
      <c r="AM66" s="11" t="s">
        <v>498</v>
      </c>
      <c r="AN66" s="5" t="s">
        <v>206</v>
      </c>
      <c r="AO66" s="5" t="s">
        <v>200</v>
      </c>
      <c r="AP66" s="5" t="s">
        <v>204</v>
      </c>
      <c r="AQ66" s="5" t="s">
        <v>202</v>
      </c>
      <c r="AR66" s="5" t="s">
        <v>203</v>
      </c>
      <c r="AS66" s="5" t="s">
        <v>204</v>
      </c>
      <c r="AT66" s="5" t="s">
        <v>208</v>
      </c>
      <c r="AU66" s="5" t="s">
        <v>208</v>
      </c>
      <c r="AV66" s="5" t="s">
        <v>499</v>
      </c>
    </row>
    <row r="67">
      <c r="A67" s="7">
        <v>45868.28194444445</v>
      </c>
      <c r="B67" s="7">
        <v>45868.294444444444</v>
      </c>
      <c r="C67" s="5" t="s">
        <v>99</v>
      </c>
      <c r="D67" s="5" t="s">
        <v>389</v>
      </c>
      <c r="E67" s="8">
        <v>100.0</v>
      </c>
      <c r="F67" s="8">
        <v>1105.0</v>
      </c>
      <c r="G67" s="9" t="b">
        <v>1</v>
      </c>
      <c r="H67" s="7">
        <v>45868.294444444444</v>
      </c>
      <c r="I67" s="5" t="s">
        <v>500</v>
      </c>
      <c r="J67" s="8">
        <v>60.1816</v>
      </c>
      <c r="K67" s="8">
        <v>24.8368</v>
      </c>
      <c r="L67" s="5" t="s">
        <v>194</v>
      </c>
      <c r="M67" s="5" t="s">
        <v>195</v>
      </c>
      <c r="N67" s="5" t="s">
        <v>501</v>
      </c>
      <c r="O67" s="5" t="s">
        <v>211</v>
      </c>
      <c r="P67" s="5" t="s">
        <v>200</v>
      </c>
      <c r="Q67" s="5" t="s">
        <v>202</v>
      </c>
      <c r="R67" s="5" t="s">
        <v>199</v>
      </c>
      <c r="S67" s="5" t="s">
        <v>202</v>
      </c>
      <c r="T67" s="5" t="s">
        <v>202</v>
      </c>
      <c r="U67" s="5" t="s">
        <v>203</v>
      </c>
      <c r="V67" s="5" t="s">
        <v>200</v>
      </c>
      <c r="W67" s="5" t="s">
        <v>202</v>
      </c>
      <c r="X67" s="5" t="s">
        <v>202</v>
      </c>
      <c r="Y67" s="5" t="s">
        <v>202</v>
      </c>
      <c r="Z67" s="5" t="s">
        <v>202</v>
      </c>
      <c r="AA67" s="5" t="s">
        <v>202</v>
      </c>
      <c r="AB67" s="5" t="s">
        <v>203</v>
      </c>
      <c r="AC67" s="5" t="s">
        <v>202</v>
      </c>
      <c r="AD67" s="5" t="s">
        <v>204</v>
      </c>
      <c r="AE67" s="5" t="s">
        <v>502</v>
      </c>
      <c r="AF67" s="5" t="s">
        <v>206</v>
      </c>
      <c r="AG67" s="5" t="s">
        <v>202</v>
      </c>
      <c r="AH67" s="5" t="s">
        <v>201</v>
      </c>
      <c r="AI67" s="5" t="s">
        <v>201</v>
      </c>
      <c r="AJ67" s="5" t="s">
        <v>201</v>
      </c>
      <c r="AK67" s="5" t="s">
        <v>202</v>
      </c>
      <c r="AL67" s="5" t="s">
        <v>201</v>
      </c>
      <c r="AM67" s="5" t="s">
        <v>503</v>
      </c>
      <c r="AN67" s="5" t="s">
        <v>206</v>
      </c>
      <c r="AO67" s="5" t="s">
        <v>201</v>
      </c>
      <c r="AP67" s="5" t="s">
        <v>202</v>
      </c>
      <c r="AQ67" s="5" t="s">
        <v>201</v>
      </c>
      <c r="AR67" s="5" t="s">
        <v>204</v>
      </c>
      <c r="AS67" s="5" t="s">
        <v>204</v>
      </c>
      <c r="AT67" s="5" t="s">
        <v>204</v>
      </c>
      <c r="AU67" s="5" t="s">
        <v>204</v>
      </c>
      <c r="AV67" s="5" t="s">
        <v>504</v>
      </c>
    </row>
    <row r="68">
      <c r="A68" s="7">
        <v>45868.30069444444</v>
      </c>
      <c r="B68" s="7">
        <v>45868.30763888889</v>
      </c>
      <c r="C68" s="5" t="s">
        <v>99</v>
      </c>
      <c r="D68" s="5" t="s">
        <v>389</v>
      </c>
      <c r="E68" s="8">
        <v>100.0</v>
      </c>
      <c r="F68" s="8">
        <v>553.0</v>
      </c>
      <c r="G68" s="9" t="b">
        <v>1</v>
      </c>
      <c r="H68" s="7">
        <v>45868.30763888889</v>
      </c>
      <c r="I68" s="5" t="s">
        <v>505</v>
      </c>
      <c r="J68" s="8">
        <v>60.1816</v>
      </c>
      <c r="K68" s="8">
        <v>24.8368</v>
      </c>
      <c r="L68" s="5" t="s">
        <v>194</v>
      </c>
      <c r="M68" s="5" t="s">
        <v>195</v>
      </c>
      <c r="N68" s="5" t="s">
        <v>496</v>
      </c>
      <c r="O68" s="5" t="s">
        <v>216</v>
      </c>
      <c r="P68" s="5" t="s">
        <v>203</v>
      </c>
      <c r="Q68" s="5" t="s">
        <v>203</v>
      </c>
      <c r="R68" s="5" t="s">
        <v>199</v>
      </c>
      <c r="S68" s="5" t="s">
        <v>201</v>
      </c>
      <c r="T68" s="5" t="s">
        <v>201</v>
      </c>
      <c r="U68" s="5" t="s">
        <v>200</v>
      </c>
      <c r="V68" s="5" t="s">
        <v>198</v>
      </c>
      <c r="W68" s="5" t="s">
        <v>200</v>
      </c>
      <c r="X68" s="5" t="s">
        <v>201</v>
      </c>
      <c r="Y68" s="5" t="s">
        <v>201</v>
      </c>
      <c r="Z68" s="5" t="s">
        <v>201</v>
      </c>
      <c r="AA68" s="5" t="s">
        <v>203</v>
      </c>
      <c r="AB68" s="5" t="s">
        <v>208</v>
      </c>
      <c r="AC68" s="5" t="s">
        <v>201</v>
      </c>
      <c r="AD68" s="5" t="s">
        <v>204</v>
      </c>
      <c r="AE68" s="5" t="s">
        <v>506</v>
      </c>
      <c r="AF68" s="5" t="s">
        <v>206</v>
      </c>
      <c r="AG68" s="5" t="s">
        <v>201</v>
      </c>
      <c r="AH68" s="5" t="s">
        <v>202</v>
      </c>
      <c r="AI68" s="5" t="s">
        <v>202</v>
      </c>
      <c r="AJ68" s="5" t="s">
        <v>201</v>
      </c>
      <c r="AK68" s="5" t="s">
        <v>201</v>
      </c>
      <c r="AL68" s="5" t="s">
        <v>201</v>
      </c>
      <c r="AM68" s="5" t="s">
        <v>507</v>
      </c>
      <c r="AN68" s="5" t="s">
        <v>206</v>
      </c>
      <c r="AO68" s="5" t="s">
        <v>201</v>
      </c>
      <c r="AP68" s="5" t="s">
        <v>201</v>
      </c>
      <c r="AQ68" s="5" t="s">
        <v>201</v>
      </c>
      <c r="AR68" s="5" t="s">
        <v>204</v>
      </c>
      <c r="AS68" s="5" t="s">
        <v>204</v>
      </c>
      <c r="AT68" s="5" t="s">
        <v>204</v>
      </c>
      <c r="AU68" s="5" t="s">
        <v>204</v>
      </c>
      <c r="AV68" s="5" t="s">
        <v>508</v>
      </c>
    </row>
    <row r="69">
      <c r="A69" s="7">
        <v>45868.30138888889</v>
      </c>
      <c r="B69" s="7">
        <v>45868.30972222222</v>
      </c>
      <c r="C69" s="5" t="s">
        <v>99</v>
      </c>
      <c r="D69" s="5" t="s">
        <v>192</v>
      </c>
      <c r="E69" s="8">
        <v>100.0</v>
      </c>
      <c r="F69" s="8">
        <v>729.0</v>
      </c>
      <c r="G69" s="9" t="b">
        <v>1</v>
      </c>
      <c r="H69" s="7">
        <v>45868.30972222222</v>
      </c>
      <c r="I69" s="5" t="s">
        <v>509</v>
      </c>
      <c r="J69" s="8">
        <v>60.1816</v>
      </c>
      <c r="K69" s="8">
        <v>24.8368</v>
      </c>
      <c r="L69" s="5" t="s">
        <v>194</v>
      </c>
      <c r="M69" s="5" t="s">
        <v>195</v>
      </c>
      <c r="N69" s="5" t="s">
        <v>501</v>
      </c>
      <c r="O69" s="5" t="s">
        <v>263</v>
      </c>
      <c r="P69" s="5" t="s">
        <v>202</v>
      </c>
      <c r="Q69" s="5" t="s">
        <v>202</v>
      </c>
      <c r="R69" s="5" t="s">
        <v>199</v>
      </c>
      <c r="S69" s="5" t="s">
        <v>201</v>
      </c>
      <c r="T69" s="5" t="s">
        <v>201</v>
      </c>
      <c r="U69" s="5" t="s">
        <v>202</v>
      </c>
      <c r="V69" s="5" t="s">
        <v>202</v>
      </c>
      <c r="W69" s="5" t="s">
        <v>201</v>
      </c>
      <c r="X69" s="5" t="s">
        <v>201</v>
      </c>
      <c r="Y69" s="5" t="s">
        <v>201</v>
      </c>
      <c r="Z69" s="5" t="s">
        <v>201</v>
      </c>
      <c r="AA69" s="5" t="s">
        <v>202</v>
      </c>
      <c r="AB69" s="5" t="s">
        <v>202</v>
      </c>
      <c r="AC69" s="5" t="s">
        <v>202</v>
      </c>
      <c r="AD69" s="5" t="s">
        <v>203</v>
      </c>
      <c r="AE69" s="5" t="s">
        <v>510</v>
      </c>
      <c r="AF69" s="5" t="s">
        <v>206</v>
      </c>
      <c r="AG69" s="5" t="s">
        <v>202</v>
      </c>
      <c r="AH69" s="5" t="s">
        <v>201</v>
      </c>
      <c r="AI69" s="5" t="s">
        <v>201</v>
      </c>
      <c r="AJ69" s="5" t="s">
        <v>201</v>
      </c>
      <c r="AK69" s="5" t="s">
        <v>201</v>
      </c>
      <c r="AL69" s="5" t="s">
        <v>201</v>
      </c>
      <c r="AM69" s="5" t="s">
        <v>511</v>
      </c>
      <c r="AN69" s="5" t="s">
        <v>206</v>
      </c>
      <c r="AO69" s="5" t="s">
        <v>201</v>
      </c>
      <c r="AP69" s="5" t="s">
        <v>202</v>
      </c>
      <c r="AQ69" s="5" t="s">
        <v>201</v>
      </c>
      <c r="AR69" s="5" t="s">
        <v>204</v>
      </c>
      <c r="AS69" s="5" t="s">
        <v>204</v>
      </c>
      <c r="AT69" s="5" t="s">
        <v>208</v>
      </c>
      <c r="AU69" s="5" t="s">
        <v>204</v>
      </c>
      <c r="AV69" s="5" t="s">
        <v>512</v>
      </c>
    </row>
    <row r="70">
      <c r="A70" s="7">
        <v>45868.31319444445</v>
      </c>
      <c r="B70" s="7">
        <v>45868.322222222225</v>
      </c>
      <c r="C70" s="5" t="s">
        <v>99</v>
      </c>
      <c r="D70" s="5" t="s">
        <v>389</v>
      </c>
      <c r="E70" s="8">
        <v>100.0</v>
      </c>
      <c r="F70" s="8">
        <v>806.0</v>
      </c>
      <c r="G70" s="9" t="b">
        <v>1</v>
      </c>
      <c r="H70" s="7">
        <v>45868.322222222225</v>
      </c>
      <c r="I70" s="5" t="s">
        <v>513</v>
      </c>
      <c r="J70" s="8">
        <v>60.1816</v>
      </c>
      <c r="K70" s="8">
        <v>24.8368</v>
      </c>
      <c r="L70" s="5" t="s">
        <v>194</v>
      </c>
      <c r="M70" s="5" t="s">
        <v>195</v>
      </c>
      <c r="N70" s="5" t="s">
        <v>496</v>
      </c>
      <c r="O70" s="5" t="s">
        <v>211</v>
      </c>
      <c r="P70" s="5" t="s">
        <v>203</v>
      </c>
      <c r="Q70" s="5" t="s">
        <v>203</v>
      </c>
      <c r="R70" s="5" t="s">
        <v>199</v>
      </c>
      <c r="S70" s="5" t="s">
        <v>203</v>
      </c>
      <c r="T70" s="5" t="s">
        <v>201</v>
      </c>
      <c r="U70" s="5" t="s">
        <v>198</v>
      </c>
      <c r="V70" s="5" t="s">
        <v>203</v>
      </c>
      <c r="W70" s="5" t="s">
        <v>201</v>
      </c>
      <c r="X70" s="5" t="s">
        <v>201</v>
      </c>
      <c r="Y70" s="5" t="s">
        <v>201</v>
      </c>
      <c r="Z70" s="5" t="s">
        <v>201</v>
      </c>
      <c r="AA70" s="5" t="s">
        <v>208</v>
      </c>
      <c r="AB70" s="5" t="s">
        <v>204</v>
      </c>
      <c r="AC70" s="5" t="s">
        <v>201</v>
      </c>
      <c r="AD70" s="5" t="s">
        <v>204</v>
      </c>
      <c r="AE70" s="5" t="s">
        <v>514</v>
      </c>
      <c r="AF70" s="5" t="s">
        <v>206</v>
      </c>
      <c r="AG70" s="5" t="s">
        <v>202</v>
      </c>
      <c r="AH70" s="5" t="s">
        <v>201</v>
      </c>
      <c r="AI70" s="5" t="s">
        <v>202</v>
      </c>
      <c r="AJ70" s="5" t="s">
        <v>202</v>
      </c>
      <c r="AK70" s="5" t="s">
        <v>200</v>
      </c>
      <c r="AL70" s="5" t="s">
        <v>200</v>
      </c>
      <c r="AM70" s="5" t="s">
        <v>515</v>
      </c>
      <c r="AN70" s="5" t="s">
        <v>206</v>
      </c>
      <c r="AO70" s="5" t="s">
        <v>201</v>
      </c>
      <c r="AP70" s="5" t="s">
        <v>201</v>
      </c>
      <c r="AQ70" s="5" t="s">
        <v>201</v>
      </c>
      <c r="AR70" s="5" t="s">
        <v>204</v>
      </c>
      <c r="AS70" s="5" t="s">
        <v>204</v>
      </c>
      <c r="AT70" s="5" t="s">
        <v>204</v>
      </c>
      <c r="AU70" s="5" t="s">
        <v>204</v>
      </c>
      <c r="AV70" s="5" t="s">
        <v>516</v>
      </c>
    </row>
    <row r="71">
      <c r="A71" s="7">
        <v>45868.31597222222</v>
      </c>
      <c r="B71" s="7">
        <v>45868.32361111111</v>
      </c>
      <c r="C71" s="5" t="s">
        <v>99</v>
      </c>
      <c r="D71" s="5" t="s">
        <v>192</v>
      </c>
      <c r="E71" s="8">
        <v>100.0</v>
      </c>
      <c r="F71" s="8">
        <v>612.0</v>
      </c>
      <c r="G71" s="9" t="b">
        <v>1</v>
      </c>
      <c r="H71" s="7">
        <v>45868.32361111111</v>
      </c>
      <c r="I71" s="5" t="s">
        <v>517</v>
      </c>
      <c r="J71" s="8">
        <v>60.1816</v>
      </c>
      <c r="K71" s="8">
        <v>24.8368</v>
      </c>
      <c r="L71" s="5" t="s">
        <v>194</v>
      </c>
      <c r="M71" s="5" t="s">
        <v>195</v>
      </c>
      <c r="N71" s="5" t="s">
        <v>501</v>
      </c>
      <c r="O71" s="5" t="s">
        <v>197</v>
      </c>
      <c r="P71" s="5" t="s">
        <v>202</v>
      </c>
      <c r="Q71" s="5" t="s">
        <v>202</v>
      </c>
      <c r="R71" s="5" t="s">
        <v>199</v>
      </c>
      <c r="S71" s="5" t="s">
        <v>201</v>
      </c>
      <c r="T71" s="5" t="s">
        <v>201</v>
      </c>
      <c r="U71" s="5" t="s">
        <v>201</v>
      </c>
      <c r="V71" s="5" t="s">
        <v>202</v>
      </c>
      <c r="W71" s="5" t="s">
        <v>201</v>
      </c>
      <c r="X71" s="5" t="s">
        <v>201</v>
      </c>
      <c r="Y71" s="5" t="s">
        <v>201</v>
      </c>
      <c r="Z71" s="5" t="s">
        <v>201</v>
      </c>
      <c r="AA71" s="5" t="s">
        <v>202</v>
      </c>
      <c r="AB71" s="5" t="s">
        <v>202</v>
      </c>
      <c r="AC71" s="5" t="s">
        <v>201</v>
      </c>
      <c r="AD71" s="5" t="s">
        <v>208</v>
      </c>
      <c r="AE71" s="5" t="s">
        <v>518</v>
      </c>
      <c r="AF71" s="5" t="s">
        <v>206</v>
      </c>
      <c r="AG71" s="5" t="s">
        <v>201</v>
      </c>
      <c r="AH71" s="5" t="s">
        <v>201</v>
      </c>
      <c r="AI71" s="5" t="s">
        <v>201</v>
      </c>
      <c r="AJ71" s="5" t="s">
        <v>201</v>
      </c>
      <c r="AK71" s="5" t="s">
        <v>201</v>
      </c>
      <c r="AL71" s="5" t="s">
        <v>201</v>
      </c>
      <c r="AM71" s="5" t="s">
        <v>519</v>
      </c>
      <c r="AN71" s="5" t="s">
        <v>206</v>
      </c>
      <c r="AO71" s="5" t="s">
        <v>201</v>
      </c>
      <c r="AP71" s="5" t="s">
        <v>202</v>
      </c>
      <c r="AQ71" s="5" t="s">
        <v>201</v>
      </c>
      <c r="AR71" s="5" t="s">
        <v>204</v>
      </c>
      <c r="AS71" s="5" t="s">
        <v>204</v>
      </c>
      <c r="AT71" s="5" t="s">
        <v>204</v>
      </c>
      <c r="AU71" s="5" t="s">
        <v>204</v>
      </c>
      <c r="AV71" s="5" t="s">
        <v>520</v>
      </c>
    </row>
    <row r="72">
      <c r="A72" s="7">
        <v>45868.32777777778</v>
      </c>
      <c r="B72" s="7">
        <v>45868.334027777775</v>
      </c>
      <c r="C72" s="5" t="s">
        <v>99</v>
      </c>
      <c r="D72" s="5" t="s">
        <v>192</v>
      </c>
      <c r="E72" s="8">
        <v>100.0</v>
      </c>
      <c r="F72" s="8">
        <v>561.0</v>
      </c>
      <c r="G72" s="9" t="b">
        <v>1</v>
      </c>
      <c r="H72" s="7">
        <v>45868.334027777775</v>
      </c>
      <c r="I72" s="5" t="s">
        <v>521</v>
      </c>
      <c r="J72" s="8">
        <v>60.1816</v>
      </c>
      <c r="K72" s="8">
        <v>24.8368</v>
      </c>
      <c r="L72" s="5" t="s">
        <v>194</v>
      </c>
      <c r="M72" s="5" t="s">
        <v>195</v>
      </c>
      <c r="N72" s="5" t="s">
        <v>496</v>
      </c>
      <c r="O72" s="5" t="s">
        <v>197</v>
      </c>
      <c r="P72" s="5" t="s">
        <v>208</v>
      </c>
      <c r="Q72" s="5" t="s">
        <v>208</v>
      </c>
      <c r="R72" s="5" t="s">
        <v>199</v>
      </c>
      <c r="S72" s="5" t="s">
        <v>198</v>
      </c>
      <c r="T72" s="5" t="s">
        <v>203</v>
      </c>
      <c r="U72" s="5" t="s">
        <v>208</v>
      </c>
      <c r="V72" s="5" t="s">
        <v>203</v>
      </c>
      <c r="W72" s="5" t="s">
        <v>202</v>
      </c>
      <c r="X72" s="5" t="s">
        <v>203</v>
      </c>
      <c r="Y72" s="5" t="s">
        <v>202</v>
      </c>
      <c r="Z72" s="5" t="s">
        <v>208</v>
      </c>
      <c r="AA72" s="5" t="s">
        <v>202</v>
      </c>
      <c r="AB72" s="5" t="s">
        <v>204</v>
      </c>
      <c r="AC72" s="5" t="s">
        <v>203</v>
      </c>
      <c r="AD72" s="5" t="s">
        <v>204</v>
      </c>
      <c r="AE72" s="5" t="s">
        <v>522</v>
      </c>
      <c r="AF72" s="5" t="s">
        <v>206</v>
      </c>
      <c r="AG72" s="5" t="s">
        <v>208</v>
      </c>
      <c r="AH72" s="5" t="s">
        <v>203</v>
      </c>
      <c r="AI72" s="5" t="s">
        <v>203</v>
      </c>
      <c r="AJ72" s="5" t="s">
        <v>202</v>
      </c>
      <c r="AK72" s="5" t="s">
        <v>202</v>
      </c>
      <c r="AL72" s="5" t="s">
        <v>208</v>
      </c>
      <c r="AM72" s="5" t="s">
        <v>523</v>
      </c>
      <c r="AN72" s="5" t="s">
        <v>206</v>
      </c>
      <c r="AO72" s="5" t="s">
        <v>204</v>
      </c>
      <c r="AP72" s="5" t="s">
        <v>204</v>
      </c>
      <c r="AQ72" s="5" t="s">
        <v>200</v>
      </c>
      <c r="AR72" s="5" t="s">
        <v>201</v>
      </c>
      <c r="AS72" s="5" t="s">
        <v>200</v>
      </c>
      <c r="AT72" s="5" t="s">
        <v>201</v>
      </c>
      <c r="AU72" s="5" t="s">
        <v>201</v>
      </c>
      <c r="AV72" s="5" t="s">
        <v>524</v>
      </c>
    </row>
    <row r="73">
      <c r="A73" s="7">
        <v>45868.325694444444</v>
      </c>
      <c r="B73" s="7">
        <v>45868.33611111111</v>
      </c>
      <c r="C73" s="5" t="s">
        <v>99</v>
      </c>
      <c r="D73" s="5" t="s">
        <v>389</v>
      </c>
      <c r="E73" s="8">
        <v>100.0</v>
      </c>
      <c r="F73" s="8">
        <v>862.0</v>
      </c>
      <c r="G73" s="9" t="b">
        <v>1</v>
      </c>
      <c r="H73" s="7">
        <v>45868.33611111111</v>
      </c>
      <c r="I73" s="5" t="s">
        <v>525</v>
      </c>
      <c r="J73" s="8">
        <v>60.1816</v>
      </c>
      <c r="K73" s="8">
        <v>24.8368</v>
      </c>
      <c r="L73" s="5" t="s">
        <v>194</v>
      </c>
      <c r="M73" s="5" t="s">
        <v>195</v>
      </c>
      <c r="N73" s="5" t="s">
        <v>501</v>
      </c>
      <c r="O73" s="5" t="s">
        <v>216</v>
      </c>
      <c r="P73" s="5" t="s">
        <v>200</v>
      </c>
      <c r="Q73" s="5" t="s">
        <v>202</v>
      </c>
      <c r="R73" s="5" t="s">
        <v>199</v>
      </c>
      <c r="S73" s="5" t="s">
        <v>201</v>
      </c>
      <c r="T73" s="5" t="s">
        <v>202</v>
      </c>
      <c r="U73" s="5" t="s">
        <v>202</v>
      </c>
      <c r="V73" s="5" t="s">
        <v>200</v>
      </c>
      <c r="W73" s="5" t="s">
        <v>201</v>
      </c>
      <c r="X73" s="5" t="s">
        <v>201</v>
      </c>
      <c r="Y73" s="5" t="s">
        <v>201</v>
      </c>
      <c r="Z73" s="5" t="s">
        <v>201</v>
      </c>
      <c r="AA73" s="5" t="s">
        <v>202</v>
      </c>
      <c r="AB73" s="5" t="s">
        <v>202</v>
      </c>
      <c r="AC73" s="5" t="s">
        <v>201</v>
      </c>
      <c r="AD73" s="5" t="s">
        <v>208</v>
      </c>
      <c r="AE73" s="5" t="s">
        <v>526</v>
      </c>
      <c r="AF73" s="5" t="s">
        <v>206</v>
      </c>
      <c r="AG73" s="5" t="s">
        <v>201</v>
      </c>
      <c r="AH73" s="5" t="s">
        <v>201</v>
      </c>
      <c r="AI73" s="5" t="s">
        <v>201</v>
      </c>
      <c r="AJ73" s="5" t="s">
        <v>201</v>
      </c>
      <c r="AK73" s="5" t="s">
        <v>202</v>
      </c>
      <c r="AL73" s="5" t="s">
        <v>201</v>
      </c>
      <c r="AM73" s="5" t="s">
        <v>527</v>
      </c>
      <c r="AN73" s="5" t="s">
        <v>206</v>
      </c>
      <c r="AO73" s="5" t="s">
        <v>201</v>
      </c>
      <c r="AP73" s="5" t="s">
        <v>202</v>
      </c>
      <c r="AQ73" s="5" t="s">
        <v>201</v>
      </c>
      <c r="AR73" s="5" t="s">
        <v>204</v>
      </c>
      <c r="AS73" s="5" t="s">
        <v>204</v>
      </c>
      <c r="AT73" s="5" t="s">
        <v>204</v>
      </c>
      <c r="AU73" s="5" t="s">
        <v>204</v>
      </c>
      <c r="AV73" s="5" t="s">
        <v>528</v>
      </c>
    </row>
    <row r="74">
      <c r="A74" s="7">
        <v>45869.010416666664</v>
      </c>
      <c r="B74" s="7">
        <v>45869.02222222222</v>
      </c>
      <c r="C74" s="5" t="s">
        <v>99</v>
      </c>
      <c r="D74" s="5" t="s">
        <v>529</v>
      </c>
      <c r="E74" s="8">
        <v>100.0</v>
      </c>
      <c r="F74" s="8">
        <v>1029.0</v>
      </c>
      <c r="G74" s="9" t="b">
        <v>1</v>
      </c>
      <c r="H74" s="7">
        <v>45869.02222222222</v>
      </c>
      <c r="I74" s="5" t="s">
        <v>530</v>
      </c>
      <c r="J74" s="8">
        <v>60.1816</v>
      </c>
      <c r="K74" s="8">
        <v>24.8368</v>
      </c>
      <c r="L74" s="5" t="s">
        <v>194</v>
      </c>
      <c r="M74" s="5" t="s">
        <v>195</v>
      </c>
      <c r="N74" s="5" t="s">
        <v>531</v>
      </c>
      <c r="O74" s="5" t="s">
        <v>216</v>
      </c>
      <c r="P74" s="5" t="s">
        <v>200</v>
      </c>
      <c r="Q74" s="5" t="s">
        <v>198</v>
      </c>
      <c r="R74" s="5" t="s">
        <v>199</v>
      </c>
      <c r="S74" s="5" t="s">
        <v>208</v>
      </c>
      <c r="T74" s="5" t="s">
        <v>200</v>
      </c>
      <c r="U74" s="5" t="s">
        <v>200</v>
      </c>
      <c r="V74" s="5" t="s">
        <v>200</v>
      </c>
      <c r="W74" s="5" t="s">
        <v>202</v>
      </c>
      <c r="X74" s="5" t="s">
        <v>202</v>
      </c>
      <c r="Y74" s="5" t="s">
        <v>202</v>
      </c>
      <c r="Z74" s="5" t="s">
        <v>208</v>
      </c>
      <c r="AA74" s="5" t="s">
        <v>198</v>
      </c>
      <c r="AB74" s="5" t="s">
        <v>208</v>
      </c>
      <c r="AC74" s="5" t="s">
        <v>202</v>
      </c>
      <c r="AD74" s="5" t="s">
        <v>202</v>
      </c>
      <c r="AE74" s="5" t="s">
        <v>532</v>
      </c>
      <c r="AF74" s="5" t="s">
        <v>206</v>
      </c>
      <c r="AG74" s="5" t="s">
        <v>202</v>
      </c>
      <c r="AH74" s="5" t="s">
        <v>200</v>
      </c>
      <c r="AI74" s="5" t="s">
        <v>200</v>
      </c>
      <c r="AJ74" s="5" t="s">
        <v>200</v>
      </c>
      <c r="AK74" s="5" t="s">
        <v>202</v>
      </c>
      <c r="AL74" s="5" t="s">
        <v>208</v>
      </c>
      <c r="AM74" s="5" t="s">
        <v>533</v>
      </c>
      <c r="AN74" s="5" t="s">
        <v>206</v>
      </c>
      <c r="AO74" s="5" t="s">
        <v>208</v>
      </c>
      <c r="AP74" s="5" t="s">
        <v>201</v>
      </c>
      <c r="AQ74" s="5" t="s">
        <v>200</v>
      </c>
      <c r="AR74" s="5" t="s">
        <v>198</v>
      </c>
      <c r="AS74" s="5" t="s">
        <v>204</v>
      </c>
      <c r="AT74" s="5" t="s">
        <v>204</v>
      </c>
      <c r="AU74" s="5" t="s">
        <v>204</v>
      </c>
      <c r="AV74" s="5" t="s">
        <v>534</v>
      </c>
    </row>
    <row r="75">
      <c r="A75" s="7">
        <v>45869.01527777778</v>
      </c>
      <c r="B75" s="7">
        <v>45869.02847222222</v>
      </c>
      <c r="C75" s="5" t="s">
        <v>99</v>
      </c>
      <c r="D75" s="5" t="s">
        <v>192</v>
      </c>
      <c r="E75" s="8">
        <v>100.0</v>
      </c>
      <c r="F75" s="8">
        <v>1118.0</v>
      </c>
      <c r="G75" s="9" t="b">
        <v>1</v>
      </c>
      <c r="H75" s="7">
        <v>45869.02847222222</v>
      </c>
      <c r="I75" s="5" t="s">
        <v>535</v>
      </c>
      <c r="J75" s="8">
        <v>60.1816</v>
      </c>
      <c r="K75" s="8">
        <v>24.8368</v>
      </c>
      <c r="L75" s="5" t="s">
        <v>194</v>
      </c>
      <c r="M75" s="5" t="s">
        <v>195</v>
      </c>
      <c r="N75" s="5" t="s">
        <v>536</v>
      </c>
      <c r="O75" s="5" t="s">
        <v>197</v>
      </c>
      <c r="P75" s="5" t="s">
        <v>200</v>
      </c>
      <c r="Q75" s="5" t="s">
        <v>198</v>
      </c>
      <c r="R75" s="5" t="s">
        <v>199</v>
      </c>
      <c r="S75" s="5" t="s">
        <v>201</v>
      </c>
      <c r="T75" s="5" t="s">
        <v>201</v>
      </c>
      <c r="U75" s="5" t="s">
        <v>200</v>
      </c>
      <c r="V75" s="5" t="s">
        <v>200</v>
      </c>
      <c r="W75" s="5" t="s">
        <v>202</v>
      </c>
      <c r="X75" s="5" t="s">
        <v>202</v>
      </c>
      <c r="Y75" s="5" t="s">
        <v>201</v>
      </c>
      <c r="Z75" s="5" t="s">
        <v>201</v>
      </c>
      <c r="AA75" s="5" t="s">
        <v>202</v>
      </c>
      <c r="AB75" s="5" t="s">
        <v>208</v>
      </c>
      <c r="AC75" s="5" t="s">
        <v>201</v>
      </c>
      <c r="AD75" s="5" t="s">
        <v>202</v>
      </c>
      <c r="AE75" s="5" t="s">
        <v>537</v>
      </c>
      <c r="AF75" s="5" t="s">
        <v>206</v>
      </c>
      <c r="AG75" s="5" t="s">
        <v>203</v>
      </c>
      <c r="AH75" s="5" t="s">
        <v>201</v>
      </c>
      <c r="AI75" s="5" t="s">
        <v>201</v>
      </c>
      <c r="AJ75" s="5" t="s">
        <v>198</v>
      </c>
      <c r="AK75" s="5" t="s">
        <v>200</v>
      </c>
      <c r="AL75" s="5" t="s">
        <v>203</v>
      </c>
      <c r="AM75" s="5" t="s">
        <v>538</v>
      </c>
      <c r="AO75" s="5" t="s">
        <v>201</v>
      </c>
      <c r="AP75" s="5" t="s">
        <v>201</v>
      </c>
      <c r="AQ75" s="5" t="s">
        <v>201</v>
      </c>
      <c r="AR75" s="5" t="s">
        <v>204</v>
      </c>
      <c r="AS75" s="5" t="s">
        <v>204</v>
      </c>
      <c r="AT75" s="5" t="s">
        <v>204</v>
      </c>
      <c r="AU75" s="5" t="s">
        <v>204</v>
      </c>
      <c r="AV75" s="11" t="s">
        <v>539</v>
      </c>
    </row>
    <row r="76">
      <c r="A76" s="7">
        <v>45869.03611111111</v>
      </c>
      <c r="B76" s="7">
        <v>45869.041666666664</v>
      </c>
      <c r="C76" s="5" t="s">
        <v>99</v>
      </c>
      <c r="D76" s="5" t="s">
        <v>192</v>
      </c>
      <c r="E76" s="8">
        <v>100.0</v>
      </c>
      <c r="F76" s="8">
        <v>497.0</v>
      </c>
      <c r="G76" s="9" t="b">
        <v>1</v>
      </c>
      <c r="H76" s="7">
        <v>45869.041666666664</v>
      </c>
      <c r="I76" s="5" t="s">
        <v>540</v>
      </c>
      <c r="J76" s="8">
        <v>60.1816</v>
      </c>
      <c r="K76" s="8">
        <v>24.8368</v>
      </c>
      <c r="L76" s="5" t="s">
        <v>194</v>
      </c>
      <c r="M76" s="5" t="s">
        <v>195</v>
      </c>
      <c r="N76" s="5" t="s">
        <v>531</v>
      </c>
      <c r="O76" s="5" t="s">
        <v>197</v>
      </c>
      <c r="P76" s="5" t="s">
        <v>202</v>
      </c>
      <c r="Q76" s="5" t="s">
        <v>208</v>
      </c>
      <c r="R76" s="5" t="s">
        <v>199</v>
      </c>
      <c r="S76" s="5" t="s">
        <v>198</v>
      </c>
      <c r="T76" s="5" t="s">
        <v>200</v>
      </c>
      <c r="U76" s="5" t="s">
        <v>202</v>
      </c>
      <c r="V76" s="5" t="s">
        <v>198</v>
      </c>
      <c r="W76" s="5" t="s">
        <v>200</v>
      </c>
      <c r="X76" s="5" t="s">
        <v>202</v>
      </c>
      <c r="Y76" s="5" t="s">
        <v>200</v>
      </c>
      <c r="Z76" s="5" t="s">
        <v>208</v>
      </c>
      <c r="AA76" s="5" t="s">
        <v>208</v>
      </c>
      <c r="AB76" s="5" t="s">
        <v>208</v>
      </c>
      <c r="AC76" s="5" t="s">
        <v>200</v>
      </c>
      <c r="AD76" s="5" t="s">
        <v>200</v>
      </c>
      <c r="AE76" s="5" t="s">
        <v>541</v>
      </c>
      <c r="AF76" s="5" t="s">
        <v>206</v>
      </c>
      <c r="AG76" s="5" t="s">
        <v>200</v>
      </c>
      <c r="AH76" s="5" t="s">
        <v>202</v>
      </c>
      <c r="AI76" s="5" t="s">
        <v>200</v>
      </c>
      <c r="AJ76" s="5" t="s">
        <v>198</v>
      </c>
      <c r="AK76" s="5" t="s">
        <v>200</v>
      </c>
      <c r="AL76" s="5" t="s">
        <v>202</v>
      </c>
      <c r="AM76" s="5" t="s">
        <v>542</v>
      </c>
      <c r="AO76" s="5" t="s">
        <v>200</v>
      </c>
      <c r="AP76" s="5" t="s">
        <v>208</v>
      </c>
      <c r="AQ76" s="5" t="s">
        <v>202</v>
      </c>
      <c r="AR76" s="5" t="s">
        <v>208</v>
      </c>
      <c r="AS76" s="5" t="s">
        <v>208</v>
      </c>
      <c r="AT76" s="5" t="s">
        <v>200</v>
      </c>
      <c r="AU76" s="5" t="s">
        <v>200</v>
      </c>
      <c r="AV76" s="5" t="s">
        <v>543</v>
      </c>
    </row>
    <row r="77">
      <c r="A77" s="7">
        <v>45869.029861111114</v>
      </c>
      <c r="B77" s="7">
        <v>45869.04722222222</v>
      </c>
      <c r="C77" s="5" t="s">
        <v>99</v>
      </c>
      <c r="D77" s="5" t="s">
        <v>389</v>
      </c>
      <c r="E77" s="8">
        <v>100.0</v>
      </c>
      <c r="F77" s="8">
        <v>1473.0</v>
      </c>
      <c r="G77" s="9" t="b">
        <v>1</v>
      </c>
      <c r="H77" s="7">
        <v>45869.04722222222</v>
      </c>
      <c r="I77" s="5" t="s">
        <v>544</v>
      </c>
      <c r="J77" s="8">
        <v>60.1816</v>
      </c>
      <c r="K77" s="8">
        <v>24.8368</v>
      </c>
      <c r="L77" s="5" t="s">
        <v>194</v>
      </c>
      <c r="M77" s="5" t="s">
        <v>195</v>
      </c>
      <c r="N77" s="5" t="s">
        <v>536</v>
      </c>
      <c r="O77" s="5" t="s">
        <v>211</v>
      </c>
      <c r="P77" s="5" t="s">
        <v>200</v>
      </c>
      <c r="Q77" s="5" t="s">
        <v>200</v>
      </c>
      <c r="R77" s="5" t="s">
        <v>199</v>
      </c>
      <c r="S77" s="5" t="s">
        <v>201</v>
      </c>
      <c r="T77" s="5" t="s">
        <v>201</v>
      </c>
      <c r="U77" s="5" t="s">
        <v>200</v>
      </c>
      <c r="V77" s="5" t="s">
        <v>200</v>
      </c>
      <c r="W77" s="5" t="s">
        <v>202</v>
      </c>
      <c r="X77" s="5" t="s">
        <v>202</v>
      </c>
      <c r="Y77" s="5" t="s">
        <v>201</v>
      </c>
      <c r="Z77" s="5" t="s">
        <v>201</v>
      </c>
      <c r="AA77" s="5" t="s">
        <v>202</v>
      </c>
      <c r="AB77" s="5" t="s">
        <v>208</v>
      </c>
      <c r="AC77" s="5" t="s">
        <v>202</v>
      </c>
      <c r="AD77" s="5" t="s">
        <v>203</v>
      </c>
      <c r="AE77" s="5" t="s">
        <v>545</v>
      </c>
      <c r="AF77" s="5" t="s">
        <v>206</v>
      </c>
      <c r="AG77" s="5" t="s">
        <v>203</v>
      </c>
      <c r="AH77" s="5" t="s">
        <v>198</v>
      </c>
      <c r="AI77" s="5" t="s">
        <v>202</v>
      </c>
      <c r="AJ77" s="5" t="s">
        <v>202</v>
      </c>
      <c r="AK77" s="5" t="s">
        <v>200</v>
      </c>
      <c r="AL77" s="5" t="s">
        <v>203</v>
      </c>
      <c r="AM77" s="5" t="s">
        <v>546</v>
      </c>
      <c r="AN77" s="5" t="s">
        <v>206</v>
      </c>
      <c r="AO77" s="5" t="s">
        <v>202</v>
      </c>
      <c r="AP77" s="5" t="s">
        <v>201</v>
      </c>
      <c r="AQ77" s="5" t="s">
        <v>201</v>
      </c>
      <c r="AR77" s="5" t="s">
        <v>204</v>
      </c>
      <c r="AS77" s="5" t="s">
        <v>204</v>
      </c>
      <c r="AT77" s="5" t="s">
        <v>204</v>
      </c>
      <c r="AU77" s="5" t="s">
        <v>204</v>
      </c>
      <c r="AV77" s="5" t="s">
        <v>547</v>
      </c>
    </row>
    <row r="78">
      <c r="A78" s="7">
        <v>45869.04652777778</v>
      </c>
      <c r="B78" s="7">
        <v>45869.052777777775</v>
      </c>
      <c r="C78" s="5" t="s">
        <v>99</v>
      </c>
      <c r="D78" s="5" t="s">
        <v>383</v>
      </c>
      <c r="E78" s="8">
        <v>100.0</v>
      </c>
      <c r="F78" s="8">
        <v>554.0</v>
      </c>
      <c r="G78" s="9" t="b">
        <v>1</v>
      </c>
      <c r="H78" s="7">
        <v>45869.052777777775</v>
      </c>
      <c r="I78" s="5" t="s">
        <v>548</v>
      </c>
      <c r="J78" s="8">
        <v>60.1816</v>
      </c>
      <c r="K78" s="8">
        <v>24.8368</v>
      </c>
      <c r="L78" s="5" t="s">
        <v>194</v>
      </c>
      <c r="M78" s="5" t="s">
        <v>195</v>
      </c>
      <c r="N78" s="5" t="s">
        <v>531</v>
      </c>
      <c r="O78" s="5" t="s">
        <v>263</v>
      </c>
      <c r="P78" s="5" t="s">
        <v>200</v>
      </c>
      <c r="Q78" s="5" t="s">
        <v>208</v>
      </c>
      <c r="R78" s="5" t="s">
        <v>199</v>
      </c>
      <c r="S78" s="5" t="s">
        <v>203</v>
      </c>
      <c r="T78" s="5" t="s">
        <v>198</v>
      </c>
      <c r="U78" s="5" t="s">
        <v>203</v>
      </c>
      <c r="V78" s="5" t="s">
        <v>198</v>
      </c>
      <c r="W78" s="5" t="s">
        <v>200</v>
      </c>
      <c r="X78" s="5" t="s">
        <v>200</v>
      </c>
      <c r="Y78" s="5" t="s">
        <v>202</v>
      </c>
      <c r="Z78" s="5" t="s">
        <v>198</v>
      </c>
      <c r="AA78" s="5" t="s">
        <v>198</v>
      </c>
      <c r="AB78" s="5" t="s">
        <v>203</v>
      </c>
      <c r="AC78" s="5" t="s">
        <v>200</v>
      </c>
      <c r="AD78" s="5" t="s">
        <v>200</v>
      </c>
      <c r="AE78" s="5" t="s">
        <v>549</v>
      </c>
      <c r="AF78" s="5" t="s">
        <v>206</v>
      </c>
      <c r="AG78" s="5" t="s">
        <v>198</v>
      </c>
      <c r="AH78" s="5" t="s">
        <v>200</v>
      </c>
      <c r="AI78" s="5" t="s">
        <v>198</v>
      </c>
      <c r="AJ78" s="5" t="s">
        <v>198</v>
      </c>
      <c r="AK78" s="5" t="s">
        <v>198</v>
      </c>
      <c r="AL78" s="5" t="s">
        <v>198</v>
      </c>
      <c r="AM78" s="5" t="s">
        <v>550</v>
      </c>
      <c r="AO78" s="5" t="s">
        <v>200</v>
      </c>
      <c r="AP78" s="5" t="s">
        <v>208</v>
      </c>
      <c r="AQ78" s="5" t="s">
        <v>198</v>
      </c>
      <c r="AR78" s="5" t="s">
        <v>208</v>
      </c>
      <c r="AS78" s="5" t="s">
        <v>198</v>
      </c>
      <c r="AT78" s="5" t="s">
        <v>200</v>
      </c>
      <c r="AU78" s="5" t="s">
        <v>198</v>
      </c>
      <c r="AV78" s="5" t="s">
        <v>551</v>
      </c>
    </row>
    <row r="79">
      <c r="A79" s="7">
        <v>45869.05347222222</v>
      </c>
      <c r="B79" s="7">
        <v>45869.0625</v>
      </c>
      <c r="C79" s="5" t="s">
        <v>99</v>
      </c>
      <c r="D79" s="5" t="s">
        <v>383</v>
      </c>
      <c r="E79" s="8">
        <v>100.0</v>
      </c>
      <c r="F79" s="8">
        <v>794.0</v>
      </c>
      <c r="G79" s="9" t="b">
        <v>1</v>
      </c>
      <c r="H79" s="7">
        <v>45869.0625</v>
      </c>
      <c r="I79" s="5" t="s">
        <v>552</v>
      </c>
      <c r="J79" s="8">
        <v>60.1816</v>
      </c>
      <c r="K79" s="8">
        <v>24.8368</v>
      </c>
      <c r="L79" s="5" t="s">
        <v>194</v>
      </c>
      <c r="M79" s="5" t="s">
        <v>195</v>
      </c>
      <c r="N79" s="5" t="s">
        <v>244</v>
      </c>
      <c r="O79" s="5" t="s">
        <v>197</v>
      </c>
      <c r="P79" s="5" t="s">
        <v>200</v>
      </c>
      <c r="Q79" s="5" t="s">
        <v>208</v>
      </c>
      <c r="R79" s="5" t="s">
        <v>199</v>
      </c>
      <c r="S79" s="5" t="s">
        <v>202</v>
      </c>
      <c r="T79" s="5" t="s">
        <v>204</v>
      </c>
      <c r="U79" s="5" t="s">
        <v>201</v>
      </c>
      <c r="V79" s="5" t="s">
        <v>204</v>
      </c>
      <c r="W79" s="5" t="s">
        <v>208</v>
      </c>
      <c r="X79" s="5" t="s">
        <v>200</v>
      </c>
      <c r="Y79" s="5" t="s">
        <v>200</v>
      </c>
      <c r="Z79" s="5" t="s">
        <v>208</v>
      </c>
      <c r="AA79" s="5" t="s">
        <v>204</v>
      </c>
      <c r="AB79" s="5" t="s">
        <v>200</v>
      </c>
      <c r="AC79" s="5" t="s">
        <v>203</v>
      </c>
      <c r="AD79" s="5" t="s">
        <v>201</v>
      </c>
      <c r="AE79" s="5" t="s">
        <v>553</v>
      </c>
      <c r="AF79" s="5" t="s">
        <v>206</v>
      </c>
      <c r="AG79" s="5" t="s">
        <v>202</v>
      </c>
      <c r="AH79" s="5" t="s">
        <v>202</v>
      </c>
      <c r="AI79" s="5" t="s">
        <v>201</v>
      </c>
      <c r="AJ79" s="5" t="s">
        <v>201</v>
      </c>
      <c r="AK79" s="5" t="s">
        <v>200</v>
      </c>
      <c r="AL79" s="5" t="s">
        <v>202</v>
      </c>
      <c r="AM79" s="5" t="s">
        <v>554</v>
      </c>
      <c r="AN79" s="5" t="s">
        <v>206</v>
      </c>
      <c r="AO79" s="5" t="s">
        <v>201</v>
      </c>
      <c r="AP79" s="5" t="s">
        <v>202</v>
      </c>
      <c r="AQ79" s="5" t="s">
        <v>201</v>
      </c>
      <c r="AR79" s="5" t="s">
        <v>204</v>
      </c>
      <c r="AS79" s="5" t="s">
        <v>204</v>
      </c>
      <c r="AT79" s="5" t="s">
        <v>200</v>
      </c>
      <c r="AU79" s="5" t="s">
        <v>204</v>
      </c>
      <c r="AV79" s="5" t="s">
        <v>555</v>
      </c>
    </row>
    <row r="80">
      <c r="A80" s="7">
        <v>45869.05694444444</v>
      </c>
      <c r="B80" s="7">
        <v>45869.06458333333</v>
      </c>
      <c r="C80" s="5" t="s">
        <v>99</v>
      </c>
      <c r="D80" s="5" t="s">
        <v>389</v>
      </c>
      <c r="E80" s="8">
        <v>100.0</v>
      </c>
      <c r="F80" s="8">
        <v>680.0</v>
      </c>
      <c r="G80" s="9" t="b">
        <v>1</v>
      </c>
      <c r="H80" s="7">
        <v>45869.06458333333</v>
      </c>
      <c r="I80" s="5" t="s">
        <v>556</v>
      </c>
      <c r="J80" s="8">
        <v>60.1816</v>
      </c>
      <c r="K80" s="8">
        <v>24.8368</v>
      </c>
      <c r="L80" s="5" t="s">
        <v>194</v>
      </c>
      <c r="M80" s="5" t="s">
        <v>195</v>
      </c>
      <c r="N80" s="5" t="s">
        <v>531</v>
      </c>
      <c r="O80" s="5" t="s">
        <v>211</v>
      </c>
      <c r="P80" s="5" t="s">
        <v>198</v>
      </c>
      <c r="Q80" s="5" t="s">
        <v>198</v>
      </c>
      <c r="R80" s="5" t="s">
        <v>199</v>
      </c>
      <c r="S80" s="5" t="s">
        <v>198</v>
      </c>
      <c r="T80" s="5" t="s">
        <v>200</v>
      </c>
      <c r="U80" s="5" t="s">
        <v>200</v>
      </c>
      <c r="V80" s="5" t="s">
        <v>198</v>
      </c>
      <c r="W80" s="5" t="s">
        <v>200</v>
      </c>
      <c r="X80" s="5" t="s">
        <v>202</v>
      </c>
      <c r="Y80" s="5" t="s">
        <v>200</v>
      </c>
      <c r="Z80" s="5" t="s">
        <v>202</v>
      </c>
      <c r="AA80" s="5" t="s">
        <v>208</v>
      </c>
      <c r="AB80" s="5" t="s">
        <v>200</v>
      </c>
      <c r="AC80" s="5" t="s">
        <v>202</v>
      </c>
      <c r="AD80" s="5" t="s">
        <v>200</v>
      </c>
      <c r="AE80" s="5" t="s">
        <v>557</v>
      </c>
      <c r="AF80" s="5" t="s">
        <v>206</v>
      </c>
      <c r="AG80" s="5" t="s">
        <v>203</v>
      </c>
      <c r="AH80" s="5" t="s">
        <v>200</v>
      </c>
      <c r="AI80" s="5" t="s">
        <v>200</v>
      </c>
      <c r="AJ80" s="5" t="s">
        <v>202</v>
      </c>
      <c r="AK80" s="5" t="s">
        <v>200</v>
      </c>
      <c r="AL80" s="5" t="s">
        <v>200</v>
      </c>
      <c r="AM80" s="5" t="s">
        <v>558</v>
      </c>
      <c r="AN80" s="5" t="s">
        <v>206</v>
      </c>
      <c r="AO80" s="5" t="s">
        <v>198</v>
      </c>
      <c r="AP80" s="5" t="s">
        <v>200</v>
      </c>
      <c r="AQ80" s="5" t="s">
        <v>200</v>
      </c>
      <c r="AR80" s="5" t="s">
        <v>204</v>
      </c>
      <c r="AS80" s="5" t="s">
        <v>204</v>
      </c>
      <c r="AT80" s="5" t="s">
        <v>208</v>
      </c>
      <c r="AU80" s="5" t="s">
        <v>204</v>
      </c>
      <c r="AV80" s="5" t="s">
        <v>559</v>
      </c>
    </row>
    <row r="81">
      <c r="A81" s="7">
        <v>45869.05625</v>
      </c>
      <c r="B81" s="7">
        <v>45869.06805555556</v>
      </c>
      <c r="C81" s="5" t="s">
        <v>99</v>
      </c>
      <c r="D81" s="5" t="s">
        <v>192</v>
      </c>
      <c r="E81" s="8">
        <v>100.0</v>
      </c>
      <c r="F81" s="8">
        <v>1077.0</v>
      </c>
      <c r="G81" s="9" t="b">
        <v>1</v>
      </c>
      <c r="H81" s="7">
        <v>45869.06875</v>
      </c>
      <c r="I81" s="5" t="s">
        <v>560</v>
      </c>
      <c r="J81" s="8">
        <v>60.1816</v>
      </c>
      <c r="K81" s="8">
        <v>24.8368</v>
      </c>
      <c r="L81" s="5" t="s">
        <v>194</v>
      </c>
      <c r="M81" s="5" t="s">
        <v>195</v>
      </c>
      <c r="N81" s="5" t="s">
        <v>536</v>
      </c>
      <c r="O81" s="5" t="s">
        <v>216</v>
      </c>
      <c r="P81" s="5" t="s">
        <v>200</v>
      </c>
      <c r="Q81" s="5" t="s">
        <v>200</v>
      </c>
      <c r="R81" s="5" t="s">
        <v>199</v>
      </c>
      <c r="S81" s="5" t="s">
        <v>201</v>
      </c>
      <c r="T81" s="5" t="s">
        <v>201</v>
      </c>
      <c r="U81" s="5" t="s">
        <v>200</v>
      </c>
      <c r="V81" s="5" t="s">
        <v>200</v>
      </c>
      <c r="W81" s="5" t="s">
        <v>202</v>
      </c>
      <c r="X81" s="5" t="s">
        <v>202</v>
      </c>
      <c r="Y81" s="5" t="s">
        <v>201</v>
      </c>
      <c r="Z81" s="5" t="s">
        <v>201</v>
      </c>
      <c r="AA81" s="5" t="s">
        <v>200</v>
      </c>
      <c r="AB81" s="5" t="s">
        <v>198</v>
      </c>
      <c r="AC81" s="5" t="s">
        <v>202</v>
      </c>
      <c r="AD81" s="5" t="s">
        <v>198</v>
      </c>
      <c r="AE81" s="5" t="s">
        <v>561</v>
      </c>
      <c r="AF81" s="5" t="s">
        <v>206</v>
      </c>
      <c r="AG81" s="5" t="s">
        <v>202</v>
      </c>
      <c r="AH81" s="5" t="s">
        <v>201</v>
      </c>
      <c r="AI81" s="5" t="s">
        <v>201</v>
      </c>
      <c r="AJ81" s="5" t="s">
        <v>201</v>
      </c>
      <c r="AK81" s="5" t="s">
        <v>200</v>
      </c>
      <c r="AL81" s="5" t="s">
        <v>203</v>
      </c>
      <c r="AM81" s="5" t="s">
        <v>562</v>
      </c>
      <c r="AN81" s="5" t="s">
        <v>206</v>
      </c>
      <c r="AO81" s="5" t="s">
        <v>202</v>
      </c>
      <c r="AP81" s="5" t="s">
        <v>201</v>
      </c>
      <c r="AQ81" s="5" t="s">
        <v>201</v>
      </c>
      <c r="AR81" s="5" t="s">
        <v>204</v>
      </c>
      <c r="AS81" s="5" t="s">
        <v>204</v>
      </c>
      <c r="AT81" s="5" t="s">
        <v>204</v>
      </c>
      <c r="AU81" s="5" t="s">
        <v>204</v>
      </c>
      <c r="AV81" s="5" t="s">
        <v>563</v>
      </c>
    </row>
    <row r="82">
      <c r="A82" s="7">
        <v>45869.066666666666</v>
      </c>
      <c r="B82" s="7">
        <v>45869.07986111111</v>
      </c>
      <c r="C82" s="5" t="s">
        <v>99</v>
      </c>
      <c r="D82" s="5" t="s">
        <v>389</v>
      </c>
      <c r="E82" s="8">
        <v>100.0</v>
      </c>
      <c r="F82" s="8">
        <v>1145.0</v>
      </c>
      <c r="G82" s="9" t="b">
        <v>1</v>
      </c>
      <c r="H82" s="7">
        <v>45869.07986111111</v>
      </c>
      <c r="I82" s="5" t="s">
        <v>564</v>
      </c>
      <c r="J82" s="8">
        <v>60.1816</v>
      </c>
      <c r="K82" s="8">
        <v>24.8368</v>
      </c>
      <c r="L82" s="5" t="s">
        <v>194</v>
      </c>
      <c r="M82" s="5" t="s">
        <v>195</v>
      </c>
      <c r="N82" s="5" t="s">
        <v>244</v>
      </c>
      <c r="O82" s="5" t="s">
        <v>211</v>
      </c>
      <c r="P82" s="5" t="s">
        <v>203</v>
      </c>
      <c r="Q82" s="5" t="s">
        <v>208</v>
      </c>
      <c r="R82" s="5" t="s">
        <v>199</v>
      </c>
      <c r="S82" s="5" t="s">
        <v>202</v>
      </c>
      <c r="T82" s="5" t="s">
        <v>208</v>
      </c>
      <c r="U82" s="5" t="s">
        <v>208</v>
      </c>
      <c r="V82" s="5" t="s">
        <v>208</v>
      </c>
      <c r="W82" s="5" t="s">
        <v>204</v>
      </c>
      <c r="X82" s="5" t="s">
        <v>208</v>
      </c>
      <c r="Y82" s="5" t="s">
        <v>208</v>
      </c>
      <c r="Z82" s="5" t="s">
        <v>198</v>
      </c>
      <c r="AA82" s="5" t="s">
        <v>204</v>
      </c>
      <c r="AB82" s="5" t="s">
        <v>208</v>
      </c>
      <c r="AC82" s="5" t="s">
        <v>208</v>
      </c>
      <c r="AD82" s="5" t="s">
        <v>201</v>
      </c>
      <c r="AE82" s="5" t="s">
        <v>565</v>
      </c>
      <c r="AF82" s="5" t="s">
        <v>206</v>
      </c>
      <c r="AG82" s="5" t="s">
        <v>200</v>
      </c>
      <c r="AH82" s="5" t="s">
        <v>208</v>
      </c>
      <c r="AI82" s="5" t="s">
        <v>208</v>
      </c>
      <c r="AJ82" s="5" t="s">
        <v>208</v>
      </c>
      <c r="AK82" s="5" t="s">
        <v>208</v>
      </c>
      <c r="AL82" s="5" t="s">
        <v>203</v>
      </c>
      <c r="AM82" s="5" t="s">
        <v>566</v>
      </c>
      <c r="AN82" s="5" t="s">
        <v>206</v>
      </c>
      <c r="AO82" s="5" t="s">
        <v>202</v>
      </c>
      <c r="AP82" s="5" t="s">
        <v>202</v>
      </c>
      <c r="AQ82" s="5" t="s">
        <v>204</v>
      </c>
      <c r="AR82" s="5" t="s">
        <v>204</v>
      </c>
      <c r="AS82" s="5" t="s">
        <v>204</v>
      </c>
      <c r="AT82" s="5" t="s">
        <v>204</v>
      </c>
      <c r="AU82" s="5" t="s">
        <v>204</v>
      </c>
      <c r="AV82" s="5" t="s">
        <v>567</v>
      </c>
    </row>
    <row r="83">
      <c r="A83" s="7">
        <v>45869.072916666664</v>
      </c>
      <c r="B83" s="7">
        <v>45869.08611111111</v>
      </c>
      <c r="C83" s="5" t="s">
        <v>99</v>
      </c>
      <c r="D83" s="5" t="s">
        <v>192</v>
      </c>
      <c r="E83" s="8">
        <v>100.0</v>
      </c>
      <c r="F83" s="8">
        <v>1139.0</v>
      </c>
      <c r="G83" s="9" t="b">
        <v>1</v>
      </c>
      <c r="H83" s="7">
        <v>45869.08611111111</v>
      </c>
      <c r="I83" s="5" t="s">
        <v>568</v>
      </c>
      <c r="J83" s="8">
        <v>60.1816</v>
      </c>
      <c r="K83" s="8">
        <v>24.8368</v>
      </c>
      <c r="L83" s="5" t="s">
        <v>194</v>
      </c>
      <c r="M83" s="5" t="s">
        <v>195</v>
      </c>
      <c r="N83" s="5" t="s">
        <v>536</v>
      </c>
      <c r="O83" s="5" t="s">
        <v>263</v>
      </c>
      <c r="P83" s="5" t="s">
        <v>202</v>
      </c>
      <c r="Q83" s="5" t="s">
        <v>198</v>
      </c>
      <c r="R83" s="5" t="s">
        <v>199</v>
      </c>
      <c r="S83" s="5" t="s">
        <v>201</v>
      </c>
      <c r="T83" s="5" t="s">
        <v>201</v>
      </c>
      <c r="U83" s="5" t="s">
        <v>202</v>
      </c>
      <c r="V83" s="5" t="s">
        <v>200</v>
      </c>
      <c r="W83" s="5" t="s">
        <v>202</v>
      </c>
      <c r="X83" s="5" t="s">
        <v>200</v>
      </c>
      <c r="Y83" s="5" t="s">
        <v>200</v>
      </c>
      <c r="Z83" s="5" t="s">
        <v>201</v>
      </c>
      <c r="AA83" s="5" t="s">
        <v>200</v>
      </c>
      <c r="AB83" s="5" t="s">
        <v>198</v>
      </c>
      <c r="AC83" s="5" t="s">
        <v>200</v>
      </c>
      <c r="AD83" s="5" t="s">
        <v>203</v>
      </c>
      <c r="AE83" s="5" t="s">
        <v>569</v>
      </c>
      <c r="AF83" s="5" t="s">
        <v>206</v>
      </c>
      <c r="AG83" s="5" t="s">
        <v>202</v>
      </c>
      <c r="AH83" s="5" t="s">
        <v>202</v>
      </c>
      <c r="AI83" s="5" t="s">
        <v>201</v>
      </c>
      <c r="AJ83" s="5" t="s">
        <v>201</v>
      </c>
      <c r="AK83" s="5" t="s">
        <v>202</v>
      </c>
      <c r="AL83" s="5" t="s">
        <v>203</v>
      </c>
      <c r="AM83" s="5" t="s">
        <v>570</v>
      </c>
      <c r="AN83" s="5" t="s">
        <v>206</v>
      </c>
      <c r="AO83" s="5" t="s">
        <v>201</v>
      </c>
      <c r="AP83" s="5" t="s">
        <v>201</v>
      </c>
      <c r="AQ83" s="5" t="s">
        <v>201</v>
      </c>
      <c r="AR83" s="5" t="s">
        <v>204</v>
      </c>
      <c r="AS83" s="5" t="s">
        <v>204</v>
      </c>
      <c r="AT83" s="5" t="s">
        <v>204</v>
      </c>
      <c r="AU83" s="5" t="s">
        <v>204</v>
      </c>
      <c r="AV83" s="5" t="s">
        <v>571</v>
      </c>
    </row>
    <row r="84">
      <c r="A84" s="7">
        <v>45869.080555555556</v>
      </c>
      <c r="B84" s="7">
        <v>45869.092361111114</v>
      </c>
      <c r="C84" s="5" t="s">
        <v>99</v>
      </c>
      <c r="D84" s="5" t="s">
        <v>389</v>
      </c>
      <c r="E84" s="8">
        <v>100.0</v>
      </c>
      <c r="F84" s="8">
        <v>1024.0</v>
      </c>
      <c r="G84" s="9" t="b">
        <v>1</v>
      </c>
      <c r="H84" s="7">
        <v>45869.092361111114</v>
      </c>
      <c r="I84" s="5" t="s">
        <v>572</v>
      </c>
      <c r="J84" s="8">
        <v>60.1816</v>
      </c>
      <c r="K84" s="8">
        <v>24.8368</v>
      </c>
      <c r="L84" s="5" t="s">
        <v>194</v>
      </c>
      <c r="M84" s="5" t="s">
        <v>195</v>
      </c>
      <c r="N84" s="5" t="s">
        <v>573</v>
      </c>
      <c r="O84" s="5" t="s">
        <v>211</v>
      </c>
      <c r="P84" s="5" t="s">
        <v>202</v>
      </c>
      <c r="Q84" s="5" t="s">
        <v>200</v>
      </c>
      <c r="R84" s="5" t="s">
        <v>199</v>
      </c>
      <c r="S84" s="5" t="s">
        <v>203</v>
      </c>
      <c r="T84" s="5" t="s">
        <v>201</v>
      </c>
      <c r="U84" s="5" t="s">
        <v>202</v>
      </c>
      <c r="V84" s="5" t="s">
        <v>202</v>
      </c>
      <c r="W84" s="5" t="s">
        <v>201</v>
      </c>
      <c r="X84" s="5" t="s">
        <v>201</v>
      </c>
      <c r="Y84" s="5" t="s">
        <v>200</v>
      </c>
      <c r="Z84" s="5" t="s">
        <v>202</v>
      </c>
      <c r="AA84" s="5" t="s">
        <v>203</v>
      </c>
      <c r="AB84" s="5" t="s">
        <v>198</v>
      </c>
      <c r="AC84" s="5" t="s">
        <v>201</v>
      </c>
      <c r="AD84" s="5" t="s">
        <v>200</v>
      </c>
      <c r="AE84" s="5" t="s">
        <v>574</v>
      </c>
      <c r="AF84" s="5" t="s">
        <v>206</v>
      </c>
      <c r="AG84" s="5" t="s">
        <v>198</v>
      </c>
      <c r="AH84" s="5" t="s">
        <v>201</v>
      </c>
      <c r="AI84" s="5" t="s">
        <v>201</v>
      </c>
      <c r="AJ84" s="5" t="s">
        <v>198</v>
      </c>
      <c r="AK84" s="5" t="s">
        <v>202</v>
      </c>
      <c r="AL84" s="5" t="s">
        <v>201</v>
      </c>
      <c r="AM84" s="5" t="s">
        <v>575</v>
      </c>
      <c r="AN84" s="5" t="s">
        <v>206</v>
      </c>
      <c r="AO84" s="5" t="s">
        <v>200</v>
      </c>
      <c r="AP84" s="5" t="s">
        <v>200</v>
      </c>
      <c r="AQ84" s="5" t="s">
        <v>201</v>
      </c>
      <c r="AR84" s="5" t="s">
        <v>204</v>
      </c>
      <c r="AS84" s="5" t="s">
        <v>204</v>
      </c>
      <c r="AT84" s="5" t="s">
        <v>204</v>
      </c>
      <c r="AU84" s="5" t="s">
        <v>204</v>
      </c>
      <c r="AV84" s="5" t="s">
        <v>576</v>
      </c>
    </row>
    <row r="85">
      <c r="A85" s="7">
        <v>45869.09722222222</v>
      </c>
      <c r="B85" s="7">
        <v>45869.10486111111</v>
      </c>
      <c r="C85" s="5" t="s">
        <v>99</v>
      </c>
      <c r="D85" s="5" t="s">
        <v>192</v>
      </c>
      <c r="E85" s="8">
        <v>100.0</v>
      </c>
      <c r="F85" s="8">
        <v>646.0</v>
      </c>
      <c r="G85" s="9" t="b">
        <v>1</v>
      </c>
      <c r="H85" s="7">
        <v>45869.10486111111</v>
      </c>
      <c r="I85" s="5" t="s">
        <v>577</v>
      </c>
      <c r="J85" s="8">
        <v>60.1816</v>
      </c>
      <c r="K85" s="8">
        <v>24.8368</v>
      </c>
      <c r="L85" s="5" t="s">
        <v>194</v>
      </c>
      <c r="M85" s="5" t="s">
        <v>195</v>
      </c>
      <c r="N85" s="5" t="s">
        <v>573</v>
      </c>
      <c r="O85" s="5" t="s">
        <v>263</v>
      </c>
      <c r="P85" s="5" t="s">
        <v>201</v>
      </c>
      <c r="Q85" s="5" t="s">
        <v>202</v>
      </c>
      <c r="R85" s="5" t="s">
        <v>199</v>
      </c>
      <c r="S85" s="5" t="s">
        <v>202</v>
      </c>
      <c r="T85" s="5" t="s">
        <v>201</v>
      </c>
      <c r="U85" s="5" t="s">
        <v>201</v>
      </c>
      <c r="V85" s="5" t="s">
        <v>198</v>
      </c>
      <c r="W85" s="5" t="s">
        <v>201</v>
      </c>
      <c r="X85" s="5" t="s">
        <v>201</v>
      </c>
      <c r="Y85" s="5" t="s">
        <v>201</v>
      </c>
      <c r="Z85" s="5" t="s">
        <v>202</v>
      </c>
      <c r="AA85" s="5" t="s">
        <v>202</v>
      </c>
      <c r="AB85" s="5" t="s">
        <v>202</v>
      </c>
      <c r="AC85" s="5" t="s">
        <v>201</v>
      </c>
      <c r="AD85" s="5" t="s">
        <v>198</v>
      </c>
      <c r="AE85" s="5" t="s">
        <v>578</v>
      </c>
      <c r="AF85" s="5" t="s">
        <v>206</v>
      </c>
      <c r="AG85" s="5" t="s">
        <v>200</v>
      </c>
      <c r="AH85" s="5" t="s">
        <v>201</v>
      </c>
      <c r="AI85" s="5" t="s">
        <v>201</v>
      </c>
      <c r="AJ85" s="5" t="s">
        <v>201</v>
      </c>
      <c r="AK85" s="5" t="s">
        <v>201</v>
      </c>
      <c r="AL85" s="5" t="s">
        <v>201</v>
      </c>
      <c r="AM85" s="5" t="s">
        <v>579</v>
      </c>
      <c r="AN85" s="5" t="s">
        <v>206</v>
      </c>
      <c r="AO85" s="5" t="s">
        <v>201</v>
      </c>
      <c r="AP85" s="5" t="s">
        <v>198</v>
      </c>
      <c r="AQ85" s="5" t="s">
        <v>201</v>
      </c>
      <c r="AR85" s="5" t="s">
        <v>200</v>
      </c>
      <c r="AS85" s="5" t="s">
        <v>202</v>
      </c>
      <c r="AT85" s="5" t="s">
        <v>204</v>
      </c>
      <c r="AU85" s="5" t="s">
        <v>204</v>
      </c>
      <c r="AV85" s="5" t="s">
        <v>580</v>
      </c>
    </row>
    <row r="86">
      <c r="A86" s="7">
        <v>45869.092361111114</v>
      </c>
      <c r="B86" s="7">
        <v>45869.10902777778</v>
      </c>
      <c r="C86" s="5" t="s">
        <v>99</v>
      </c>
      <c r="D86" s="5" t="s">
        <v>389</v>
      </c>
      <c r="E86" s="8">
        <v>100.0</v>
      </c>
      <c r="F86" s="8">
        <v>1424.0</v>
      </c>
      <c r="G86" s="9" t="b">
        <v>1</v>
      </c>
      <c r="H86" s="7">
        <v>45869.10902777778</v>
      </c>
      <c r="I86" s="5" t="s">
        <v>581</v>
      </c>
      <c r="J86" s="8">
        <v>60.1816</v>
      </c>
      <c r="K86" s="8">
        <v>24.8368</v>
      </c>
      <c r="L86" s="5" t="s">
        <v>194</v>
      </c>
      <c r="M86" s="5" t="s">
        <v>195</v>
      </c>
      <c r="N86" s="5" t="s">
        <v>582</v>
      </c>
      <c r="O86" s="5" t="s">
        <v>197</v>
      </c>
      <c r="P86" s="5" t="s">
        <v>202</v>
      </c>
      <c r="Q86" s="5" t="s">
        <v>202</v>
      </c>
      <c r="R86" s="5" t="s">
        <v>199</v>
      </c>
      <c r="S86" s="5" t="s">
        <v>201</v>
      </c>
      <c r="T86" s="5" t="s">
        <v>201</v>
      </c>
      <c r="U86" s="5" t="s">
        <v>200</v>
      </c>
      <c r="V86" s="5" t="s">
        <v>202</v>
      </c>
      <c r="W86" s="5" t="s">
        <v>201</v>
      </c>
      <c r="X86" s="5" t="s">
        <v>202</v>
      </c>
      <c r="Y86" s="5" t="s">
        <v>202</v>
      </c>
      <c r="Z86" s="5" t="s">
        <v>201</v>
      </c>
      <c r="AA86" s="5" t="s">
        <v>202</v>
      </c>
      <c r="AB86" s="5" t="s">
        <v>200</v>
      </c>
      <c r="AC86" s="5" t="s">
        <v>201</v>
      </c>
      <c r="AD86" s="5" t="s">
        <v>202</v>
      </c>
      <c r="AE86" s="5" t="s">
        <v>583</v>
      </c>
      <c r="AF86" s="5" t="s">
        <v>206</v>
      </c>
      <c r="AG86" s="5" t="s">
        <v>202</v>
      </c>
      <c r="AH86" s="5" t="s">
        <v>202</v>
      </c>
      <c r="AI86" s="5" t="s">
        <v>201</v>
      </c>
      <c r="AJ86" s="5" t="s">
        <v>202</v>
      </c>
      <c r="AK86" s="5" t="s">
        <v>201</v>
      </c>
      <c r="AL86" s="5" t="s">
        <v>201</v>
      </c>
      <c r="AM86" s="11" t="s">
        <v>584</v>
      </c>
      <c r="AN86" s="5" t="s">
        <v>206</v>
      </c>
      <c r="AO86" s="5" t="s">
        <v>202</v>
      </c>
      <c r="AP86" s="5" t="s">
        <v>202</v>
      </c>
      <c r="AQ86" s="5" t="s">
        <v>201</v>
      </c>
      <c r="AR86" s="5" t="s">
        <v>204</v>
      </c>
      <c r="AS86" s="5" t="s">
        <v>204</v>
      </c>
      <c r="AT86" s="5" t="s">
        <v>204</v>
      </c>
      <c r="AU86" s="5" t="s">
        <v>204</v>
      </c>
      <c r="AV86" s="5" t="s">
        <v>585</v>
      </c>
    </row>
    <row r="87">
      <c r="A87" s="7">
        <v>45869.10902777778</v>
      </c>
      <c r="B87" s="7">
        <v>45869.114583333336</v>
      </c>
      <c r="C87" s="5" t="s">
        <v>99</v>
      </c>
      <c r="D87" s="5" t="s">
        <v>192</v>
      </c>
      <c r="E87" s="8">
        <v>100.0</v>
      </c>
      <c r="F87" s="8">
        <v>484.0</v>
      </c>
      <c r="G87" s="9" t="b">
        <v>1</v>
      </c>
      <c r="H87" s="7">
        <v>45869.114583333336</v>
      </c>
      <c r="I87" s="5" t="s">
        <v>586</v>
      </c>
      <c r="J87" s="8">
        <v>60.1816</v>
      </c>
      <c r="K87" s="8">
        <v>24.8368</v>
      </c>
      <c r="L87" s="5" t="s">
        <v>194</v>
      </c>
      <c r="M87" s="5" t="s">
        <v>195</v>
      </c>
      <c r="N87" s="5" t="s">
        <v>573</v>
      </c>
      <c r="O87" s="5" t="s">
        <v>197</v>
      </c>
      <c r="P87" s="5" t="s">
        <v>201</v>
      </c>
      <c r="Q87" s="5" t="s">
        <v>202</v>
      </c>
      <c r="R87" s="5" t="s">
        <v>199</v>
      </c>
      <c r="S87" s="5" t="s">
        <v>202</v>
      </c>
      <c r="T87" s="5" t="s">
        <v>201</v>
      </c>
      <c r="U87" s="5" t="s">
        <v>201</v>
      </c>
      <c r="V87" s="5" t="s">
        <v>202</v>
      </c>
      <c r="W87" s="5" t="s">
        <v>201</v>
      </c>
      <c r="X87" s="5" t="s">
        <v>201</v>
      </c>
      <c r="Y87" s="5" t="s">
        <v>201</v>
      </c>
      <c r="Z87" s="5" t="s">
        <v>201</v>
      </c>
      <c r="AA87" s="5" t="s">
        <v>198</v>
      </c>
      <c r="AB87" s="5" t="s">
        <v>198</v>
      </c>
      <c r="AC87" s="5" t="s">
        <v>201</v>
      </c>
      <c r="AD87" s="5" t="s">
        <v>198</v>
      </c>
      <c r="AE87" s="5" t="s">
        <v>587</v>
      </c>
      <c r="AF87" s="5" t="s">
        <v>206</v>
      </c>
      <c r="AG87" s="5" t="s">
        <v>202</v>
      </c>
      <c r="AH87" s="5" t="s">
        <v>201</v>
      </c>
      <c r="AI87" s="5" t="s">
        <v>201</v>
      </c>
      <c r="AJ87" s="5" t="s">
        <v>201</v>
      </c>
      <c r="AK87" s="5" t="s">
        <v>201</v>
      </c>
      <c r="AL87" s="5" t="s">
        <v>201</v>
      </c>
      <c r="AM87" s="5" t="s">
        <v>588</v>
      </c>
      <c r="AN87" s="5" t="s">
        <v>206</v>
      </c>
      <c r="AO87" s="5" t="s">
        <v>201</v>
      </c>
      <c r="AP87" s="5" t="s">
        <v>201</v>
      </c>
      <c r="AQ87" s="5" t="s">
        <v>201</v>
      </c>
      <c r="AR87" s="5" t="s">
        <v>201</v>
      </c>
      <c r="AS87" s="5" t="s">
        <v>201</v>
      </c>
      <c r="AT87" s="5" t="s">
        <v>200</v>
      </c>
      <c r="AU87" s="5" t="s">
        <v>208</v>
      </c>
      <c r="AV87" s="5" t="s">
        <v>589</v>
      </c>
    </row>
    <row r="88">
      <c r="A88" s="7">
        <v>45869.11666666667</v>
      </c>
      <c r="B88" s="7">
        <v>45869.12569444445</v>
      </c>
      <c r="C88" s="5" t="s">
        <v>99</v>
      </c>
      <c r="D88" s="5" t="s">
        <v>389</v>
      </c>
      <c r="E88" s="8">
        <v>100.0</v>
      </c>
      <c r="F88" s="8">
        <v>768.0</v>
      </c>
      <c r="G88" s="9" t="b">
        <v>1</v>
      </c>
      <c r="H88" s="7">
        <v>45869.12569444445</v>
      </c>
      <c r="I88" s="5" t="s">
        <v>590</v>
      </c>
      <c r="J88" s="8">
        <v>60.1816</v>
      </c>
      <c r="K88" s="8">
        <v>24.8368</v>
      </c>
      <c r="L88" s="5" t="s">
        <v>194</v>
      </c>
      <c r="M88" s="5" t="s">
        <v>195</v>
      </c>
      <c r="N88" s="5" t="s">
        <v>573</v>
      </c>
      <c r="O88" s="5" t="s">
        <v>216</v>
      </c>
      <c r="P88" s="5" t="s">
        <v>201</v>
      </c>
      <c r="Q88" s="5" t="s">
        <v>200</v>
      </c>
      <c r="R88" s="5" t="s">
        <v>199</v>
      </c>
      <c r="S88" s="5" t="s">
        <v>200</v>
      </c>
      <c r="T88" s="5" t="s">
        <v>201</v>
      </c>
      <c r="U88" s="5" t="s">
        <v>202</v>
      </c>
      <c r="V88" s="5" t="s">
        <v>203</v>
      </c>
      <c r="W88" s="5" t="s">
        <v>200</v>
      </c>
      <c r="X88" s="5" t="s">
        <v>200</v>
      </c>
      <c r="Y88" s="5" t="s">
        <v>203</v>
      </c>
      <c r="Z88" s="5" t="s">
        <v>200</v>
      </c>
      <c r="AA88" s="5" t="s">
        <v>200</v>
      </c>
      <c r="AB88" s="5" t="s">
        <v>200</v>
      </c>
      <c r="AC88" s="5" t="s">
        <v>200</v>
      </c>
      <c r="AD88" s="5" t="s">
        <v>200</v>
      </c>
      <c r="AE88" s="5" t="s">
        <v>591</v>
      </c>
      <c r="AF88" s="5" t="s">
        <v>206</v>
      </c>
      <c r="AG88" s="5" t="s">
        <v>202</v>
      </c>
      <c r="AH88" s="5" t="s">
        <v>201</v>
      </c>
      <c r="AI88" s="5" t="s">
        <v>201</v>
      </c>
      <c r="AJ88" s="5" t="s">
        <v>200</v>
      </c>
      <c r="AK88" s="5" t="s">
        <v>202</v>
      </c>
      <c r="AL88" s="5" t="s">
        <v>201</v>
      </c>
      <c r="AM88" s="5" t="s">
        <v>592</v>
      </c>
      <c r="AN88" s="5" t="s">
        <v>206</v>
      </c>
      <c r="AO88" s="5" t="s">
        <v>201</v>
      </c>
      <c r="AP88" s="5" t="s">
        <v>200</v>
      </c>
      <c r="AQ88" s="5" t="s">
        <v>201</v>
      </c>
      <c r="AR88" s="5" t="s">
        <v>204</v>
      </c>
      <c r="AS88" s="5" t="s">
        <v>204</v>
      </c>
      <c r="AT88" s="5" t="s">
        <v>204</v>
      </c>
      <c r="AU88" s="5" t="s">
        <v>204</v>
      </c>
      <c r="AV88" s="5" t="s">
        <v>593</v>
      </c>
    </row>
    <row r="89">
      <c r="A89" s="7">
        <v>45869.15902777778</v>
      </c>
      <c r="B89" s="7">
        <v>45869.165972222225</v>
      </c>
      <c r="C89" s="5" t="s">
        <v>99</v>
      </c>
      <c r="D89" s="5" t="s">
        <v>383</v>
      </c>
      <c r="E89" s="8">
        <v>100.0</v>
      </c>
      <c r="F89" s="8">
        <v>644.0</v>
      </c>
      <c r="G89" s="9" t="b">
        <v>1</v>
      </c>
      <c r="H89" s="7">
        <v>45869.165972222225</v>
      </c>
      <c r="I89" s="5" t="s">
        <v>594</v>
      </c>
      <c r="J89" s="8">
        <v>60.1816</v>
      </c>
      <c r="K89" s="8">
        <v>24.8368</v>
      </c>
      <c r="L89" s="5" t="s">
        <v>194</v>
      </c>
      <c r="M89" s="5" t="s">
        <v>195</v>
      </c>
      <c r="N89" s="5" t="s">
        <v>595</v>
      </c>
      <c r="O89" s="5" t="s">
        <v>216</v>
      </c>
      <c r="P89" s="5" t="s">
        <v>202</v>
      </c>
      <c r="Q89" s="5" t="s">
        <v>200</v>
      </c>
      <c r="R89" s="5" t="s">
        <v>199</v>
      </c>
      <c r="S89" s="5" t="s">
        <v>202</v>
      </c>
      <c r="T89" s="5" t="s">
        <v>203</v>
      </c>
      <c r="U89" s="5" t="s">
        <v>202</v>
      </c>
      <c r="V89" s="5" t="s">
        <v>200</v>
      </c>
      <c r="W89" s="5" t="s">
        <v>200</v>
      </c>
      <c r="X89" s="5" t="s">
        <v>203</v>
      </c>
      <c r="Y89" s="5" t="s">
        <v>200</v>
      </c>
      <c r="Z89" s="5" t="s">
        <v>200</v>
      </c>
      <c r="AA89" s="5" t="s">
        <v>200</v>
      </c>
      <c r="AB89" s="5" t="s">
        <v>198</v>
      </c>
      <c r="AC89" s="5" t="s">
        <v>200</v>
      </c>
      <c r="AD89" s="5" t="s">
        <v>203</v>
      </c>
      <c r="AE89" s="5" t="s">
        <v>413</v>
      </c>
      <c r="AF89" s="5" t="s">
        <v>206</v>
      </c>
      <c r="AG89" s="5" t="s">
        <v>200</v>
      </c>
      <c r="AH89" s="5" t="s">
        <v>198</v>
      </c>
      <c r="AI89" s="5" t="s">
        <v>203</v>
      </c>
      <c r="AJ89" s="5" t="s">
        <v>198</v>
      </c>
      <c r="AK89" s="5" t="s">
        <v>198</v>
      </c>
      <c r="AL89" s="5" t="s">
        <v>198</v>
      </c>
      <c r="AM89" s="5" t="s">
        <v>413</v>
      </c>
      <c r="AN89" s="5" t="s">
        <v>206</v>
      </c>
      <c r="AO89" s="5" t="s">
        <v>200</v>
      </c>
      <c r="AP89" s="5" t="s">
        <v>202</v>
      </c>
      <c r="AQ89" s="5" t="s">
        <v>200</v>
      </c>
      <c r="AR89" s="5" t="s">
        <v>198</v>
      </c>
      <c r="AS89" s="5" t="s">
        <v>198</v>
      </c>
      <c r="AT89" s="5" t="s">
        <v>198</v>
      </c>
      <c r="AU89" s="5" t="s">
        <v>198</v>
      </c>
      <c r="AV89" s="5" t="s">
        <v>413</v>
      </c>
    </row>
    <row r="90">
      <c r="A90" s="7">
        <v>45869.16388888889</v>
      </c>
      <c r="B90" s="7">
        <v>45869.17638888889</v>
      </c>
      <c r="C90" s="5" t="s">
        <v>99</v>
      </c>
      <c r="D90" s="5" t="s">
        <v>389</v>
      </c>
      <c r="E90" s="8">
        <v>100.0</v>
      </c>
      <c r="F90" s="8">
        <v>1117.0</v>
      </c>
      <c r="G90" s="9" t="b">
        <v>1</v>
      </c>
      <c r="H90" s="7">
        <v>45869.17638888889</v>
      </c>
      <c r="I90" s="5" t="s">
        <v>596</v>
      </c>
      <c r="J90" s="8">
        <v>60.1816</v>
      </c>
      <c r="K90" s="8">
        <v>24.8368</v>
      </c>
      <c r="L90" s="5" t="s">
        <v>194</v>
      </c>
      <c r="M90" s="5" t="s">
        <v>195</v>
      </c>
      <c r="N90" s="5" t="s">
        <v>582</v>
      </c>
      <c r="O90" s="5" t="s">
        <v>211</v>
      </c>
      <c r="P90" s="5" t="s">
        <v>202</v>
      </c>
      <c r="Q90" s="5" t="s">
        <v>200</v>
      </c>
      <c r="R90" s="5" t="s">
        <v>199</v>
      </c>
      <c r="S90" s="5" t="s">
        <v>201</v>
      </c>
      <c r="T90" s="5" t="s">
        <v>201</v>
      </c>
      <c r="U90" s="5" t="s">
        <v>200</v>
      </c>
      <c r="V90" s="5" t="s">
        <v>200</v>
      </c>
      <c r="W90" s="5" t="s">
        <v>202</v>
      </c>
      <c r="X90" s="5" t="s">
        <v>202</v>
      </c>
      <c r="Y90" s="5" t="s">
        <v>202</v>
      </c>
      <c r="Z90" s="5" t="s">
        <v>201</v>
      </c>
      <c r="AA90" s="5" t="s">
        <v>200</v>
      </c>
      <c r="AB90" s="5" t="s">
        <v>203</v>
      </c>
      <c r="AC90" s="5" t="s">
        <v>202</v>
      </c>
      <c r="AD90" s="5" t="s">
        <v>203</v>
      </c>
      <c r="AE90" s="5" t="s">
        <v>597</v>
      </c>
      <c r="AF90" s="5" t="s">
        <v>206</v>
      </c>
      <c r="AG90" s="5" t="s">
        <v>202</v>
      </c>
      <c r="AH90" s="5" t="s">
        <v>201</v>
      </c>
      <c r="AI90" s="5" t="s">
        <v>201</v>
      </c>
      <c r="AJ90" s="5" t="s">
        <v>201</v>
      </c>
      <c r="AK90" s="5" t="s">
        <v>201</v>
      </c>
      <c r="AL90" s="5" t="s">
        <v>201</v>
      </c>
      <c r="AM90" s="5" t="s">
        <v>598</v>
      </c>
      <c r="AN90" s="5" t="s">
        <v>206</v>
      </c>
      <c r="AO90" s="5" t="s">
        <v>202</v>
      </c>
      <c r="AP90" s="5" t="s">
        <v>202</v>
      </c>
      <c r="AQ90" s="5" t="s">
        <v>201</v>
      </c>
      <c r="AR90" s="5" t="s">
        <v>204</v>
      </c>
      <c r="AS90" s="5" t="s">
        <v>204</v>
      </c>
      <c r="AT90" s="5" t="s">
        <v>204</v>
      </c>
      <c r="AU90" s="5" t="s">
        <v>204</v>
      </c>
      <c r="AV90" s="5" t="s">
        <v>599</v>
      </c>
    </row>
    <row r="91">
      <c r="A91" s="7">
        <v>45869.177083333336</v>
      </c>
      <c r="B91" s="7">
        <v>45869.18194444444</v>
      </c>
      <c r="C91" s="5" t="s">
        <v>99</v>
      </c>
      <c r="D91" s="5" t="s">
        <v>347</v>
      </c>
      <c r="E91" s="8">
        <v>100.0</v>
      </c>
      <c r="F91" s="8">
        <v>447.0</v>
      </c>
      <c r="G91" s="9" t="b">
        <v>1</v>
      </c>
      <c r="H91" s="7">
        <v>45869.18194444444</v>
      </c>
      <c r="I91" s="5" t="s">
        <v>600</v>
      </c>
      <c r="J91" s="8">
        <v>60.2141</v>
      </c>
      <c r="K91" s="8">
        <v>24.896</v>
      </c>
      <c r="L91" s="5" t="s">
        <v>194</v>
      </c>
      <c r="M91" s="5" t="s">
        <v>195</v>
      </c>
      <c r="N91" s="5" t="s">
        <v>595</v>
      </c>
      <c r="O91" s="5" t="s">
        <v>263</v>
      </c>
      <c r="P91" s="5" t="s">
        <v>202</v>
      </c>
      <c r="Q91" s="5" t="s">
        <v>200</v>
      </c>
      <c r="R91" s="5" t="s">
        <v>199</v>
      </c>
      <c r="S91" s="5" t="s">
        <v>202</v>
      </c>
      <c r="T91" s="5" t="s">
        <v>200</v>
      </c>
      <c r="U91" s="5" t="s">
        <v>202</v>
      </c>
      <c r="V91" s="5" t="s">
        <v>202</v>
      </c>
      <c r="W91" s="5" t="s">
        <v>202</v>
      </c>
      <c r="X91" s="5" t="s">
        <v>202</v>
      </c>
      <c r="Y91" s="5" t="s">
        <v>202</v>
      </c>
      <c r="Z91" s="5" t="s">
        <v>202</v>
      </c>
      <c r="AA91" s="5" t="s">
        <v>202</v>
      </c>
      <c r="AB91" s="5" t="s">
        <v>198</v>
      </c>
      <c r="AC91" s="5" t="s">
        <v>202</v>
      </c>
      <c r="AD91" s="5" t="s">
        <v>200</v>
      </c>
      <c r="AE91" s="5" t="s">
        <v>413</v>
      </c>
      <c r="AF91" s="5" t="s">
        <v>206</v>
      </c>
      <c r="AG91" s="5" t="s">
        <v>202</v>
      </c>
      <c r="AH91" s="5" t="s">
        <v>202</v>
      </c>
      <c r="AI91" s="5" t="s">
        <v>202</v>
      </c>
      <c r="AJ91" s="5" t="s">
        <v>202</v>
      </c>
      <c r="AK91" s="5" t="s">
        <v>202</v>
      </c>
      <c r="AL91" s="5" t="s">
        <v>200</v>
      </c>
      <c r="AM91" s="5" t="s">
        <v>413</v>
      </c>
      <c r="AN91" s="5" t="s">
        <v>206</v>
      </c>
      <c r="AO91" s="5" t="s">
        <v>202</v>
      </c>
      <c r="AP91" s="5" t="s">
        <v>202</v>
      </c>
      <c r="AQ91" s="5" t="s">
        <v>200</v>
      </c>
      <c r="AR91" s="5" t="s">
        <v>198</v>
      </c>
      <c r="AS91" s="5" t="s">
        <v>208</v>
      </c>
      <c r="AT91" s="5" t="s">
        <v>198</v>
      </c>
      <c r="AU91" s="5" t="s">
        <v>208</v>
      </c>
      <c r="AV91" s="5" t="s">
        <v>413</v>
      </c>
    </row>
    <row r="92">
      <c r="A92" s="7">
        <v>45869.17013888889</v>
      </c>
      <c r="B92" s="7">
        <v>45869.18402777778</v>
      </c>
      <c r="C92" s="5" t="s">
        <v>99</v>
      </c>
      <c r="D92" s="5" t="s">
        <v>383</v>
      </c>
      <c r="E92" s="8">
        <v>100.0</v>
      </c>
      <c r="F92" s="8">
        <v>1215.0</v>
      </c>
      <c r="G92" s="9" t="b">
        <v>1</v>
      </c>
      <c r="H92" s="7">
        <v>45869.18402777778</v>
      </c>
      <c r="I92" s="5" t="s">
        <v>601</v>
      </c>
      <c r="J92" s="8">
        <v>60.1816</v>
      </c>
      <c r="K92" s="8">
        <v>24.8368</v>
      </c>
      <c r="L92" s="5" t="s">
        <v>194</v>
      </c>
      <c r="M92" s="5" t="s">
        <v>195</v>
      </c>
      <c r="N92" s="5" t="s">
        <v>602</v>
      </c>
      <c r="O92" s="5" t="s">
        <v>197</v>
      </c>
      <c r="P92" s="5" t="s">
        <v>202</v>
      </c>
      <c r="Q92" s="5" t="s">
        <v>200</v>
      </c>
      <c r="R92" s="5" t="s">
        <v>199</v>
      </c>
      <c r="S92" s="5" t="s">
        <v>202</v>
      </c>
      <c r="T92" s="5" t="s">
        <v>202</v>
      </c>
      <c r="U92" s="5" t="s">
        <v>201</v>
      </c>
      <c r="V92" s="5" t="s">
        <v>200</v>
      </c>
      <c r="W92" s="5" t="s">
        <v>200</v>
      </c>
      <c r="X92" s="5" t="s">
        <v>202</v>
      </c>
      <c r="Y92" s="5" t="s">
        <v>202</v>
      </c>
      <c r="Z92" s="5" t="s">
        <v>201</v>
      </c>
      <c r="AA92" s="5" t="s">
        <v>200</v>
      </c>
      <c r="AB92" s="5" t="s">
        <v>202</v>
      </c>
      <c r="AC92" s="5" t="s">
        <v>202</v>
      </c>
      <c r="AD92" s="5" t="s">
        <v>200</v>
      </c>
      <c r="AE92" s="5" t="s">
        <v>603</v>
      </c>
      <c r="AF92" s="5" t="s">
        <v>206</v>
      </c>
      <c r="AG92" s="5" t="s">
        <v>202</v>
      </c>
      <c r="AH92" s="5" t="s">
        <v>202</v>
      </c>
      <c r="AI92" s="5" t="s">
        <v>202</v>
      </c>
      <c r="AJ92" s="5" t="s">
        <v>201</v>
      </c>
      <c r="AK92" s="5" t="s">
        <v>202</v>
      </c>
      <c r="AL92" s="5" t="s">
        <v>202</v>
      </c>
      <c r="AM92" s="5" t="s">
        <v>604</v>
      </c>
      <c r="AN92" s="5" t="s">
        <v>206</v>
      </c>
      <c r="AO92" s="5" t="s">
        <v>202</v>
      </c>
      <c r="AP92" s="5" t="s">
        <v>202</v>
      </c>
      <c r="AQ92" s="5" t="s">
        <v>201</v>
      </c>
      <c r="AR92" s="5" t="s">
        <v>204</v>
      </c>
      <c r="AS92" s="5" t="s">
        <v>204</v>
      </c>
      <c r="AT92" s="5" t="s">
        <v>204</v>
      </c>
      <c r="AU92" s="5" t="s">
        <v>204</v>
      </c>
      <c r="AV92" s="5" t="s">
        <v>605</v>
      </c>
    </row>
    <row r="93">
      <c r="A93" s="7">
        <v>45869.177083333336</v>
      </c>
      <c r="B93" s="7">
        <v>45869.18819444445</v>
      </c>
      <c r="C93" s="5" t="s">
        <v>99</v>
      </c>
      <c r="D93" s="5" t="s">
        <v>529</v>
      </c>
      <c r="E93" s="8">
        <v>100.0</v>
      </c>
      <c r="F93" s="8">
        <v>973.0</v>
      </c>
      <c r="G93" s="9" t="b">
        <v>1</v>
      </c>
      <c r="H93" s="7">
        <v>45869.18819444445</v>
      </c>
      <c r="I93" s="5" t="s">
        <v>606</v>
      </c>
      <c r="J93" s="8">
        <v>60.1816</v>
      </c>
      <c r="K93" s="8">
        <v>24.8368</v>
      </c>
      <c r="L93" s="5" t="s">
        <v>194</v>
      </c>
      <c r="M93" s="5" t="s">
        <v>195</v>
      </c>
      <c r="N93" s="5" t="s">
        <v>607</v>
      </c>
      <c r="O93" s="5" t="s">
        <v>211</v>
      </c>
      <c r="P93" s="5" t="s">
        <v>208</v>
      </c>
      <c r="Q93" s="5" t="s">
        <v>204</v>
      </c>
      <c r="R93" s="5" t="s">
        <v>199</v>
      </c>
      <c r="S93" s="5" t="s">
        <v>204</v>
      </c>
      <c r="T93" s="5" t="s">
        <v>204</v>
      </c>
      <c r="U93" s="5" t="s">
        <v>204</v>
      </c>
      <c r="V93" s="5" t="s">
        <v>208</v>
      </c>
      <c r="W93" s="5" t="s">
        <v>204</v>
      </c>
      <c r="X93" s="5" t="s">
        <v>200</v>
      </c>
      <c r="Y93" s="5" t="s">
        <v>203</v>
      </c>
      <c r="Z93" s="5" t="s">
        <v>198</v>
      </c>
      <c r="AA93" s="5" t="s">
        <v>204</v>
      </c>
      <c r="AB93" s="5" t="s">
        <v>204</v>
      </c>
      <c r="AC93" s="5" t="s">
        <v>204</v>
      </c>
      <c r="AD93" s="5" t="s">
        <v>201</v>
      </c>
      <c r="AE93" s="5" t="s">
        <v>608</v>
      </c>
      <c r="AF93" s="5" t="s">
        <v>206</v>
      </c>
      <c r="AG93" s="5" t="s">
        <v>208</v>
      </c>
      <c r="AH93" s="5" t="s">
        <v>203</v>
      </c>
      <c r="AI93" s="5" t="s">
        <v>208</v>
      </c>
      <c r="AJ93" s="5" t="s">
        <v>202</v>
      </c>
      <c r="AK93" s="5" t="s">
        <v>202</v>
      </c>
      <c r="AL93" s="5" t="s">
        <v>203</v>
      </c>
      <c r="AM93" s="5" t="s">
        <v>609</v>
      </c>
      <c r="AN93" s="5" t="s">
        <v>206</v>
      </c>
      <c r="AO93" s="5" t="s">
        <v>204</v>
      </c>
      <c r="AP93" s="5" t="s">
        <v>200</v>
      </c>
      <c r="AQ93" s="5" t="s">
        <v>202</v>
      </c>
      <c r="AR93" s="5" t="s">
        <v>204</v>
      </c>
      <c r="AS93" s="5" t="s">
        <v>204</v>
      </c>
      <c r="AT93" s="5" t="s">
        <v>208</v>
      </c>
      <c r="AU93" s="5" t="s">
        <v>204</v>
      </c>
      <c r="AV93" s="5" t="s">
        <v>610</v>
      </c>
    </row>
    <row r="94">
      <c r="A94" s="7">
        <v>45869.1875</v>
      </c>
      <c r="B94" s="7">
        <v>45869.19097222222</v>
      </c>
      <c r="C94" s="5" t="s">
        <v>99</v>
      </c>
      <c r="D94" s="5" t="s">
        <v>347</v>
      </c>
      <c r="E94" s="8">
        <v>100.0</v>
      </c>
      <c r="F94" s="8">
        <v>300.0</v>
      </c>
      <c r="G94" s="9" t="b">
        <v>1</v>
      </c>
      <c r="H94" s="7">
        <v>45869.19097222222</v>
      </c>
      <c r="I94" s="5" t="s">
        <v>611</v>
      </c>
      <c r="J94" s="8">
        <v>60.2141</v>
      </c>
      <c r="K94" s="8">
        <v>24.896</v>
      </c>
      <c r="L94" s="5" t="s">
        <v>194</v>
      </c>
      <c r="M94" s="5" t="s">
        <v>195</v>
      </c>
      <c r="N94" s="5" t="s">
        <v>595</v>
      </c>
      <c r="O94" s="5" t="s">
        <v>211</v>
      </c>
      <c r="P94" s="5" t="s">
        <v>200</v>
      </c>
      <c r="Q94" s="5" t="s">
        <v>202</v>
      </c>
      <c r="R94" s="5" t="s">
        <v>199</v>
      </c>
      <c r="S94" s="5" t="s">
        <v>202</v>
      </c>
      <c r="T94" s="5" t="s">
        <v>202</v>
      </c>
      <c r="U94" s="5" t="s">
        <v>202</v>
      </c>
      <c r="V94" s="5" t="s">
        <v>202</v>
      </c>
      <c r="W94" s="5" t="s">
        <v>202</v>
      </c>
      <c r="X94" s="5" t="s">
        <v>202</v>
      </c>
      <c r="Y94" s="5" t="s">
        <v>202</v>
      </c>
      <c r="Z94" s="5" t="s">
        <v>202</v>
      </c>
      <c r="AA94" s="5" t="s">
        <v>202</v>
      </c>
      <c r="AB94" s="5" t="s">
        <v>198</v>
      </c>
      <c r="AC94" s="5" t="s">
        <v>202</v>
      </c>
      <c r="AD94" s="5" t="s">
        <v>200</v>
      </c>
      <c r="AE94" s="5" t="s">
        <v>413</v>
      </c>
      <c r="AF94" s="5" t="s">
        <v>206</v>
      </c>
      <c r="AG94" s="5" t="s">
        <v>202</v>
      </c>
      <c r="AH94" s="5" t="s">
        <v>202</v>
      </c>
      <c r="AI94" s="5" t="s">
        <v>202</v>
      </c>
      <c r="AJ94" s="5" t="s">
        <v>202</v>
      </c>
      <c r="AK94" s="5" t="s">
        <v>202</v>
      </c>
      <c r="AL94" s="5" t="s">
        <v>202</v>
      </c>
      <c r="AM94" s="5" t="s">
        <v>413</v>
      </c>
      <c r="AN94" s="5" t="s">
        <v>206</v>
      </c>
      <c r="AO94" s="5" t="s">
        <v>202</v>
      </c>
      <c r="AP94" s="5" t="s">
        <v>202</v>
      </c>
      <c r="AQ94" s="5" t="s">
        <v>200</v>
      </c>
      <c r="AR94" s="5" t="s">
        <v>208</v>
      </c>
      <c r="AS94" s="5" t="s">
        <v>208</v>
      </c>
      <c r="AT94" s="5" t="s">
        <v>208</v>
      </c>
      <c r="AU94" s="5" t="s">
        <v>208</v>
      </c>
      <c r="AV94" s="5" t="s">
        <v>413</v>
      </c>
    </row>
    <row r="95">
      <c r="A95" s="7">
        <v>45869.18263888889</v>
      </c>
      <c r="B95" s="7">
        <v>45869.19236111111</v>
      </c>
      <c r="C95" s="5" t="s">
        <v>99</v>
      </c>
      <c r="D95" s="5" t="s">
        <v>192</v>
      </c>
      <c r="E95" s="8">
        <v>100.0</v>
      </c>
      <c r="F95" s="8">
        <v>808.0</v>
      </c>
      <c r="G95" s="9" t="b">
        <v>1</v>
      </c>
      <c r="H95" s="7">
        <v>45869.19236111111</v>
      </c>
      <c r="I95" s="5" t="s">
        <v>612</v>
      </c>
      <c r="J95" s="8">
        <v>60.1816</v>
      </c>
      <c r="K95" s="8">
        <v>24.8368</v>
      </c>
      <c r="L95" s="5" t="s">
        <v>194</v>
      </c>
      <c r="M95" s="5" t="s">
        <v>195</v>
      </c>
      <c r="N95" s="5" t="s">
        <v>582</v>
      </c>
      <c r="O95" s="5" t="s">
        <v>263</v>
      </c>
      <c r="P95" s="5" t="s">
        <v>201</v>
      </c>
      <c r="Q95" s="5" t="s">
        <v>200</v>
      </c>
      <c r="R95" s="5" t="s">
        <v>199</v>
      </c>
      <c r="S95" s="5" t="s">
        <v>201</v>
      </c>
      <c r="T95" s="5" t="s">
        <v>201</v>
      </c>
      <c r="U95" s="5" t="s">
        <v>200</v>
      </c>
      <c r="V95" s="5" t="s">
        <v>200</v>
      </c>
      <c r="W95" s="5" t="s">
        <v>202</v>
      </c>
      <c r="X95" s="5" t="s">
        <v>202</v>
      </c>
      <c r="Y95" s="5" t="s">
        <v>200</v>
      </c>
      <c r="Z95" s="5" t="s">
        <v>202</v>
      </c>
      <c r="AA95" s="5" t="s">
        <v>200</v>
      </c>
      <c r="AB95" s="5" t="s">
        <v>208</v>
      </c>
      <c r="AC95" s="5" t="s">
        <v>202</v>
      </c>
      <c r="AD95" s="5" t="s">
        <v>200</v>
      </c>
      <c r="AE95" s="5" t="s">
        <v>613</v>
      </c>
      <c r="AF95" s="5" t="s">
        <v>206</v>
      </c>
      <c r="AG95" s="5" t="s">
        <v>201</v>
      </c>
      <c r="AH95" s="5" t="s">
        <v>201</v>
      </c>
      <c r="AI95" s="5" t="s">
        <v>201</v>
      </c>
      <c r="AJ95" s="5" t="s">
        <v>201</v>
      </c>
      <c r="AK95" s="5" t="s">
        <v>201</v>
      </c>
      <c r="AL95" s="5" t="s">
        <v>201</v>
      </c>
      <c r="AM95" s="5" t="s">
        <v>614</v>
      </c>
      <c r="AN95" s="5" t="s">
        <v>206</v>
      </c>
      <c r="AO95" s="5" t="s">
        <v>201</v>
      </c>
      <c r="AP95" s="5" t="s">
        <v>202</v>
      </c>
      <c r="AQ95" s="5" t="s">
        <v>201</v>
      </c>
      <c r="AR95" s="5" t="s">
        <v>204</v>
      </c>
      <c r="AS95" s="5" t="s">
        <v>204</v>
      </c>
      <c r="AT95" s="5" t="s">
        <v>204</v>
      </c>
      <c r="AU95" s="5" t="s">
        <v>204</v>
      </c>
      <c r="AV95" s="5" t="s">
        <v>615</v>
      </c>
    </row>
    <row r="96">
      <c r="A96" s="7">
        <v>45869.18819444445</v>
      </c>
      <c r="B96" s="7">
        <v>45869.20347222222</v>
      </c>
      <c r="C96" s="5" t="s">
        <v>99</v>
      </c>
      <c r="D96" s="5" t="s">
        <v>389</v>
      </c>
      <c r="E96" s="8">
        <v>100.0</v>
      </c>
      <c r="F96" s="8">
        <v>1307.0</v>
      </c>
      <c r="G96" s="9" t="b">
        <v>1</v>
      </c>
      <c r="H96" s="7">
        <v>45869.20347222222</v>
      </c>
      <c r="I96" s="5" t="s">
        <v>616</v>
      </c>
      <c r="J96" s="8">
        <v>60.1816</v>
      </c>
      <c r="K96" s="8">
        <v>24.8368</v>
      </c>
      <c r="L96" s="5" t="s">
        <v>194</v>
      </c>
      <c r="M96" s="5" t="s">
        <v>195</v>
      </c>
      <c r="N96" s="5" t="s">
        <v>602</v>
      </c>
      <c r="O96" s="5" t="s">
        <v>211</v>
      </c>
      <c r="P96" s="5" t="s">
        <v>198</v>
      </c>
      <c r="Q96" s="5" t="s">
        <v>198</v>
      </c>
      <c r="R96" s="5" t="s">
        <v>199</v>
      </c>
      <c r="S96" s="5" t="s">
        <v>202</v>
      </c>
      <c r="T96" s="5" t="s">
        <v>200</v>
      </c>
      <c r="U96" s="5" t="s">
        <v>198</v>
      </c>
      <c r="V96" s="5" t="s">
        <v>198</v>
      </c>
      <c r="W96" s="5" t="s">
        <v>198</v>
      </c>
      <c r="X96" s="5" t="s">
        <v>200</v>
      </c>
      <c r="Y96" s="5" t="s">
        <v>200</v>
      </c>
      <c r="Z96" s="5" t="s">
        <v>202</v>
      </c>
      <c r="AA96" s="5" t="s">
        <v>198</v>
      </c>
      <c r="AB96" s="5" t="s">
        <v>198</v>
      </c>
      <c r="AC96" s="5" t="s">
        <v>200</v>
      </c>
      <c r="AD96" s="5" t="s">
        <v>202</v>
      </c>
      <c r="AE96" s="5" t="s">
        <v>617</v>
      </c>
      <c r="AF96" s="5" t="s">
        <v>206</v>
      </c>
      <c r="AG96" s="5" t="s">
        <v>202</v>
      </c>
      <c r="AH96" s="5" t="s">
        <v>200</v>
      </c>
      <c r="AI96" s="5" t="s">
        <v>198</v>
      </c>
      <c r="AJ96" s="5" t="s">
        <v>198</v>
      </c>
      <c r="AK96" s="5" t="s">
        <v>198</v>
      </c>
      <c r="AL96" s="5" t="s">
        <v>198</v>
      </c>
      <c r="AM96" s="5" t="s">
        <v>618</v>
      </c>
      <c r="AN96" s="5" t="s">
        <v>206</v>
      </c>
      <c r="AO96" s="5" t="s">
        <v>200</v>
      </c>
      <c r="AP96" s="5" t="s">
        <v>202</v>
      </c>
      <c r="AQ96" s="5" t="s">
        <v>200</v>
      </c>
      <c r="AR96" s="5" t="s">
        <v>204</v>
      </c>
      <c r="AS96" s="5" t="s">
        <v>204</v>
      </c>
      <c r="AT96" s="5" t="s">
        <v>204</v>
      </c>
      <c r="AU96" s="5" t="s">
        <v>204</v>
      </c>
      <c r="AV96" s="5" t="s">
        <v>619</v>
      </c>
    </row>
    <row r="97">
      <c r="A97" s="7">
        <v>45869.19652777778</v>
      </c>
      <c r="B97" s="7">
        <v>45869.20416666667</v>
      </c>
      <c r="C97" s="5" t="s">
        <v>99</v>
      </c>
      <c r="D97" s="5" t="s">
        <v>490</v>
      </c>
      <c r="E97" s="8">
        <v>100.0</v>
      </c>
      <c r="F97" s="8">
        <v>677.0</v>
      </c>
      <c r="G97" s="9" t="b">
        <v>1</v>
      </c>
      <c r="H97" s="7">
        <v>45869.20416666667</v>
      </c>
      <c r="I97" s="5" t="s">
        <v>620</v>
      </c>
      <c r="J97" s="8">
        <v>60.1816</v>
      </c>
      <c r="K97" s="8">
        <v>24.8368</v>
      </c>
      <c r="L97" s="5" t="s">
        <v>194</v>
      </c>
      <c r="M97" s="5" t="s">
        <v>195</v>
      </c>
      <c r="N97" s="5" t="s">
        <v>582</v>
      </c>
      <c r="O97" s="5" t="s">
        <v>216</v>
      </c>
      <c r="P97" s="5" t="s">
        <v>201</v>
      </c>
      <c r="Q97" s="5" t="s">
        <v>203</v>
      </c>
      <c r="R97" s="5" t="s">
        <v>199</v>
      </c>
      <c r="S97" s="5" t="s">
        <v>201</v>
      </c>
      <c r="T97" s="5" t="s">
        <v>201</v>
      </c>
      <c r="U97" s="5" t="s">
        <v>198</v>
      </c>
      <c r="V97" s="5" t="s">
        <v>202</v>
      </c>
      <c r="W97" s="5" t="s">
        <v>202</v>
      </c>
      <c r="X97" s="5" t="s">
        <v>202</v>
      </c>
      <c r="Y97" s="5" t="s">
        <v>202</v>
      </c>
      <c r="Z97" s="5" t="s">
        <v>202</v>
      </c>
      <c r="AA97" s="5" t="s">
        <v>198</v>
      </c>
      <c r="AB97" s="5" t="s">
        <v>204</v>
      </c>
      <c r="AC97" s="5" t="s">
        <v>202</v>
      </c>
      <c r="AD97" s="5" t="s">
        <v>203</v>
      </c>
      <c r="AE97" s="5" t="s">
        <v>621</v>
      </c>
      <c r="AF97" s="5" t="s">
        <v>206</v>
      </c>
      <c r="AG97" s="5" t="s">
        <v>202</v>
      </c>
      <c r="AH97" s="5" t="s">
        <v>202</v>
      </c>
      <c r="AI97" s="5" t="s">
        <v>201</v>
      </c>
      <c r="AJ97" s="5" t="s">
        <v>202</v>
      </c>
      <c r="AK97" s="5" t="s">
        <v>201</v>
      </c>
      <c r="AL97" s="5" t="s">
        <v>201</v>
      </c>
      <c r="AM97" s="5" t="s">
        <v>622</v>
      </c>
      <c r="AN97" s="5" t="s">
        <v>206</v>
      </c>
      <c r="AO97" s="5" t="s">
        <v>201</v>
      </c>
      <c r="AP97" s="5" t="s">
        <v>201</v>
      </c>
      <c r="AQ97" s="5" t="s">
        <v>201</v>
      </c>
      <c r="AR97" s="5" t="s">
        <v>204</v>
      </c>
      <c r="AS97" s="5" t="s">
        <v>204</v>
      </c>
      <c r="AT97" s="5" t="s">
        <v>204</v>
      </c>
      <c r="AU97" s="5" t="s">
        <v>204</v>
      </c>
      <c r="AV97" s="5" t="s">
        <v>623</v>
      </c>
    </row>
    <row r="98">
      <c r="A98" s="7">
        <v>45869.19930555556</v>
      </c>
      <c r="B98" s="7">
        <v>45869.20763888889</v>
      </c>
      <c r="C98" s="5" t="s">
        <v>99</v>
      </c>
      <c r="D98" s="5" t="s">
        <v>529</v>
      </c>
      <c r="E98" s="8">
        <v>100.0</v>
      </c>
      <c r="F98" s="8">
        <v>726.0</v>
      </c>
      <c r="G98" s="9" t="b">
        <v>1</v>
      </c>
      <c r="H98" s="7">
        <v>45869.20763888889</v>
      </c>
      <c r="I98" s="5" t="s">
        <v>624</v>
      </c>
      <c r="J98" s="8">
        <v>60.1816</v>
      </c>
      <c r="K98" s="8">
        <v>24.8368</v>
      </c>
      <c r="L98" s="5" t="s">
        <v>194</v>
      </c>
      <c r="M98" s="5" t="s">
        <v>195</v>
      </c>
      <c r="N98" s="5" t="s">
        <v>607</v>
      </c>
      <c r="O98" s="5" t="s">
        <v>263</v>
      </c>
      <c r="P98" s="5" t="s">
        <v>200</v>
      </c>
      <c r="Q98" s="5" t="s">
        <v>200</v>
      </c>
      <c r="R98" s="5" t="s">
        <v>199</v>
      </c>
      <c r="S98" s="5" t="s">
        <v>208</v>
      </c>
      <c r="T98" s="5" t="s">
        <v>200</v>
      </c>
      <c r="U98" s="5" t="s">
        <v>203</v>
      </c>
      <c r="V98" s="5" t="s">
        <v>200</v>
      </c>
      <c r="W98" s="5" t="s">
        <v>200</v>
      </c>
      <c r="X98" s="5" t="s">
        <v>200</v>
      </c>
      <c r="Y98" s="5" t="s">
        <v>200</v>
      </c>
      <c r="Z98" s="5" t="s">
        <v>208</v>
      </c>
      <c r="AA98" s="5" t="s">
        <v>200</v>
      </c>
      <c r="AB98" s="5" t="s">
        <v>200</v>
      </c>
      <c r="AC98" s="5" t="s">
        <v>200</v>
      </c>
      <c r="AD98" s="5" t="s">
        <v>201</v>
      </c>
      <c r="AE98" s="5" t="s">
        <v>625</v>
      </c>
      <c r="AF98" s="5" t="s">
        <v>206</v>
      </c>
      <c r="AG98" s="5" t="s">
        <v>198</v>
      </c>
      <c r="AH98" s="5" t="s">
        <v>200</v>
      </c>
      <c r="AI98" s="5" t="s">
        <v>198</v>
      </c>
      <c r="AJ98" s="5" t="s">
        <v>201</v>
      </c>
      <c r="AK98" s="5" t="s">
        <v>202</v>
      </c>
      <c r="AL98" s="5" t="s">
        <v>202</v>
      </c>
      <c r="AM98" s="5" t="s">
        <v>626</v>
      </c>
      <c r="AN98" s="5" t="s">
        <v>206</v>
      </c>
      <c r="AO98" s="5" t="s">
        <v>200</v>
      </c>
      <c r="AP98" s="5" t="s">
        <v>200</v>
      </c>
      <c r="AQ98" s="5" t="s">
        <v>208</v>
      </c>
      <c r="AR98" s="5" t="s">
        <v>202</v>
      </c>
      <c r="AS98" s="5" t="s">
        <v>208</v>
      </c>
      <c r="AT98" s="5" t="s">
        <v>201</v>
      </c>
      <c r="AU98" s="5" t="s">
        <v>198</v>
      </c>
      <c r="AV98" s="5" t="s">
        <v>627</v>
      </c>
    </row>
    <row r="99">
      <c r="A99" s="7">
        <v>45869.209027777775</v>
      </c>
      <c r="B99" s="7">
        <v>45869.21388888889</v>
      </c>
      <c r="C99" s="5" t="s">
        <v>99</v>
      </c>
      <c r="D99" s="5" t="s">
        <v>383</v>
      </c>
      <c r="E99" s="8">
        <v>100.0</v>
      </c>
      <c r="F99" s="8">
        <v>417.0</v>
      </c>
      <c r="G99" s="9" t="b">
        <v>1</v>
      </c>
      <c r="H99" s="7">
        <v>45869.21388888889</v>
      </c>
      <c r="I99" s="5" t="s">
        <v>628</v>
      </c>
      <c r="J99" s="8">
        <v>60.1816</v>
      </c>
      <c r="K99" s="8">
        <v>24.8368</v>
      </c>
      <c r="L99" s="5" t="s">
        <v>194</v>
      </c>
      <c r="M99" s="5" t="s">
        <v>195</v>
      </c>
      <c r="N99" s="5" t="s">
        <v>595</v>
      </c>
      <c r="O99" s="5" t="s">
        <v>197</v>
      </c>
      <c r="P99" s="5" t="s">
        <v>202</v>
      </c>
      <c r="Q99" s="5" t="s">
        <v>202</v>
      </c>
      <c r="R99" s="5" t="s">
        <v>199</v>
      </c>
      <c r="S99" s="5" t="s">
        <v>200</v>
      </c>
      <c r="T99" s="5" t="s">
        <v>200</v>
      </c>
      <c r="U99" s="5" t="s">
        <v>198</v>
      </c>
      <c r="V99" s="5" t="s">
        <v>202</v>
      </c>
      <c r="W99" s="5" t="s">
        <v>202</v>
      </c>
      <c r="X99" s="5" t="s">
        <v>202</v>
      </c>
      <c r="Y99" s="5" t="s">
        <v>198</v>
      </c>
      <c r="Z99" s="5" t="s">
        <v>202</v>
      </c>
      <c r="AA99" s="5" t="s">
        <v>202</v>
      </c>
      <c r="AB99" s="5" t="s">
        <v>198</v>
      </c>
      <c r="AC99" s="5" t="s">
        <v>200</v>
      </c>
      <c r="AD99" s="5" t="s">
        <v>198</v>
      </c>
      <c r="AE99" s="5" t="s">
        <v>413</v>
      </c>
      <c r="AF99" s="5" t="s">
        <v>206</v>
      </c>
      <c r="AG99" s="5" t="s">
        <v>202</v>
      </c>
      <c r="AH99" s="5" t="s">
        <v>202</v>
      </c>
      <c r="AI99" s="5" t="s">
        <v>202</v>
      </c>
      <c r="AJ99" s="5" t="s">
        <v>202</v>
      </c>
      <c r="AK99" s="5" t="s">
        <v>202</v>
      </c>
      <c r="AL99" s="5" t="s">
        <v>202</v>
      </c>
      <c r="AM99" s="5" t="s">
        <v>413</v>
      </c>
      <c r="AN99" s="5" t="s">
        <v>206</v>
      </c>
      <c r="AO99" s="5" t="s">
        <v>202</v>
      </c>
      <c r="AP99" s="5" t="s">
        <v>200</v>
      </c>
      <c r="AQ99" s="5" t="s">
        <v>200</v>
      </c>
      <c r="AR99" s="5" t="s">
        <v>198</v>
      </c>
      <c r="AS99" s="5" t="s">
        <v>198</v>
      </c>
      <c r="AT99" s="5" t="s">
        <v>200</v>
      </c>
      <c r="AU99" s="5" t="s">
        <v>203</v>
      </c>
      <c r="AV99" s="5" t="s">
        <v>413</v>
      </c>
    </row>
    <row r="100">
      <c r="A100" s="7">
        <v>45869.205555555556</v>
      </c>
      <c r="B100" s="7">
        <v>45869.217361111114</v>
      </c>
      <c r="C100" s="5" t="s">
        <v>99</v>
      </c>
      <c r="D100" s="5" t="s">
        <v>389</v>
      </c>
      <c r="E100" s="8">
        <v>100.0</v>
      </c>
      <c r="F100" s="8">
        <v>1053.0</v>
      </c>
      <c r="G100" s="9" t="b">
        <v>1</v>
      </c>
      <c r="H100" s="7">
        <v>45869.217361111114</v>
      </c>
      <c r="I100" s="5" t="s">
        <v>629</v>
      </c>
      <c r="J100" s="8">
        <v>60.1816</v>
      </c>
      <c r="K100" s="8">
        <v>24.8368</v>
      </c>
      <c r="L100" s="5" t="s">
        <v>194</v>
      </c>
      <c r="M100" s="5" t="s">
        <v>195</v>
      </c>
      <c r="N100" s="5" t="s">
        <v>602</v>
      </c>
      <c r="O100" s="5" t="s">
        <v>216</v>
      </c>
      <c r="P100" s="5" t="s">
        <v>198</v>
      </c>
      <c r="Q100" s="5" t="s">
        <v>208</v>
      </c>
      <c r="R100" s="5" t="s">
        <v>199</v>
      </c>
      <c r="S100" s="5" t="s">
        <v>202</v>
      </c>
      <c r="T100" s="5" t="s">
        <v>200</v>
      </c>
      <c r="U100" s="5" t="s">
        <v>208</v>
      </c>
      <c r="V100" s="5" t="s">
        <v>208</v>
      </c>
      <c r="W100" s="5" t="s">
        <v>200</v>
      </c>
      <c r="X100" s="5" t="s">
        <v>200</v>
      </c>
      <c r="Y100" s="5" t="s">
        <v>200</v>
      </c>
      <c r="Z100" s="5" t="s">
        <v>202</v>
      </c>
      <c r="AA100" s="5" t="s">
        <v>208</v>
      </c>
      <c r="AB100" s="5" t="s">
        <v>208</v>
      </c>
      <c r="AC100" s="5" t="s">
        <v>198</v>
      </c>
      <c r="AD100" s="5" t="s">
        <v>202</v>
      </c>
      <c r="AE100" s="5" t="s">
        <v>630</v>
      </c>
      <c r="AF100" s="5" t="s">
        <v>206</v>
      </c>
      <c r="AG100" s="5" t="s">
        <v>200</v>
      </c>
      <c r="AH100" s="5" t="s">
        <v>198</v>
      </c>
      <c r="AI100" s="5" t="s">
        <v>198</v>
      </c>
      <c r="AJ100" s="5" t="s">
        <v>208</v>
      </c>
      <c r="AK100" s="5" t="s">
        <v>208</v>
      </c>
      <c r="AL100" s="5" t="s">
        <v>208</v>
      </c>
      <c r="AM100" s="5" t="s">
        <v>631</v>
      </c>
      <c r="AN100" s="5" t="s">
        <v>206</v>
      </c>
      <c r="AO100" s="5" t="s">
        <v>200</v>
      </c>
      <c r="AP100" s="5" t="s">
        <v>202</v>
      </c>
      <c r="AQ100" s="5" t="s">
        <v>198</v>
      </c>
      <c r="AR100" s="5" t="s">
        <v>204</v>
      </c>
      <c r="AS100" s="5" t="s">
        <v>204</v>
      </c>
      <c r="AT100" s="5" t="s">
        <v>204</v>
      </c>
      <c r="AU100" s="5" t="s">
        <v>204</v>
      </c>
      <c r="AV100" s="5" t="s">
        <v>632</v>
      </c>
    </row>
    <row r="101">
      <c r="A101" s="7">
        <v>45869.21388888889</v>
      </c>
      <c r="B101" s="7">
        <v>45869.21805555555</v>
      </c>
      <c r="C101" s="5" t="s">
        <v>99</v>
      </c>
      <c r="D101" s="5" t="s">
        <v>490</v>
      </c>
      <c r="E101" s="8">
        <v>100.0</v>
      </c>
      <c r="F101" s="8">
        <v>315.0</v>
      </c>
      <c r="G101" s="9" t="b">
        <v>1</v>
      </c>
      <c r="H101" s="7">
        <v>45869.21805555555</v>
      </c>
      <c r="I101" s="5" t="s">
        <v>633</v>
      </c>
      <c r="J101" s="8">
        <v>60.1816</v>
      </c>
      <c r="K101" s="8">
        <v>24.8368</v>
      </c>
      <c r="L101" s="5" t="s">
        <v>194</v>
      </c>
      <c r="M101" s="5" t="s">
        <v>195</v>
      </c>
      <c r="N101" s="5" t="s">
        <v>634</v>
      </c>
      <c r="O101" s="5" t="s">
        <v>216</v>
      </c>
      <c r="P101" s="5" t="s">
        <v>208</v>
      </c>
      <c r="Q101" s="5" t="s">
        <v>204</v>
      </c>
      <c r="R101" s="5" t="s">
        <v>199</v>
      </c>
      <c r="S101" s="5" t="s">
        <v>203</v>
      </c>
      <c r="T101" s="5" t="s">
        <v>203</v>
      </c>
      <c r="U101" s="5" t="s">
        <v>204</v>
      </c>
      <c r="V101" s="5" t="s">
        <v>204</v>
      </c>
      <c r="W101" s="5" t="s">
        <v>204</v>
      </c>
      <c r="X101" s="5" t="s">
        <v>200</v>
      </c>
      <c r="Y101" s="5" t="s">
        <v>202</v>
      </c>
      <c r="Z101" s="5" t="s">
        <v>202</v>
      </c>
      <c r="AA101" s="5" t="s">
        <v>208</v>
      </c>
      <c r="AB101" s="5" t="s">
        <v>208</v>
      </c>
      <c r="AC101" s="5" t="s">
        <v>203</v>
      </c>
      <c r="AD101" s="5" t="s">
        <v>201</v>
      </c>
      <c r="AE101" s="5" t="s">
        <v>635</v>
      </c>
      <c r="AF101" s="5" t="s">
        <v>206</v>
      </c>
      <c r="AG101" s="5" t="s">
        <v>203</v>
      </c>
      <c r="AH101" s="5" t="s">
        <v>200</v>
      </c>
      <c r="AI101" s="5" t="s">
        <v>200</v>
      </c>
      <c r="AJ101" s="5" t="s">
        <v>200</v>
      </c>
      <c r="AK101" s="5" t="s">
        <v>203</v>
      </c>
      <c r="AL101" s="5" t="s">
        <v>200</v>
      </c>
      <c r="AM101" s="5" t="s">
        <v>636</v>
      </c>
      <c r="AN101" s="5" t="s">
        <v>206</v>
      </c>
      <c r="AO101" s="5" t="s">
        <v>202</v>
      </c>
      <c r="AP101" s="5" t="s">
        <v>202</v>
      </c>
      <c r="AQ101" s="5" t="s">
        <v>202</v>
      </c>
      <c r="AR101" s="5" t="s">
        <v>200</v>
      </c>
      <c r="AS101" s="5" t="s">
        <v>208</v>
      </c>
      <c r="AT101" s="5" t="s">
        <v>198</v>
      </c>
      <c r="AU101" s="5" t="s">
        <v>208</v>
      </c>
      <c r="AV101" s="5" t="s">
        <v>637</v>
      </c>
    </row>
    <row r="102">
      <c r="A102" s="7">
        <v>45869.21527777778</v>
      </c>
      <c r="B102" s="7">
        <v>45869.22083333333</v>
      </c>
      <c r="C102" s="5" t="s">
        <v>99</v>
      </c>
      <c r="D102" s="5" t="s">
        <v>529</v>
      </c>
      <c r="E102" s="8">
        <v>100.0</v>
      </c>
      <c r="F102" s="8">
        <v>494.0</v>
      </c>
      <c r="G102" s="9" t="b">
        <v>1</v>
      </c>
      <c r="H102" s="7">
        <v>45869.22083333333</v>
      </c>
      <c r="I102" s="5" t="s">
        <v>638</v>
      </c>
      <c r="J102" s="8">
        <v>60.1816</v>
      </c>
      <c r="K102" s="8">
        <v>24.8368</v>
      </c>
      <c r="L102" s="5" t="s">
        <v>194</v>
      </c>
      <c r="M102" s="5" t="s">
        <v>195</v>
      </c>
      <c r="N102" s="5" t="s">
        <v>607</v>
      </c>
      <c r="O102" s="5" t="s">
        <v>197</v>
      </c>
      <c r="P102" s="5" t="s">
        <v>203</v>
      </c>
      <c r="Q102" s="5" t="s">
        <v>204</v>
      </c>
      <c r="R102" s="5" t="s">
        <v>199</v>
      </c>
      <c r="S102" s="5" t="s">
        <v>204</v>
      </c>
      <c r="T102" s="5" t="s">
        <v>204</v>
      </c>
      <c r="U102" s="5" t="s">
        <v>204</v>
      </c>
      <c r="V102" s="5" t="s">
        <v>203</v>
      </c>
      <c r="W102" s="5" t="s">
        <v>204</v>
      </c>
      <c r="X102" s="5" t="s">
        <v>203</v>
      </c>
      <c r="Y102" s="5" t="s">
        <v>204</v>
      </c>
      <c r="Z102" s="5" t="s">
        <v>204</v>
      </c>
      <c r="AA102" s="5" t="s">
        <v>203</v>
      </c>
      <c r="AB102" s="5" t="s">
        <v>204</v>
      </c>
      <c r="AC102" s="5" t="s">
        <v>204</v>
      </c>
      <c r="AD102" s="5" t="s">
        <v>204</v>
      </c>
      <c r="AE102" s="5" t="s">
        <v>639</v>
      </c>
      <c r="AF102" s="5" t="s">
        <v>206</v>
      </c>
      <c r="AG102" s="5" t="s">
        <v>204</v>
      </c>
      <c r="AH102" s="5" t="s">
        <v>204</v>
      </c>
      <c r="AI102" s="5" t="s">
        <v>204</v>
      </c>
      <c r="AJ102" s="5" t="s">
        <v>203</v>
      </c>
      <c r="AK102" s="5" t="s">
        <v>200</v>
      </c>
      <c r="AL102" s="5" t="s">
        <v>204</v>
      </c>
      <c r="AM102" s="5" t="s">
        <v>640</v>
      </c>
      <c r="AN102" s="5" t="s">
        <v>206</v>
      </c>
      <c r="AO102" s="5" t="s">
        <v>204</v>
      </c>
      <c r="AP102" s="5" t="s">
        <v>204</v>
      </c>
      <c r="AQ102" s="5" t="s">
        <v>204</v>
      </c>
      <c r="AR102" s="5" t="s">
        <v>200</v>
      </c>
      <c r="AS102" s="5" t="s">
        <v>203</v>
      </c>
      <c r="AT102" s="5" t="s">
        <v>201</v>
      </c>
      <c r="AU102" s="5" t="s">
        <v>200</v>
      </c>
      <c r="AV102" s="11" t="s">
        <v>641</v>
      </c>
    </row>
    <row r="103">
      <c r="A103" s="7">
        <v>45869.22361111111</v>
      </c>
      <c r="B103" s="7">
        <v>45869.22777777778</v>
      </c>
      <c r="C103" s="5" t="s">
        <v>99</v>
      </c>
      <c r="D103" s="5" t="s">
        <v>490</v>
      </c>
      <c r="E103" s="8">
        <v>100.0</v>
      </c>
      <c r="F103" s="8">
        <v>359.0</v>
      </c>
      <c r="G103" s="9" t="b">
        <v>1</v>
      </c>
      <c r="H103" s="7">
        <v>45869.22777777778</v>
      </c>
      <c r="I103" s="5" t="s">
        <v>642</v>
      </c>
      <c r="J103" s="8">
        <v>60.1816</v>
      </c>
      <c r="K103" s="8">
        <v>24.8368</v>
      </c>
      <c r="L103" s="5" t="s">
        <v>194</v>
      </c>
      <c r="M103" s="5" t="s">
        <v>195</v>
      </c>
      <c r="N103" s="5" t="s">
        <v>634</v>
      </c>
      <c r="O103" s="5" t="s">
        <v>211</v>
      </c>
      <c r="P103" s="5" t="s">
        <v>208</v>
      </c>
      <c r="Q103" s="5" t="s">
        <v>208</v>
      </c>
      <c r="R103" s="5" t="s">
        <v>199</v>
      </c>
      <c r="S103" s="5" t="s">
        <v>202</v>
      </c>
      <c r="T103" s="5" t="s">
        <v>202</v>
      </c>
      <c r="U103" s="5" t="s">
        <v>208</v>
      </c>
      <c r="V103" s="5" t="s">
        <v>208</v>
      </c>
      <c r="W103" s="5" t="s">
        <v>198</v>
      </c>
      <c r="X103" s="5" t="s">
        <v>202</v>
      </c>
      <c r="Y103" s="5" t="s">
        <v>202</v>
      </c>
      <c r="Z103" s="5" t="s">
        <v>202</v>
      </c>
      <c r="AA103" s="5" t="s">
        <v>208</v>
      </c>
      <c r="AB103" s="5" t="s">
        <v>200</v>
      </c>
      <c r="AC103" s="5" t="s">
        <v>202</v>
      </c>
      <c r="AD103" s="5" t="s">
        <v>202</v>
      </c>
      <c r="AE103" s="5" t="s">
        <v>643</v>
      </c>
      <c r="AF103" s="5" t="s">
        <v>206</v>
      </c>
      <c r="AG103" s="5" t="s">
        <v>202</v>
      </c>
      <c r="AH103" s="5" t="s">
        <v>201</v>
      </c>
      <c r="AI103" s="5" t="s">
        <v>201</v>
      </c>
      <c r="AJ103" s="5" t="s">
        <v>202</v>
      </c>
      <c r="AK103" s="5" t="s">
        <v>203</v>
      </c>
      <c r="AL103" s="5" t="s">
        <v>202</v>
      </c>
      <c r="AM103" s="5" t="s">
        <v>644</v>
      </c>
      <c r="AN103" s="5" t="s">
        <v>206</v>
      </c>
      <c r="AO103" s="5" t="s">
        <v>202</v>
      </c>
      <c r="AP103" s="5" t="s">
        <v>202</v>
      </c>
      <c r="AQ103" s="5" t="s">
        <v>202</v>
      </c>
      <c r="AR103" s="5" t="s">
        <v>208</v>
      </c>
      <c r="AS103" s="5" t="s">
        <v>208</v>
      </c>
      <c r="AT103" s="5" t="s">
        <v>208</v>
      </c>
      <c r="AU103" s="5" t="s">
        <v>208</v>
      </c>
      <c r="AV103" s="5" t="s">
        <v>645</v>
      </c>
    </row>
    <row r="104">
      <c r="A104" s="7">
        <v>45869.222916666666</v>
      </c>
      <c r="B104" s="7">
        <v>45869.23263888889</v>
      </c>
      <c r="C104" s="5" t="s">
        <v>99</v>
      </c>
      <c r="D104" s="5" t="s">
        <v>389</v>
      </c>
      <c r="E104" s="8">
        <v>100.0</v>
      </c>
      <c r="F104" s="8">
        <v>824.0</v>
      </c>
      <c r="G104" s="9" t="b">
        <v>1</v>
      </c>
      <c r="H104" s="7">
        <v>45869.23263888889</v>
      </c>
      <c r="I104" s="5" t="s">
        <v>646</v>
      </c>
      <c r="J104" s="8">
        <v>60.1816</v>
      </c>
      <c r="K104" s="8">
        <v>24.8368</v>
      </c>
      <c r="L104" s="5" t="s">
        <v>194</v>
      </c>
      <c r="M104" s="5" t="s">
        <v>195</v>
      </c>
      <c r="N104" s="5" t="s">
        <v>602</v>
      </c>
      <c r="O104" s="5" t="s">
        <v>263</v>
      </c>
      <c r="P104" s="5" t="s">
        <v>202</v>
      </c>
      <c r="Q104" s="5" t="s">
        <v>200</v>
      </c>
      <c r="R104" s="5" t="s">
        <v>199</v>
      </c>
      <c r="S104" s="5" t="s">
        <v>202</v>
      </c>
      <c r="T104" s="5" t="s">
        <v>200</v>
      </c>
      <c r="U104" s="5" t="s">
        <v>202</v>
      </c>
      <c r="V104" s="5" t="s">
        <v>208</v>
      </c>
      <c r="W104" s="5" t="s">
        <v>198</v>
      </c>
      <c r="X104" s="5" t="s">
        <v>200</v>
      </c>
      <c r="Y104" s="5" t="s">
        <v>200</v>
      </c>
      <c r="Z104" s="5" t="s">
        <v>202</v>
      </c>
      <c r="AA104" s="5" t="s">
        <v>208</v>
      </c>
      <c r="AB104" s="5" t="s">
        <v>200</v>
      </c>
      <c r="AC104" s="5" t="s">
        <v>200</v>
      </c>
      <c r="AD104" s="5" t="s">
        <v>202</v>
      </c>
      <c r="AE104" s="5" t="s">
        <v>647</v>
      </c>
      <c r="AF104" s="5" t="s">
        <v>206</v>
      </c>
      <c r="AG104" s="5" t="s">
        <v>202</v>
      </c>
      <c r="AH104" s="5" t="s">
        <v>202</v>
      </c>
      <c r="AI104" s="5" t="s">
        <v>202</v>
      </c>
      <c r="AJ104" s="5" t="s">
        <v>200</v>
      </c>
      <c r="AK104" s="5" t="s">
        <v>202</v>
      </c>
      <c r="AL104" s="5" t="s">
        <v>202</v>
      </c>
      <c r="AM104" s="5" t="s">
        <v>648</v>
      </c>
      <c r="AN104" s="5" t="s">
        <v>206</v>
      </c>
      <c r="AO104" s="5" t="s">
        <v>202</v>
      </c>
      <c r="AP104" s="5" t="s">
        <v>202</v>
      </c>
      <c r="AQ104" s="5" t="s">
        <v>202</v>
      </c>
      <c r="AR104" s="5" t="s">
        <v>204</v>
      </c>
      <c r="AS104" s="5" t="s">
        <v>204</v>
      </c>
      <c r="AT104" s="5" t="s">
        <v>204</v>
      </c>
      <c r="AU104" s="5" t="s">
        <v>204</v>
      </c>
      <c r="AV104" s="5" t="s">
        <v>649</v>
      </c>
    </row>
    <row r="105">
      <c r="A105" s="7">
        <v>45869.22708333333</v>
      </c>
      <c r="B105" s="7">
        <v>45869.23402777778</v>
      </c>
      <c r="C105" s="5" t="s">
        <v>99</v>
      </c>
      <c r="D105" s="5" t="s">
        <v>529</v>
      </c>
      <c r="E105" s="8">
        <v>100.0</v>
      </c>
      <c r="F105" s="8">
        <v>567.0</v>
      </c>
      <c r="G105" s="9" t="b">
        <v>1</v>
      </c>
      <c r="H105" s="7">
        <v>45869.23402777778</v>
      </c>
      <c r="I105" s="5" t="s">
        <v>650</v>
      </c>
      <c r="J105" s="8">
        <v>60.1816</v>
      </c>
      <c r="K105" s="8">
        <v>24.8368</v>
      </c>
      <c r="L105" s="5" t="s">
        <v>194</v>
      </c>
      <c r="M105" s="5" t="s">
        <v>195</v>
      </c>
      <c r="N105" s="5" t="s">
        <v>607</v>
      </c>
      <c r="O105" s="5" t="s">
        <v>216</v>
      </c>
      <c r="P105" s="5" t="s">
        <v>198</v>
      </c>
      <c r="Q105" s="5" t="s">
        <v>208</v>
      </c>
      <c r="R105" s="5" t="s">
        <v>199</v>
      </c>
      <c r="S105" s="5" t="s">
        <v>203</v>
      </c>
      <c r="T105" s="5" t="s">
        <v>204</v>
      </c>
      <c r="U105" s="5" t="s">
        <v>204</v>
      </c>
      <c r="V105" s="5" t="s">
        <v>208</v>
      </c>
      <c r="W105" s="5" t="s">
        <v>208</v>
      </c>
      <c r="X105" s="5" t="s">
        <v>200</v>
      </c>
      <c r="Y105" s="5" t="s">
        <v>202</v>
      </c>
      <c r="Z105" s="5" t="s">
        <v>204</v>
      </c>
      <c r="AA105" s="5" t="s">
        <v>200</v>
      </c>
      <c r="AB105" s="5" t="s">
        <v>208</v>
      </c>
      <c r="AC105" s="5" t="s">
        <v>208</v>
      </c>
      <c r="AD105" s="5" t="s">
        <v>204</v>
      </c>
      <c r="AE105" s="5" t="s">
        <v>651</v>
      </c>
      <c r="AF105" s="5" t="s">
        <v>206</v>
      </c>
      <c r="AG105" s="5" t="s">
        <v>200</v>
      </c>
      <c r="AH105" s="5" t="s">
        <v>200</v>
      </c>
      <c r="AI105" s="5" t="s">
        <v>208</v>
      </c>
      <c r="AJ105" s="5" t="s">
        <v>200</v>
      </c>
      <c r="AK105" s="5" t="s">
        <v>208</v>
      </c>
      <c r="AL105" s="5" t="s">
        <v>202</v>
      </c>
      <c r="AM105" s="5" t="s">
        <v>652</v>
      </c>
      <c r="AN105" s="5" t="s">
        <v>206</v>
      </c>
      <c r="AO105" s="5" t="s">
        <v>208</v>
      </c>
      <c r="AP105" s="5" t="s">
        <v>198</v>
      </c>
      <c r="AQ105" s="5" t="s">
        <v>204</v>
      </c>
      <c r="AR105" s="5" t="s">
        <v>204</v>
      </c>
      <c r="AS105" s="5" t="s">
        <v>204</v>
      </c>
      <c r="AT105" s="5" t="s">
        <v>208</v>
      </c>
      <c r="AU105" s="5" t="s">
        <v>204</v>
      </c>
      <c r="AV105" s="5" t="s">
        <v>653</v>
      </c>
    </row>
    <row r="106">
      <c r="A106" s="7">
        <v>45869.23125</v>
      </c>
      <c r="B106" s="7">
        <v>45869.236805555556</v>
      </c>
      <c r="C106" s="5" t="s">
        <v>99</v>
      </c>
      <c r="D106" s="5" t="s">
        <v>490</v>
      </c>
      <c r="E106" s="8">
        <v>100.0</v>
      </c>
      <c r="F106" s="8">
        <v>480.0</v>
      </c>
      <c r="G106" s="9" t="b">
        <v>1</v>
      </c>
      <c r="H106" s="7">
        <v>45869.236805555556</v>
      </c>
      <c r="I106" s="5" t="s">
        <v>654</v>
      </c>
      <c r="J106" s="8">
        <v>60.1816</v>
      </c>
      <c r="K106" s="8">
        <v>24.8368</v>
      </c>
      <c r="L106" s="5" t="s">
        <v>194</v>
      </c>
      <c r="M106" s="5" t="s">
        <v>195</v>
      </c>
      <c r="N106" s="5" t="s">
        <v>655</v>
      </c>
      <c r="O106" s="5" t="s">
        <v>197</v>
      </c>
      <c r="P106" s="5" t="s">
        <v>200</v>
      </c>
      <c r="Q106" s="5" t="s">
        <v>208</v>
      </c>
      <c r="R106" s="5" t="s">
        <v>199</v>
      </c>
      <c r="S106" s="5" t="s">
        <v>203</v>
      </c>
      <c r="T106" s="5" t="s">
        <v>202</v>
      </c>
      <c r="U106" s="5" t="s">
        <v>200</v>
      </c>
      <c r="V106" s="5" t="s">
        <v>208</v>
      </c>
      <c r="W106" s="5" t="s">
        <v>203</v>
      </c>
      <c r="X106" s="5" t="s">
        <v>202</v>
      </c>
      <c r="Y106" s="5" t="s">
        <v>202</v>
      </c>
      <c r="Z106" s="5" t="s">
        <v>202</v>
      </c>
      <c r="AA106" s="5" t="s">
        <v>208</v>
      </c>
      <c r="AB106" s="5" t="s">
        <v>208</v>
      </c>
      <c r="AC106" s="5" t="s">
        <v>202</v>
      </c>
      <c r="AD106" s="5" t="s">
        <v>202</v>
      </c>
      <c r="AE106" s="5" t="s">
        <v>656</v>
      </c>
      <c r="AF106" s="5" t="s">
        <v>206</v>
      </c>
      <c r="AG106" s="5" t="s">
        <v>202</v>
      </c>
      <c r="AH106" s="5" t="s">
        <v>202</v>
      </c>
      <c r="AI106" s="5" t="s">
        <v>202</v>
      </c>
      <c r="AJ106" s="5" t="s">
        <v>202</v>
      </c>
      <c r="AK106" s="5" t="s">
        <v>203</v>
      </c>
      <c r="AL106" s="5" t="s">
        <v>202</v>
      </c>
      <c r="AM106" s="5" t="s">
        <v>657</v>
      </c>
      <c r="AN106" s="5" t="s">
        <v>206</v>
      </c>
      <c r="AO106" s="5" t="s">
        <v>202</v>
      </c>
      <c r="AP106" s="5" t="s">
        <v>201</v>
      </c>
      <c r="AQ106" s="5" t="s">
        <v>202</v>
      </c>
      <c r="AR106" s="5" t="s">
        <v>200</v>
      </c>
      <c r="AS106" s="5" t="s">
        <v>200</v>
      </c>
      <c r="AT106" s="5" t="s">
        <v>200</v>
      </c>
      <c r="AU106" s="5" t="s">
        <v>208</v>
      </c>
      <c r="AV106" s="5" t="s">
        <v>658</v>
      </c>
    </row>
    <row r="107">
      <c r="A107" s="7">
        <v>45869.24444444444</v>
      </c>
      <c r="B107" s="7">
        <v>45869.25069444445</v>
      </c>
      <c r="C107" s="5" t="s">
        <v>99</v>
      </c>
      <c r="D107" s="5" t="s">
        <v>490</v>
      </c>
      <c r="E107" s="8">
        <v>100.0</v>
      </c>
      <c r="F107" s="8">
        <v>539.0</v>
      </c>
      <c r="G107" s="9" t="b">
        <v>1</v>
      </c>
      <c r="H107" s="7">
        <v>45869.25069444445</v>
      </c>
      <c r="I107" s="5" t="s">
        <v>659</v>
      </c>
      <c r="J107" s="8">
        <v>60.1816</v>
      </c>
      <c r="K107" s="8">
        <v>24.8368</v>
      </c>
      <c r="L107" s="5" t="s">
        <v>194</v>
      </c>
      <c r="M107" s="5" t="s">
        <v>195</v>
      </c>
      <c r="N107" s="5" t="s">
        <v>655</v>
      </c>
      <c r="O107" s="5" t="s">
        <v>263</v>
      </c>
      <c r="P107" s="5" t="s">
        <v>200</v>
      </c>
      <c r="Q107" s="5" t="s">
        <v>208</v>
      </c>
      <c r="R107" s="5" t="s">
        <v>199</v>
      </c>
      <c r="S107" s="5" t="s">
        <v>198</v>
      </c>
      <c r="T107" s="5" t="s">
        <v>198</v>
      </c>
      <c r="U107" s="5" t="s">
        <v>203</v>
      </c>
      <c r="V107" s="5" t="s">
        <v>204</v>
      </c>
      <c r="W107" s="5" t="s">
        <v>208</v>
      </c>
      <c r="X107" s="5" t="s">
        <v>203</v>
      </c>
      <c r="Y107" s="5" t="s">
        <v>198</v>
      </c>
      <c r="Z107" s="5" t="s">
        <v>203</v>
      </c>
      <c r="AA107" s="5" t="s">
        <v>204</v>
      </c>
      <c r="AB107" s="5" t="s">
        <v>208</v>
      </c>
      <c r="AC107" s="5" t="s">
        <v>198</v>
      </c>
      <c r="AD107" s="5" t="s">
        <v>202</v>
      </c>
      <c r="AE107" s="5" t="s">
        <v>660</v>
      </c>
      <c r="AF107" s="5" t="s">
        <v>206</v>
      </c>
      <c r="AG107" s="5" t="s">
        <v>203</v>
      </c>
      <c r="AH107" s="5" t="s">
        <v>200</v>
      </c>
      <c r="AI107" s="5" t="s">
        <v>200</v>
      </c>
      <c r="AJ107" s="5" t="s">
        <v>198</v>
      </c>
      <c r="AK107" s="5" t="s">
        <v>203</v>
      </c>
      <c r="AL107" s="5" t="s">
        <v>200</v>
      </c>
      <c r="AM107" s="5" t="s">
        <v>661</v>
      </c>
      <c r="AN107" s="5" t="s">
        <v>206</v>
      </c>
      <c r="AO107" s="5" t="s">
        <v>202</v>
      </c>
      <c r="AP107" s="5" t="s">
        <v>202</v>
      </c>
      <c r="AQ107" s="5" t="s">
        <v>202</v>
      </c>
      <c r="AR107" s="5" t="s">
        <v>200</v>
      </c>
      <c r="AS107" s="5" t="s">
        <v>200</v>
      </c>
      <c r="AT107" s="5" t="s">
        <v>200</v>
      </c>
      <c r="AU107" s="5" t="s">
        <v>208</v>
      </c>
      <c r="AV107" s="5" t="s">
        <v>662</v>
      </c>
    </row>
    <row r="108">
      <c r="A108" s="7">
        <v>45869.240277777775</v>
      </c>
      <c r="B108" s="7">
        <v>45869.25347222222</v>
      </c>
      <c r="C108" s="5" t="s">
        <v>99</v>
      </c>
      <c r="D108" s="5" t="s">
        <v>389</v>
      </c>
      <c r="E108" s="8">
        <v>100.0</v>
      </c>
      <c r="F108" s="8">
        <v>1112.0</v>
      </c>
      <c r="G108" s="9" t="b">
        <v>1</v>
      </c>
      <c r="H108" s="7">
        <v>45869.25347222222</v>
      </c>
      <c r="I108" s="5" t="s">
        <v>663</v>
      </c>
      <c r="J108" s="8">
        <v>60.1816</v>
      </c>
      <c r="K108" s="8">
        <v>24.8368</v>
      </c>
      <c r="L108" s="5" t="s">
        <v>194</v>
      </c>
      <c r="M108" s="5" t="s">
        <v>195</v>
      </c>
      <c r="N108" s="5" t="s">
        <v>664</v>
      </c>
      <c r="O108" s="5" t="s">
        <v>197</v>
      </c>
      <c r="P108" s="5" t="s">
        <v>202</v>
      </c>
      <c r="Q108" s="5" t="s">
        <v>202</v>
      </c>
      <c r="R108" s="5" t="s">
        <v>199</v>
      </c>
      <c r="S108" s="5" t="s">
        <v>200</v>
      </c>
      <c r="T108" s="5" t="s">
        <v>200</v>
      </c>
      <c r="U108" s="5" t="s">
        <v>203</v>
      </c>
      <c r="V108" s="5" t="s">
        <v>200</v>
      </c>
      <c r="W108" s="5" t="s">
        <v>198</v>
      </c>
      <c r="X108" s="5" t="s">
        <v>202</v>
      </c>
      <c r="Y108" s="5" t="s">
        <v>202</v>
      </c>
      <c r="Z108" s="5" t="s">
        <v>200</v>
      </c>
      <c r="AA108" s="5" t="s">
        <v>200</v>
      </c>
      <c r="AB108" s="5" t="s">
        <v>203</v>
      </c>
      <c r="AC108" s="5" t="s">
        <v>202</v>
      </c>
      <c r="AD108" s="5" t="s">
        <v>203</v>
      </c>
      <c r="AE108" s="5" t="s">
        <v>665</v>
      </c>
      <c r="AF108" s="5" t="s">
        <v>206</v>
      </c>
      <c r="AG108" s="5" t="s">
        <v>203</v>
      </c>
      <c r="AH108" s="5" t="s">
        <v>203</v>
      </c>
      <c r="AI108" s="5" t="s">
        <v>200</v>
      </c>
      <c r="AJ108" s="5" t="s">
        <v>198</v>
      </c>
      <c r="AK108" s="5" t="s">
        <v>202</v>
      </c>
      <c r="AL108" s="5" t="s">
        <v>200</v>
      </c>
      <c r="AM108" s="5" t="s">
        <v>666</v>
      </c>
      <c r="AN108" s="5" t="s">
        <v>206</v>
      </c>
      <c r="AO108" s="5" t="s">
        <v>203</v>
      </c>
      <c r="AP108" s="5" t="s">
        <v>200</v>
      </c>
      <c r="AQ108" s="5" t="s">
        <v>201</v>
      </c>
      <c r="AR108" s="5" t="s">
        <v>204</v>
      </c>
      <c r="AS108" s="5" t="s">
        <v>204</v>
      </c>
      <c r="AT108" s="5" t="s">
        <v>208</v>
      </c>
      <c r="AU108" s="5" t="s">
        <v>204</v>
      </c>
      <c r="AV108" s="5" t="s">
        <v>667</v>
      </c>
    </row>
    <row r="109">
      <c r="A109" s="7">
        <v>45869.245833333334</v>
      </c>
      <c r="B109" s="7">
        <v>45869.263194444444</v>
      </c>
      <c r="C109" s="5" t="s">
        <v>99</v>
      </c>
      <c r="D109" s="5" t="s">
        <v>529</v>
      </c>
      <c r="E109" s="8">
        <v>100.0</v>
      </c>
      <c r="F109" s="8">
        <v>1458.0</v>
      </c>
      <c r="G109" s="9" t="b">
        <v>1</v>
      </c>
      <c r="H109" s="7">
        <v>45869.263194444444</v>
      </c>
      <c r="I109" s="5" t="s">
        <v>668</v>
      </c>
      <c r="J109" s="8">
        <v>60.1816</v>
      </c>
      <c r="K109" s="8">
        <v>24.8368</v>
      </c>
      <c r="L109" s="5" t="s">
        <v>194</v>
      </c>
      <c r="M109" s="5" t="s">
        <v>195</v>
      </c>
      <c r="N109" s="5" t="s">
        <v>669</v>
      </c>
      <c r="O109" s="5" t="s">
        <v>211</v>
      </c>
      <c r="P109" s="5" t="s">
        <v>200</v>
      </c>
      <c r="Q109" s="5" t="s">
        <v>201</v>
      </c>
      <c r="R109" s="5" t="s">
        <v>199</v>
      </c>
      <c r="S109" s="5" t="s">
        <v>202</v>
      </c>
      <c r="T109" s="5" t="s">
        <v>202</v>
      </c>
      <c r="U109" s="5" t="s">
        <v>208</v>
      </c>
      <c r="V109" s="5" t="s">
        <v>201</v>
      </c>
      <c r="W109" s="5" t="s">
        <v>201</v>
      </c>
      <c r="X109" s="5" t="s">
        <v>202</v>
      </c>
      <c r="Y109" s="5" t="s">
        <v>202</v>
      </c>
      <c r="Z109" s="5" t="s">
        <v>203</v>
      </c>
      <c r="AA109" s="5" t="s">
        <v>198</v>
      </c>
      <c r="AB109" s="5" t="s">
        <v>203</v>
      </c>
      <c r="AC109" s="5" t="s">
        <v>201</v>
      </c>
      <c r="AD109" s="5" t="s">
        <v>200</v>
      </c>
      <c r="AE109" s="5" t="s">
        <v>670</v>
      </c>
      <c r="AF109" s="5" t="s">
        <v>206</v>
      </c>
      <c r="AG109" s="5" t="s">
        <v>203</v>
      </c>
      <c r="AH109" s="5" t="s">
        <v>201</v>
      </c>
      <c r="AI109" s="5" t="s">
        <v>202</v>
      </c>
      <c r="AJ109" s="5" t="s">
        <v>201</v>
      </c>
      <c r="AK109" s="5" t="s">
        <v>202</v>
      </c>
      <c r="AL109" s="5" t="s">
        <v>201</v>
      </c>
      <c r="AM109" s="5" t="s">
        <v>671</v>
      </c>
      <c r="AN109" s="5" t="s">
        <v>206</v>
      </c>
      <c r="AO109" s="5" t="s">
        <v>201</v>
      </c>
      <c r="AP109" s="5" t="s">
        <v>198</v>
      </c>
      <c r="AQ109" s="5" t="s">
        <v>202</v>
      </c>
      <c r="AR109" s="5" t="s">
        <v>204</v>
      </c>
      <c r="AS109" s="5" t="s">
        <v>204</v>
      </c>
      <c r="AT109" s="5" t="s">
        <v>204</v>
      </c>
      <c r="AU109" s="5" t="s">
        <v>204</v>
      </c>
      <c r="AV109" s="5" t="s">
        <v>672</v>
      </c>
    </row>
    <row r="110">
      <c r="A110" s="7">
        <v>45869.25833333333</v>
      </c>
      <c r="B110" s="7">
        <v>45869.268055555556</v>
      </c>
      <c r="C110" s="5" t="s">
        <v>99</v>
      </c>
      <c r="D110" s="5" t="s">
        <v>389</v>
      </c>
      <c r="E110" s="8">
        <v>100.0</v>
      </c>
      <c r="F110" s="8">
        <v>841.0</v>
      </c>
      <c r="G110" s="9" t="b">
        <v>1</v>
      </c>
      <c r="H110" s="7">
        <v>45869.268055555556</v>
      </c>
      <c r="I110" s="5" t="s">
        <v>673</v>
      </c>
      <c r="J110" s="8">
        <v>60.1816</v>
      </c>
      <c r="K110" s="8">
        <v>24.8368</v>
      </c>
      <c r="L110" s="5" t="s">
        <v>194</v>
      </c>
      <c r="M110" s="5" t="s">
        <v>195</v>
      </c>
      <c r="N110" s="5" t="s">
        <v>674</v>
      </c>
      <c r="O110" s="5" t="s">
        <v>211</v>
      </c>
      <c r="P110" s="5" t="s">
        <v>198</v>
      </c>
      <c r="Q110" s="5" t="s">
        <v>200</v>
      </c>
      <c r="R110" s="5" t="s">
        <v>199</v>
      </c>
      <c r="S110" s="5" t="s">
        <v>202</v>
      </c>
      <c r="T110" s="5" t="s">
        <v>202</v>
      </c>
      <c r="U110" s="5" t="s">
        <v>203</v>
      </c>
      <c r="V110" s="5" t="s">
        <v>200</v>
      </c>
      <c r="W110" s="5" t="s">
        <v>200</v>
      </c>
      <c r="X110" s="5" t="s">
        <v>202</v>
      </c>
      <c r="Y110" s="5" t="s">
        <v>202</v>
      </c>
      <c r="Z110" s="5" t="s">
        <v>203</v>
      </c>
      <c r="AA110" s="5" t="s">
        <v>203</v>
      </c>
      <c r="AB110" s="5" t="s">
        <v>200</v>
      </c>
      <c r="AC110" s="5" t="s">
        <v>202</v>
      </c>
      <c r="AD110" s="5" t="s">
        <v>200</v>
      </c>
      <c r="AE110" s="5" t="s">
        <v>675</v>
      </c>
      <c r="AF110" s="5" t="s">
        <v>206</v>
      </c>
      <c r="AG110" s="5" t="s">
        <v>200</v>
      </c>
      <c r="AH110" s="5" t="s">
        <v>202</v>
      </c>
      <c r="AI110" s="5" t="s">
        <v>200</v>
      </c>
      <c r="AJ110" s="5" t="s">
        <v>203</v>
      </c>
      <c r="AK110" s="5" t="s">
        <v>200</v>
      </c>
      <c r="AL110" s="5" t="s">
        <v>200</v>
      </c>
      <c r="AM110" s="5" t="s">
        <v>676</v>
      </c>
      <c r="AN110" s="5" t="s">
        <v>206</v>
      </c>
      <c r="AO110" s="5" t="s">
        <v>202</v>
      </c>
      <c r="AP110" s="5" t="s">
        <v>201</v>
      </c>
      <c r="AQ110" s="5" t="s">
        <v>200</v>
      </c>
      <c r="AR110" s="5" t="s">
        <v>204</v>
      </c>
      <c r="AS110" s="5" t="s">
        <v>198</v>
      </c>
      <c r="AT110" s="5" t="s">
        <v>204</v>
      </c>
      <c r="AU110" s="5" t="s">
        <v>204</v>
      </c>
      <c r="AV110" s="5" t="s">
        <v>677</v>
      </c>
    </row>
    <row r="111">
      <c r="A111" s="7">
        <v>45869.26666666667</v>
      </c>
      <c r="B111" s="7">
        <v>45869.277083333334</v>
      </c>
      <c r="C111" s="5" t="s">
        <v>99</v>
      </c>
      <c r="D111" s="5" t="s">
        <v>383</v>
      </c>
      <c r="E111" s="8">
        <v>100.0</v>
      </c>
      <c r="F111" s="8">
        <v>934.0</v>
      </c>
      <c r="G111" s="9" t="b">
        <v>1</v>
      </c>
      <c r="H111" s="7">
        <v>45869.277083333334</v>
      </c>
      <c r="I111" s="5" t="s">
        <v>678</v>
      </c>
      <c r="J111" s="8">
        <v>60.1816</v>
      </c>
      <c r="K111" s="8">
        <v>24.8368</v>
      </c>
      <c r="L111" s="5" t="s">
        <v>194</v>
      </c>
      <c r="M111" s="5" t="s">
        <v>195</v>
      </c>
      <c r="N111" s="5" t="s">
        <v>679</v>
      </c>
      <c r="O111" s="5" t="s">
        <v>216</v>
      </c>
      <c r="P111" s="5" t="s">
        <v>208</v>
      </c>
      <c r="Q111" s="5" t="s">
        <v>208</v>
      </c>
      <c r="R111" s="5" t="s">
        <v>199</v>
      </c>
      <c r="S111" s="5" t="s">
        <v>203</v>
      </c>
      <c r="T111" s="5" t="s">
        <v>198</v>
      </c>
      <c r="U111" s="5" t="s">
        <v>198</v>
      </c>
      <c r="V111" s="5" t="s">
        <v>204</v>
      </c>
      <c r="W111" s="5" t="s">
        <v>200</v>
      </c>
      <c r="X111" s="5" t="s">
        <v>202</v>
      </c>
      <c r="Y111" s="5" t="s">
        <v>202</v>
      </c>
      <c r="Z111" s="5" t="s">
        <v>198</v>
      </c>
      <c r="AA111" s="5" t="s">
        <v>204</v>
      </c>
      <c r="AB111" s="5" t="s">
        <v>202</v>
      </c>
      <c r="AC111" s="5" t="s">
        <v>200</v>
      </c>
      <c r="AD111" s="5" t="s">
        <v>208</v>
      </c>
      <c r="AE111" s="5" t="s">
        <v>680</v>
      </c>
      <c r="AF111" s="5" t="s">
        <v>206</v>
      </c>
      <c r="AG111" s="5" t="s">
        <v>208</v>
      </c>
      <c r="AH111" s="5" t="s">
        <v>208</v>
      </c>
      <c r="AI111" s="5" t="s">
        <v>198</v>
      </c>
      <c r="AJ111" s="5" t="s">
        <v>208</v>
      </c>
      <c r="AK111" s="5" t="s">
        <v>204</v>
      </c>
      <c r="AL111" s="5" t="s">
        <v>200</v>
      </c>
      <c r="AM111" s="5" t="s">
        <v>681</v>
      </c>
      <c r="AN111" s="5" t="s">
        <v>206</v>
      </c>
      <c r="AO111" s="5" t="s">
        <v>198</v>
      </c>
      <c r="AP111" s="5" t="s">
        <v>200</v>
      </c>
      <c r="AQ111" s="5" t="s">
        <v>208</v>
      </c>
      <c r="AR111" s="5" t="s">
        <v>204</v>
      </c>
      <c r="AS111" s="5" t="s">
        <v>208</v>
      </c>
      <c r="AT111" s="5" t="s">
        <v>204</v>
      </c>
      <c r="AU111" s="5" t="s">
        <v>204</v>
      </c>
      <c r="AV111" s="5" t="s">
        <v>682</v>
      </c>
    </row>
    <row r="112">
      <c r="A112" s="7">
        <v>45869.26875</v>
      </c>
      <c r="B112" s="7">
        <v>45869.27847222222</v>
      </c>
      <c r="C112" s="5" t="s">
        <v>99</v>
      </c>
      <c r="D112" s="5" t="s">
        <v>389</v>
      </c>
      <c r="E112" s="8">
        <v>100.0</v>
      </c>
      <c r="F112" s="8">
        <v>834.0</v>
      </c>
      <c r="G112" s="9" t="b">
        <v>1</v>
      </c>
      <c r="H112" s="7">
        <v>45869.27847222222</v>
      </c>
      <c r="I112" s="5" t="s">
        <v>683</v>
      </c>
      <c r="J112" s="8">
        <v>60.1816</v>
      </c>
      <c r="K112" s="8">
        <v>24.8368</v>
      </c>
      <c r="L112" s="5" t="s">
        <v>194</v>
      </c>
      <c r="M112" s="5" t="s">
        <v>195</v>
      </c>
      <c r="N112" s="5" t="s">
        <v>664</v>
      </c>
      <c r="O112" s="5" t="s">
        <v>216</v>
      </c>
      <c r="P112" s="5" t="s">
        <v>203</v>
      </c>
      <c r="Q112" s="5" t="s">
        <v>208</v>
      </c>
      <c r="R112" s="5" t="s">
        <v>199</v>
      </c>
      <c r="S112" s="5" t="s">
        <v>203</v>
      </c>
      <c r="T112" s="5" t="s">
        <v>200</v>
      </c>
      <c r="U112" s="5" t="s">
        <v>208</v>
      </c>
      <c r="V112" s="5" t="s">
        <v>200</v>
      </c>
      <c r="W112" s="5" t="s">
        <v>203</v>
      </c>
      <c r="X112" s="5" t="s">
        <v>198</v>
      </c>
      <c r="Y112" s="5" t="s">
        <v>203</v>
      </c>
      <c r="Z112" s="5" t="s">
        <v>203</v>
      </c>
      <c r="AA112" s="5" t="s">
        <v>208</v>
      </c>
      <c r="AB112" s="5" t="s">
        <v>200</v>
      </c>
      <c r="AC112" s="5" t="s">
        <v>198</v>
      </c>
      <c r="AD112" s="5" t="s">
        <v>201</v>
      </c>
      <c r="AE112" s="5" t="s">
        <v>413</v>
      </c>
      <c r="AF112" s="5" t="s">
        <v>206</v>
      </c>
      <c r="AG112" s="5" t="s">
        <v>200</v>
      </c>
      <c r="AH112" s="5" t="s">
        <v>202</v>
      </c>
      <c r="AI112" s="5" t="s">
        <v>200</v>
      </c>
      <c r="AJ112" s="5" t="s">
        <v>202</v>
      </c>
      <c r="AK112" s="5" t="s">
        <v>200</v>
      </c>
      <c r="AL112" s="5" t="s">
        <v>202</v>
      </c>
      <c r="AM112" s="5" t="s">
        <v>413</v>
      </c>
      <c r="AN112" s="5" t="s">
        <v>206</v>
      </c>
      <c r="AO112" s="5" t="s">
        <v>202</v>
      </c>
      <c r="AP112" s="5" t="s">
        <v>202</v>
      </c>
      <c r="AQ112" s="5" t="s">
        <v>201</v>
      </c>
      <c r="AR112" s="5" t="s">
        <v>198</v>
      </c>
      <c r="AS112" s="5" t="s">
        <v>204</v>
      </c>
      <c r="AT112" s="5" t="s">
        <v>204</v>
      </c>
      <c r="AU112" s="5" t="s">
        <v>204</v>
      </c>
      <c r="AV112" s="5" t="s">
        <v>413</v>
      </c>
    </row>
    <row r="113">
      <c r="A113" s="7">
        <v>45869.27291666667</v>
      </c>
      <c r="B113" s="7">
        <v>45869.28333333333</v>
      </c>
      <c r="C113" s="5" t="s">
        <v>99</v>
      </c>
      <c r="D113" s="5" t="s">
        <v>529</v>
      </c>
      <c r="E113" s="8">
        <v>100.0</v>
      </c>
      <c r="F113" s="8">
        <v>945.0</v>
      </c>
      <c r="G113" s="9" t="b">
        <v>1</v>
      </c>
      <c r="H113" s="7">
        <v>45869.28333333333</v>
      </c>
      <c r="I113" s="5" t="s">
        <v>684</v>
      </c>
      <c r="J113" s="8">
        <v>60.1816</v>
      </c>
      <c r="K113" s="8">
        <v>24.8368</v>
      </c>
      <c r="L113" s="5" t="s">
        <v>194</v>
      </c>
      <c r="M113" s="5" t="s">
        <v>195</v>
      </c>
      <c r="N113" s="5" t="s">
        <v>669</v>
      </c>
      <c r="O113" s="5" t="s">
        <v>263</v>
      </c>
      <c r="P113" s="5" t="s">
        <v>201</v>
      </c>
      <c r="Q113" s="5" t="s">
        <v>202</v>
      </c>
      <c r="R113" s="5" t="s">
        <v>199</v>
      </c>
      <c r="S113" s="5" t="s">
        <v>201</v>
      </c>
      <c r="T113" s="5" t="s">
        <v>202</v>
      </c>
      <c r="U113" s="5" t="s">
        <v>201</v>
      </c>
      <c r="V113" s="5" t="s">
        <v>202</v>
      </c>
      <c r="W113" s="5" t="s">
        <v>201</v>
      </c>
      <c r="X113" s="5" t="s">
        <v>201</v>
      </c>
      <c r="Y113" s="5" t="s">
        <v>202</v>
      </c>
      <c r="Z113" s="5" t="s">
        <v>201</v>
      </c>
      <c r="AA113" s="5" t="s">
        <v>202</v>
      </c>
      <c r="AB113" s="5" t="s">
        <v>204</v>
      </c>
      <c r="AC113" s="5" t="s">
        <v>201</v>
      </c>
      <c r="AD113" s="5" t="s">
        <v>202</v>
      </c>
      <c r="AE113" s="5" t="s">
        <v>685</v>
      </c>
      <c r="AF113" s="5" t="s">
        <v>206</v>
      </c>
      <c r="AG113" s="5" t="s">
        <v>202</v>
      </c>
      <c r="AH113" s="5" t="s">
        <v>202</v>
      </c>
      <c r="AI113" s="5" t="s">
        <v>202</v>
      </c>
      <c r="AJ113" s="5" t="s">
        <v>201</v>
      </c>
      <c r="AK113" s="5" t="s">
        <v>201</v>
      </c>
      <c r="AL113" s="5" t="s">
        <v>202</v>
      </c>
      <c r="AM113" s="5" t="s">
        <v>686</v>
      </c>
      <c r="AN113" s="5" t="s">
        <v>206</v>
      </c>
      <c r="AO113" s="5" t="s">
        <v>201</v>
      </c>
      <c r="AP113" s="5" t="s">
        <v>202</v>
      </c>
      <c r="AQ113" s="5" t="s">
        <v>201</v>
      </c>
      <c r="AR113" s="5" t="s">
        <v>204</v>
      </c>
      <c r="AS113" s="5" t="s">
        <v>204</v>
      </c>
      <c r="AT113" s="5" t="s">
        <v>204</v>
      </c>
      <c r="AU113" s="5" t="s">
        <v>204</v>
      </c>
      <c r="AV113" s="5" t="s">
        <v>687</v>
      </c>
    </row>
    <row r="114">
      <c r="A114" s="7">
        <v>45869.27638888889</v>
      </c>
      <c r="B114" s="7">
        <v>45869.29513888889</v>
      </c>
      <c r="C114" s="5" t="s">
        <v>99</v>
      </c>
      <c r="D114" s="5" t="s">
        <v>490</v>
      </c>
      <c r="E114" s="8">
        <v>100.0</v>
      </c>
      <c r="F114" s="8">
        <v>1578.0</v>
      </c>
      <c r="G114" s="9" t="b">
        <v>1</v>
      </c>
      <c r="H114" s="7">
        <v>45869.29513888889</v>
      </c>
      <c r="I114" s="5" t="s">
        <v>688</v>
      </c>
      <c r="J114" s="8">
        <v>60.1816</v>
      </c>
      <c r="K114" s="8">
        <v>24.8368</v>
      </c>
      <c r="L114" s="5" t="s">
        <v>194</v>
      </c>
      <c r="M114" s="5" t="s">
        <v>195</v>
      </c>
      <c r="N114" s="5" t="s">
        <v>362</v>
      </c>
      <c r="O114" s="5" t="s">
        <v>211</v>
      </c>
      <c r="P114" s="5" t="s">
        <v>202</v>
      </c>
      <c r="Q114" s="5" t="s">
        <v>201</v>
      </c>
      <c r="R114" s="5" t="s">
        <v>199</v>
      </c>
      <c r="S114" s="5" t="s">
        <v>202</v>
      </c>
      <c r="T114" s="5" t="s">
        <v>202</v>
      </c>
      <c r="U114" s="5" t="s">
        <v>203</v>
      </c>
      <c r="V114" s="5" t="s">
        <v>202</v>
      </c>
      <c r="W114" s="5" t="s">
        <v>200</v>
      </c>
      <c r="X114" s="5" t="s">
        <v>202</v>
      </c>
      <c r="Y114" s="5" t="s">
        <v>201</v>
      </c>
      <c r="Z114" s="5" t="s">
        <v>198</v>
      </c>
      <c r="AA114" s="5" t="s">
        <v>203</v>
      </c>
      <c r="AB114" s="5" t="s">
        <v>203</v>
      </c>
      <c r="AC114" s="5" t="s">
        <v>201</v>
      </c>
      <c r="AD114" s="5" t="s">
        <v>200</v>
      </c>
      <c r="AE114" s="5" t="s">
        <v>689</v>
      </c>
      <c r="AF114" s="5" t="s">
        <v>206</v>
      </c>
      <c r="AG114" s="5" t="s">
        <v>203</v>
      </c>
      <c r="AH114" s="5" t="s">
        <v>202</v>
      </c>
      <c r="AI114" s="5" t="s">
        <v>201</v>
      </c>
      <c r="AJ114" s="5" t="s">
        <v>201</v>
      </c>
      <c r="AK114" s="5" t="s">
        <v>201</v>
      </c>
      <c r="AL114" s="5" t="s">
        <v>200</v>
      </c>
      <c r="AM114" s="5" t="s">
        <v>690</v>
      </c>
      <c r="AN114" s="5" t="s">
        <v>206</v>
      </c>
      <c r="AO114" s="5" t="s">
        <v>201</v>
      </c>
      <c r="AP114" s="5" t="s">
        <v>201</v>
      </c>
      <c r="AQ114" s="5" t="s">
        <v>201</v>
      </c>
      <c r="AR114" s="5" t="s">
        <v>204</v>
      </c>
      <c r="AS114" s="5" t="s">
        <v>204</v>
      </c>
      <c r="AT114" s="5" t="s">
        <v>204</v>
      </c>
      <c r="AU114" s="5" t="s">
        <v>204</v>
      </c>
      <c r="AV114" s="5" t="s">
        <v>691</v>
      </c>
    </row>
    <row r="115">
      <c r="A115" s="7">
        <v>45869.288194444445</v>
      </c>
      <c r="B115" s="7">
        <v>45869.29722222222</v>
      </c>
      <c r="C115" s="5" t="s">
        <v>99</v>
      </c>
      <c r="D115" s="5" t="s">
        <v>529</v>
      </c>
      <c r="E115" s="8">
        <v>100.0</v>
      </c>
      <c r="F115" s="8">
        <v>784.0</v>
      </c>
      <c r="G115" s="9" t="b">
        <v>1</v>
      </c>
      <c r="H115" s="7">
        <v>45869.29722222222</v>
      </c>
      <c r="I115" s="5" t="s">
        <v>692</v>
      </c>
      <c r="J115" s="8">
        <v>60.1816</v>
      </c>
      <c r="K115" s="8">
        <v>24.8368</v>
      </c>
      <c r="L115" s="5" t="s">
        <v>194</v>
      </c>
      <c r="M115" s="5" t="s">
        <v>195</v>
      </c>
      <c r="N115" s="5" t="s">
        <v>669</v>
      </c>
      <c r="O115" s="5" t="s">
        <v>216</v>
      </c>
      <c r="P115" s="5" t="s">
        <v>208</v>
      </c>
      <c r="Q115" s="5" t="s">
        <v>202</v>
      </c>
      <c r="R115" s="5" t="s">
        <v>199</v>
      </c>
      <c r="S115" s="5" t="s">
        <v>201</v>
      </c>
      <c r="T115" s="5" t="s">
        <v>202</v>
      </c>
      <c r="U115" s="5" t="s">
        <v>204</v>
      </c>
      <c r="V115" s="5" t="s">
        <v>201</v>
      </c>
      <c r="W115" s="5" t="s">
        <v>202</v>
      </c>
      <c r="X115" s="5" t="s">
        <v>202</v>
      </c>
      <c r="Y115" s="5" t="s">
        <v>202</v>
      </c>
      <c r="Z115" s="5" t="s">
        <v>201</v>
      </c>
      <c r="AA115" s="5" t="s">
        <v>200</v>
      </c>
      <c r="AB115" s="5" t="s">
        <v>204</v>
      </c>
      <c r="AC115" s="5" t="s">
        <v>202</v>
      </c>
      <c r="AD115" s="5" t="s">
        <v>202</v>
      </c>
      <c r="AE115" s="5" t="s">
        <v>693</v>
      </c>
      <c r="AF115" s="5" t="s">
        <v>206</v>
      </c>
      <c r="AG115" s="5" t="s">
        <v>201</v>
      </c>
      <c r="AH115" s="5" t="s">
        <v>202</v>
      </c>
      <c r="AI115" s="5" t="s">
        <v>201</v>
      </c>
      <c r="AJ115" s="5" t="s">
        <v>201</v>
      </c>
      <c r="AK115" s="5" t="s">
        <v>201</v>
      </c>
      <c r="AL115" s="5" t="s">
        <v>202</v>
      </c>
      <c r="AM115" s="5" t="s">
        <v>694</v>
      </c>
      <c r="AN115" s="5" t="s">
        <v>206</v>
      </c>
      <c r="AO115" s="5" t="s">
        <v>201</v>
      </c>
      <c r="AP115" s="5" t="s">
        <v>201</v>
      </c>
      <c r="AQ115" s="5" t="s">
        <v>202</v>
      </c>
      <c r="AR115" s="5" t="s">
        <v>204</v>
      </c>
      <c r="AS115" s="5" t="s">
        <v>204</v>
      </c>
      <c r="AT115" s="5" t="s">
        <v>204</v>
      </c>
      <c r="AU115" s="5" t="s">
        <v>204</v>
      </c>
      <c r="AV115" s="5" t="s">
        <v>695</v>
      </c>
    </row>
    <row r="116">
      <c r="A116" s="7">
        <v>45869.288194444445</v>
      </c>
      <c r="B116" s="7">
        <v>45869.30069444444</v>
      </c>
      <c r="C116" s="5" t="s">
        <v>99</v>
      </c>
      <c r="D116" s="5" t="s">
        <v>192</v>
      </c>
      <c r="E116" s="8">
        <v>100.0</v>
      </c>
      <c r="F116" s="8">
        <v>1071.0</v>
      </c>
      <c r="G116" s="9" t="b">
        <v>1</v>
      </c>
      <c r="H116" s="7">
        <v>45869.30069444444</v>
      </c>
      <c r="I116" s="5" t="s">
        <v>696</v>
      </c>
      <c r="J116" s="8">
        <v>60.1816</v>
      </c>
      <c r="K116" s="8">
        <v>24.8368</v>
      </c>
      <c r="L116" s="5" t="s">
        <v>194</v>
      </c>
      <c r="M116" s="5" t="s">
        <v>195</v>
      </c>
      <c r="N116" s="5" t="s">
        <v>679</v>
      </c>
      <c r="O116" s="5" t="s">
        <v>197</v>
      </c>
      <c r="P116" s="5" t="s">
        <v>202</v>
      </c>
      <c r="Q116" s="5" t="s">
        <v>208</v>
      </c>
      <c r="R116" s="5" t="s">
        <v>199</v>
      </c>
      <c r="S116" s="5" t="s">
        <v>202</v>
      </c>
      <c r="T116" s="5" t="s">
        <v>202</v>
      </c>
      <c r="U116" s="5" t="s">
        <v>203</v>
      </c>
      <c r="V116" s="5" t="s">
        <v>208</v>
      </c>
      <c r="W116" s="5" t="s">
        <v>200</v>
      </c>
      <c r="X116" s="5" t="s">
        <v>202</v>
      </c>
      <c r="Y116" s="5" t="s">
        <v>202</v>
      </c>
      <c r="Z116" s="5" t="s">
        <v>198</v>
      </c>
      <c r="AA116" s="5" t="s">
        <v>208</v>
      </c>
      <c r="AB116" s="5" t="s">
        <v>203</v>
      </c>
      <c r="AC116" s="5" t="s">
        <v>200</v>
      </c>
      <c r="AD116" s="5" t="s">
        <v>200</v>
      </c>
      <c r="AE116" s="5" t="s">
        <v>697</v>
      </c>
      <c r="AF116" s="5" t="s">
        <v>206</v>
      </c>
      <c r="AG116" s="5" t="s">
        <v>202</v>
      </c>
      <c r="AH116" s="5" t="s">
        <v>202</v>
      </c>
      <c r="AI116" s="5" t="s">
        <v>202</v>
      </c>
      <c r="AJ116" s="5" t="s">
        <v>198</v>
      </c>
      <c r="AK116" s="5" t="s">
        <v>198</v>
      </c>
      <c r="AL116" s="5" t="s">
        <v>202</v>
      </c>
      <c r="AM116" s="5" t="s">
        <v>698</v>
      </c>
      <c r="AN116" s="5" t="s">
        <v>206</v>
      </c>
      <c r="AO116" s="5" t="s">
        <v>202</v>
      </c>
      <c r="AP116" s="5" t="s">
        <v>202</v>
      </c>
      <c r="AQ116" s="5" t="s">
        <v>202</v>
      </c>
      <c r="AR116" s="5" t="s">
        <v>200</v>
      </c>
      <c r="AS116" s="5" t="s">
        <v>203</v>
      </c>
      <c r="AT116" s="5" t="s">
        <v>200</v>
      </c>
      <c r="AU116" s="5" t="s">
        <v>198</v>
      </c>
      <c r="AV116" s="5" t="s">
        <v>699</v>
      </c>
    </row>
    <row r="117">
      <c r="A117" s="7">
        <v>45869.30347222222</v>
      </c>
      <c r="B117" s="7">
        <v>45869.30902777778</v>
      </c>
      <c r="C117" s="5" t="s">
        <v>99</v>
      </c>
      <c r="D117" s="5" t="s">
        <v>389</v>
      </c>
      <c r="E117" s="8">
        <v>100.0</v>
      </c>
      <c r="F117" s="8">
        <v>500.0</v>
      </c>
      <c r="G117" s="9" t="b">
        <v>1</v>
      </c>
      <c r="H117" s="7">
        <v>45869.30902777778</v>
      </c>
      <c r="I117" s="5" t="s">
        <v>700</v>
      </c>
      <c r="J117" s="8">
        <v>60.1816</v>
      </c>
      <c r="K117" s="8">
        <v>24.8368</v>
      </c>
      <c r="L117" s="5" t="s">
        <v>194</v>
      </c>
      <c r="M117" s="5" t="s">
        <v>195</v>
      </c>
      <c r="N117" s="5" t="s">
        <v>679</v>
      </c>
      <c r="O117" s="5" t="s">
        <v>263</v>
      </c>
      <c r="P117" s="5" t="s">
        <v>202</v>
      </c>
      <c r="Q117" s="5" t="s">
        <v>198</v>
      </c>
      <c r="R117" s="5" t="s">
        <v>199</v>
      </c>
      <c r="S117" s="5" t="s">
        <v>202</v>
      </c>
      <c r="T117" s="5" t="s">
        <v>202</v>
      </c>
      <c r="U117" s="5" t="s">
        <v>203</v>
      </c>
      <c r="V117" s="5" t="s">
        <v>208</v>
      </c>
      <c r="W117" s="5" t="s">
        <v>202</v>
      </c>
      <c r="X117" s="5" t="s">
        <v>202</v>
      </c>
      <c r="Y117" s="5" t="s">
        <v>202</v>
      </c>
      <c r="Z117" s="5" t="s">
        <v>202</v>
      </c>
      <c r="AA117" s="5" t="s">
        <v>198</v>
      </c>
      <c r="AB117" s="5" t="s">
        <v>202</v>
      </c>
      <c r="AC117" s="5" t="s">
        <v>202</v>
      </c>
      <c r="AD117" s="5" t="s">
        <v>202</v>
      </c>
      <c r="AE117" s="5" t="s">
        <v>701</v>
      </c>
      <c r="AF117" s="5" t="s">
        <v>206</v>
      </c>
      <c r="AG117" s="5" t="s">
        <v>202</v>
      </c>
      <c r="AH117" s="5" t="s">
        <v>202</v>
      </c>
      <c r="AI117" s="5" t="s">
        <v>202</v>
      </c>
      <c r="AJ117" s="5" t="s">
        <v>198</v>
      </c>
      <c r="AK117" s="5" t="s">
        <v>198</v>
      </c>
      <c r="AL117" s="5" t="s">
        <v>202</v>
      </c>
      <c r="AM117" s="5" t="s">
        <v>702</v>
      </c>
      <c r="AN117" s="5" t="s">
        <v>206</v>
      </c>
      <c r="AO117" s="5" t="s">
        <v>202</v>
      </c>
      <c r="AP117" s="5" t="s">
        <v>202</v>
      </c>
      <c r="AQ117" s="5" t="s">
        <v>202</v>
      </c>
      <c r="AR117" s="5" t="s">
        <v>200</v>
      </c>
      <c r="AS117" s="5" t="s">
        <v>203</v>
      </c>
      <c r="AT117" s="5" t="s">
        <v>200</v>
      </c>
      <c r="AU117" s="5" t="s">
        <v>198</v>
      </c>
      <c r="AV117" s="5" t="s">
        <v>703</v>
      </c>
    </row>
    <row r="118">
      <c r="A118" s="7">
        <v>45869.30069444444</v>
      </c>
      <c r="B118" s="7">
        <v>45869.31805555556</v>
      </c>
      <c r="C118" s="5" t="s">
        <v>99</v>
      </c>
      <c r="D118" s="5" t="s">
        <v>490</v>
      </c>
      <c r="E118" s="8">
        <v>100.0</v>
      </c>
      <c r="F118" s="8">
        <v>1459.0</v>
      </c>
      <c r="G118" s="9" t="b">
        <v>1</v>
      </c>
      <c r="H118" s="7">
        <v>45869.31805555556</v>
      </c>
      <c r="I118" s="5" t="s">
        <v>704</v>
      </c>
      <c r="J118" s="8">
        <v>60.1816</v>
      </c>
      <c r="K118" s="8">
        <v>24.8368</v>
      </c>
      <c r="L118" s="5" t="s">
        <v>194</v>
      </c>
      <c r="M118" s="5" t="s">
        <v>195</v>
      </c>
      <c r="N118" s="5" t="s">
        <v>362</v>
      </c>
      <c r="O118" s="5" t="s">
        <v>197</v>
      </c>
      <c r="P118" s="5" t="s">
        <v>202</v>
      </c>
      <c r="Q118" s="5" t="s">
        <v>202</v>
      </c>
      <c r="R118" s="5" t="s">
        <v>199</v>
      </c>
      <c r="S118" s="5" t="s">
        <v>202</v>
      </c>
      <c r="T118" s="5" t="s">
        <v>200</v>
      </c>
      <c r="U118" s="5" t="s">
        <v>202</v>
      </c>
      <c r="V118" s="5" t="s">
        <v>202</v>
      </c>
      <c r="W118" s="5" t="s">
        <v>202</v>
      </c>
      <c r="X118" s="5" t="s">
        <v>201</v>
      </c>
      <c r="Y118" s="5" t="s">
        <v>201</v>
      </c>
      <c r="Z118" s="5" t="s">
        <v>201</v>
      </c>
      <c r="AA118" s="5" t="s">
        <v>203</v>
      </c>
      <c r="AB118" s="5" t="s">
        <v>198</v>
      </c>
      <c r="AC118" s="5" t="s">
        <v>201</v>
      </c>
      <c r="AD118" s="5" t="s">
        <v>200</v>
      </c>
      <c r="AE118" s="5" t="s">
        <v>705</v>
      </c>
      <c r="AF118" s="5" t="s">
        <v>206</v>
      </c>
      <c r="AG118" s="5" t="s">
        <v>202</v>
      </c>
      <c r="AH118" s="5" t="s">
        <v>202</v>
      </c>
      <c r="AI118" s="5" t="s">
        <v>201</v>
      </c>
      <c r="AJ118" s="5" t="s">
        <v>202</v>
      </c>
      <c r="AK118" s="5" t="s">
        <v>202</v>
      </c>
      <c r="AL118" s="5" t="s">
        <v>203</v>
      </c>
      <c r="AM118" s="5" t="s">
        <v>706</v>
      </c>
      <c r="AN118" s="5" t="s">
        <v>206</v>
      </c>
      <c r="AO118" s="5" t="s">
        <v>201</v>
      </c>
      <c r="AP118" s="5" t="s">
        <v>200</v>
      </c>
      <c r="AQ118" s="5" t="s">
        <v>200</v>
      </c>
      <c r="AR118" s="5" t="s">
        <v>208</v>
      </c>
      <c r="AS118" s="5" t="s">
        <v>204</v>
      </c>
      <c r="AT118" s="5" t="s">
        <v>204</v>
      </c>
      <c r="AU118" s="5" t="s">
        <v>198</v>
      </c>
      <c r="AV118" s="5" t="s">
        <v>707</v>
      </c>
    </row>
    <row r="119">
      <c r="A119" s="7">
        <v>45869.30694444444</v>
      </c>
      <c r="B119" s="7">
        <v>45869.31805555556</v>
      </c>
      <c r="C119" s="5" t="s">
        <v>99</v>
      </c>
      <c r="D119" s="5" t="s">
        <v>529</v>
      </c>
      <c r="E119" s="8">
        <v>100.0</v>
      </c>
      <c r="F119" s="8">
        <v>967.0</v>
      </c>
      <c r="G119" s="9" t="b">
        <v>1</v>
      </c>
      <c r="H119" s="7">
        <v>45869.31805555556</v>
      </c>
      <c r="I119" s="5" t="s">
        <v>708</v>
      </c>
      <c r="J119" s="8">
        <v>60.1816</v>
      </c>
      <c r="K119" s="8">
        <v>24.8368</v>
      </c>
      <c r="L119" s="5" t="s">
        <v>194</v>
      </c>
      <c r="M119" s="5" t="s">
        <v>195</v>
      </c>
      <c r="N119" s="5" t="s">
        <v>669</v>
      </c>
      <c r="O119" s="5" t="s">
        <v>197</v>
      </c>
      <c r="P119" s="5" t="s">
        <v>201</v>
      </c>
      <c r="Q119" s="5" t="s">
        <v>201</v>
      </c>
      <c r="R119" s="5" t="s">
        <v>199</v>
      </c>
      <c r="S119" s="5" t="s">
        <v>198</v>
      </c>
      <c r="T119" s="5" t="s">
        <v>202</v>
      </c>
      <c r="U119" s="5" t="s">
        <v>201</v>
      </c>
      <c r="V119" s="5" t="s">
        <v>201</v>
      </c>
      <c r="W119" s="5" t="s">
        <v>202</v>
      </c>
      <c r="X119" s="5" t="s">
        <v>202</v>
      </c>
      <c r="Y119" s="5" t="s">
        <v>202</v>
      </c>
      <c r="Z119" s="5" t="s">
        <v>198</v>
      </c>
      <c r="AA119" s="5" t="s">
        <v>202</v>
      </c>
      <c r="AB119" s="5" t="s">
        <v>204</v>
      </c>
      <c r="AC119" s="5" t="s">
        <v>202</v>
      </c>
      <c r="AD119" s="5" t="s">
        <v>200</v>
      </c>
      <c r="AE119" s="5" t="s">
        <v>709</v>
      </c>
      <c r="AF119" s="5" t="s">
        <v>206</v>
      </c>
      <c r="AG119" s="5" t="s">
        <v>202</v>
      </c>
      <c r="AH119" s="5" t="s">
        <v>202</v>
      </c>
      <c r="AI119" s="5" t="s">
        <v>198</v>
      </c>
      <c r="AJ119" s="5" t="s">
        <v>201</v>
      </c>
      <c r="AK119" s="5" t="s">
        <v>201</v>
      </c>
      <c r="AL119" s="5" t="s">
        <v>201</v>
      </c>
      <c r="AM119" s="5" t="s">
        <v>710</v>
      </c>
      <c r="AN119" s="5" t="s">
        <v>206</v>
      </c>
      <c r="AO119" s="5" t="s">
        <v>201</v>
      </c>
      <c r="AP119" s="5" t="s">
        <v>201</v>
      </c>
      <c r="AQ119" s="5" t="s">
        <v>201</v>
      </c>
      <c r="AR119" s="5" t="s">
        <v>204</v>
      </c>
      <c r="AS119" s="5" t="s">
        <v>204</v>
      </c>
      <c r="AT119" s="5" t="s">
        <v>204</v>
      </c>
      <c r="AU119" s="5" t="s">
        <v>204</v>
      </c>
      <c r="AV119" s="5" t="s">
        <v>711</v>
      </c>
    </row>
    <row r="120">
      <c r="A120" s="7">
        <v>45869.30972222222</v>
      </c>
      <c r="B120" s="7">
        <v>45869.31875</v>
      </c>
      <c r="C120" s="5" t="s">
        <v>99</v>
      </c>
      <c r="D120" s="5" t="s">
        <v>389</v>
      </c>
      <c r="E120" s="8">
        <v>100.0</v>
      </c>
      <c r="F120" s="8">
        <v>813.0</v>
      </c>
      <c r="G120" s="9" t="b">
        <v>1</v>
      </c>
      <c r="H120" s="7">
        <v>45869.31875</v>
      </c>
      <c r="I120" s="5" t="s">
        <v>712</v>
      </c>
      <c r="J120" s="8">
        <v>60.1816</v>
      </c>
      <c r="K120" s="8">
        <v>24.8368</v>
      </c>
      <c r="L120" s="5" t="s">
        <v>194</v>
      </c>
      <c r="M120" s="5" t="s">
        <v>195</v>
      </c>
      <c r="N120" s="5" t="s">
        <v>679</v>
      </c>
      <c r="O120" s="5" t="s">
        <v>211</v>
      </c>
      <c r="P120" s="5" t="s">
        <v>203</v>
      </c>
      <c r="Q120" s="5" t="s">
        <v>208</v>
      </c>
      <c r="R120" s="5" t="s">
        <v>199</v>
      </c>
      <c r="S120" s="5" t="s">
        <v>200</v>
      </c>
      <c r="T120" s="5" t="s">
        <v>202</v>
      </c>
      <c r="U120" s="5" t="s">
        <v>203</v>
      </c>
      <c r="V120" s="5" t="s">
        <v>208</v>
      </c>
      <c r="W120" s="5" t="s">
        <v>200</v>
      </c>
      <c r="X120" s="5" t="s">
        <v>202</v>
      </c>
      <c r="Y120" s="5" t="s">
        <v>202</v>
      </c>
      <c r="Z120" s="5" t="s">
        <v>200</v>
      </c>
      <c r="AA120" s="5" t="s">
        <v>208</v>
      </c>
      <c r="AB120" s="5" t="s">
        <v>198</v>
      </c>
      <c r="AC120" s="5" t="s">
        <v>202</v>
      </c>
      <c r="AD120" s="5" t="s">
        <v>202</v>
      </c>
      <c r="AE120" s="5" t="s">
        <v>713</v>
      </c>
      <c r="AF120" s="5" t="s">
        <v>206</v>
      </c>
      <c r="AG120" s="5" t="s">
        <v>202</v>
      </c>
      <c r="AH120" s="5" t="s">
        <v>202</v>
      </c>
      <c r="AI120" s="5" t="s">
        <v>202</v>
      </c>
      <c r="AJ120" s="5" t="s">
        <v>200</v>
      </c>
      <c r="AK120" s="5" t="s">
        <v>200</v>
      </c>
      <c r="AL120" s="5" t="s">
        <v>202</v>
      </c>
      <c r="AM120" s="5" t="s">
        <v>714</v>
      </c>
      <c r="AN120" s="5" t="s">
        <v>206</v>
      </c>
      <c r="AO120" s="5" t="s">
        <v>202</v>
      </c>
      <c r="AP120" s="5" t="s">
        <v>202</v>
      </c>
      <c r="AQ120" s="5" t="s">
        <v>200</v>
      </c>
      <c r="AR120" s="5" t="s">
        <v>204</v>
      </c>
      <c r="AS120" s="5" t="s">
        <v>204</v>
      </c>
      <c r="AT120" s="5" t="s">
        <v>204</v>
      </c>
      <c r="AU120" s="5" t="s">
        <v>204</v>
      </c>
      <c r="AV120" s="5" t="s">
        <v>715</v>
      </c>
    </row>
    <row r="121">
      <c r="A121" s="7">
        <v>45869.40277777778</v>
      </c>
      <c r="B121" s="7">
        <v>45869.41527777778</v>
      </c>
      <c r="C121" s="5" t="s">
        <v>99</v>
      </c>
      <c r="D121" s="5" t="s">
        <v>716</v>
      </c>
      <c r="E121" s="8">
        <v>100.0</v>
      </c>
      <c r="F121" s="8">
        <v>1099.0</v>
      </c>
      <c r="G121" s="9" t="b">
        <v>1</v>
      </c>
      <c r="H121" s="7">
        <v>45869.41527777778</v>
      </c>
      <c r="I121" s="5" t="s">
        <v>717</v>
      </c>
      <c r="J121" s="8">
        <v>60.1872</v>
      </c>
      <c r="K121" s="8">
        <v>24.9585</v>
      </c>
      <c r="L121" s="5" t="s">
        <v>194</v>
      </c>
      <c r="M121" s="5" t="s">
        <v>195</v>
      </c>
      <c r="N121" s="5" t="s">
        <v>674</v>
      </c>
      <c r="O121" s="5" t="s">
        <v>263</v>
      </c>
      <c r="P121" s="5" t="s">
        <v>202</v>
      </c>
      <c r="Q121" s="5" t="s">
        <v>200</v>
      </c>
      <c r="R121" s="5" t="s">
        <v>199</v>
      </c>
      <c r="S121" s="5" t="s">
        <v>203</v>
      </c>
      <c r="T121" s="5" t="s">
        <v>200</v>
      </c>
      <c r="U121" s="5" t="s">
        <v>200</v>
      </c>
      <c r="V121" s="5" t="s">
        <v>200</v>
      </c>
      <c r="W121" s="5" t="s">
        <v>200</v>
      </c>
      <c r="X121" s="5" t="s">
        <v>203</v>
      </c>
      <c r="Y121" s="5" t="s">
        <v>203</v>
      </c>
      <c r="Z121" s="5" t="s">
        <v>200</v>
      </c>
      <c r="AA121" s="5" t="s">
        <v>208</v>
      </c>
      <c r="AB121" s="5" t="s">
        <v>200</v>
      </c>
      <c r="AC121" s="5" t="s">
        <v>203</v>
      </c>
      <c r="AD121" s="5" t="s">
        <v>202</v>
      </c>
      <c r="AE121" s="5" t="s">
        <v>413</v>
      </c>
      <c r="AF121" s="5" t="s">
        <v>206</v>
      </c>
      <c r="AG121" s="5" t="s">
        <v>203</v>
      </c>
      <c r="AH121" s="5" t="s">
        <v>200</v>
      </c>
      <c r="AI121" s="5" t="s">
        <v>200</v>
      </c>
      <c r="AJ121" s="5" t="s">
        <v>200</v>
      </c>
      <c r="AK121" s="5" t="s">
        <v>200</v>
      </c>
      <c r="AL121" s="5" t="s">
        <v>202</v>
      </c>
      <c r="AM121" s="5" t="s">
        <v>413</v>
      </c>
      <c r="AN121" s="5" t="s">
        <v>206</v>
      </c>
      <c r="AO121" s="5" t="s">
        <v>200</v>
      </c>
      <c r="AP121" s="5" t="s">
        <v>200</v>
      </c>
      <c r="AQ121" s="5" t="s">
        <v>202</v>
      </c>
      <c r="AR121" s="5" t="s">
        <v>204</v>
      </c>
      <c r="AS121" s="5" t="s">
        <v>204</v>
      </c>
      <c r="AT121" s="5" t="s">
        <v>204</v>
      </c>
      <c r="AU121" s="5" t="s">
        <v>204</v>
      </c>
      <c r="AV121" s="5" t="s">
        <v>413</v>
      </c>
    </row>
  </sheetData>
  <mergeCells count="3">
    <mergeCell ref="AM75:AN75"/>
    <mergeCell ref="AM76:AN76"/>
    <mergeCell ref="AM78:AN7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20.88"/>
    <col customWidth="1" min="6" max="7" width="22.75"/>
    <col customWidth="1" min="8" max="8" width="19.5"/>
  </cols>
  <sheetData>
    <row r="1">
      <c r="A1" s="5" t="s">
        <v>49</v>
      </c>
      <c r="B1" s="5" t="s">
        <v>51</v>
      </c>
      <c r="C1" s="5" t="s">
        <v>52</v>
      </c>
      <c r="D1" s="5" t="s">
        <v>61</v>
      </c>
      <c r="E1" s="5" t="s">
        <v>62</v>
      </c>
      <c r="F1" s="5" t="s">
        <v>63</v>
      </c>
      <c r="G1" s="5" t="s">
        <v>64</v>
      </c>
      <c r="H1" s="5" t="s">
        <v>65</v>
      </c>
      <c r="I1" s="5" t="s">
        <v>66</v>
      </c>
      <c r="J1" s="5" t="s">
        <v>67</v>
      </c>
      <c r="K1" s="5" t="s">
        <v>68</v>
      </c>
      <c r="L1" s="5" t="s">
        <v>69</v>
      </c>
      <c r="M1" s="5" t="s">
        <v>70</v>
      </c>
      <c r="N1" s="5" t="s">
        <v>71</v>
      </c>
      <c r="O1" s="5" t="s">
        <v>72</v>
      </c>
      <c r="P1" s="5" t="s">
        <v>73</v>
      </c>
      <c r="Q1" s="5" t="s">
        <v>74</v>
      </c>
      <c r="R1" s="5" t="s">
        <v>75</v>
      </c>
      <c r="S1" s="5" t="s">
        <v>76</v>
      </c>
      <c r="T1" s="5" t="s">
        <v>77</v>
      </c>
      <c r="U1" s="5" t="s">
        <v>78</v>
      </c>
      <c r="V1" s="5" t="s">
        <v>79</v>
      </c>
      <c r="W1" s="5" t="s">
        <v>80</v>
      </c>
      <c r="X1" s="5" t="s">
        <v>81</v>
      </c>
      <c r="Y1" s="5" t="s">
        <v>82</v>
      </c>
      <c r="Z1" s="5" t="s">
        <v>83</v>
      </c>
      <c r="AA1" s="5" t="s">
        <v>84</v>
      </c>
      <c r="AB1" s="5" t="s">
        <v>85</v>
      </c>
      <c r="AC1" s="5" t="s">
        <v>86</v>
      </c>
      <c r="AD1" s="5" t="s">
        <v>87</v>
      </c>
      <c r="AE1" s="5" t="s">
        <v>88</v>
      </c>
      <c r="AF1" s="5" t="s">
        <v>89</v>
      </c>
      <c r="AG1" s="5" t="s">
        <v>90</v>
      </c>
      <c r="AH1" s="5" t="s">
        <v>91</v>
      </c>
      <c r="AI1" s="5" t="s">
        <v>92</v>
      </c>
      <c r="AJ1" s="5" t="s">
        <v>93</v>
      </c>
      <c r="AK1" s="5" t="s">
        <v>94</v>
      </c>
      <c r="AL1" s="5" t="s">
        <v>95</v>
      </c>
    </row>
    <row r="2">
      <c r="A2" s="8">
        <v>913.0</v>
      </c>
      <c r="B2" s="7">
        <v>45866.260416666664</v>
      </c>
      <c r="C2" s="5" t="s">
        <v>220</v>
      </c>
      <c r="D2" s="5" t="s">
        <v>221</v>
      </c>
      <c r="E2" s="5" t="s">
        <v>211</v>
      </c>
      <c r="F2" s="5" t="s">
        <v>204</v>
      </c>
      <c r="G2" s="5" t="s">
        <v>204</v>
      </c>
      <c r="H2" s="5" t="s">
        <v>199</v>
      </c>
      <c r="I2" s="5" t="s">
        <v>201</v>
      </c>
      <c r="J2" s="5" t="s">
        <v>203</v>
      </c>
      <c r="K2" s="5" t="s">
        <v>204</v>
      </c>
      <c r="L2" s="5" t="s">
        <v>204</v>
      </c>
      <c r="M2" s="5" t="s">
        <v>204</v>
      </c>
      <c r="N2" s="5" t="s">
        <v>208</v>
      </c>
      <c r="O2" s="5" t="s">
        <v>201</v>
      </c>
      <c r="P2" s="5" t="s">
        <v>202</v>
      </c>
      <c r="Q2" s="5" t="s">
        <v>204</v>
      </c>
      <c r="R2" s="5" t="s">
        <v>204</v>
      </c>
      <c r="S2" s="5" t="s">
        <v>203</v>
      </c>
      <c r="T2" s="5" t="s">
        <v>201</v>
      </c>
      <c r="U2" s="5" t="s">
        <v>222</v>
      </c>
      <c r="V2" s="5" t="s">
        <v>206</v>
      </c>
      <c r="W2" s="5" t="s">
        <v>204</v>
      </c>
      <c r="X2" s="5" t="s">
        <v>200</v>
      </c>
      <c r="Y2" s="5" t="s">
        <v>203</v>
      </c>
      <c r="Z2" s="5" t="s">
        <v>200</v>
      </c>
      <c r="AA2" s="5" t="s">
        <v>200</v>
      </c>
      <c r="AB2" s="5" t="s">
        <v>201</v>
      </c>
      <c r="AC2" s="5" t="s">
        <v>223</v>
      </c>
      <c r="AD2" s="5" t="s">
        <v>206</v>
      </c>
      <c r="AE2" s="5" t="s">
        <v>204</v>
      </c>
      <c r="AF2" s="5" t="s">
        <v>201</v>
      </c>
      <c r="AG2" s="5" t="s">
        <v>203</v>
      </c>
      <c r="AH2" s="5" t="s">
        <v>204</v>
      </c>
      <c r="AI2" s="5" t="s">
        <v>204</v>
      </c>
      <c r="AJ2" s="5" t="s">
        <v>204</v>
      </c>
      <c r="AK2" s="5" t="s">
        <v>204</v>
      </c>
      <c r="AL2" s="5" t="s">
        <v>224</v>
      </c>
    </row>
    <row r="3">
      <c r="A3" s="8">
        <v>512.0</v>
      </c>
      <c r="B3" s="7">
        <v>45866.27291666667</v>
      </c>
      <c r="C3" s="5" t="s">
        <v>225</v>
      </c>
      <c r="D3" s="5" t="s">
        <v>221</v>
      </c>
      <c r="E3" s="5" t="s">
        <v>216</v>
      </c>
      <c r="F3" s="5" t="s">
        <v>200</v>
      </c>
      <c r="G3" s="5" t="s">
        <v>204</v>
      </c>
      <c r="H3" s="5" t="s">
        <v>199</v>
      </c>
      <c r="I3" s="5" t="s">
        <v>201</v>
      </c>
      <c r="J3" s="5" t="s">
        <v>203</v>
      </c>
      <c r="K3" s="5" t="s">
        <v>201</v>
      </c>
      <c r="L3" s="5" t="s">
        <v>204</v>
      </c>
      <c r="M3" s="5" t="s">
        <v>204</v>
      </c>
      <c r="N3" s="5" t="s">
        <v>200</v>
      </c>
      <c r="O3" s="5" t="s">
        <v>201</v>
      </c>
      <c r="P3" s="5" t="s">
        <v>204</v>
      </c>
      <c r="Q3" s="5" t="s">
        <v>204</v>
      </c>
      <c r="R3" s="5" t="s">
        <v>204</v>
      </c>
      <c r="S3" s="5" t="s">
        <v>203</v>
      </c>
      <c r="T3" s="5" t="s">
        <v>201</v>
      </c>
      <c r="U3" s="5" t="s">
        <v>226</v>
      </c>
      <c r="V3" s="5" t="s">
        <v>206</v>
      </c>
      <c r="W3" s="5" t="s">
        <v>204</v>
      </c>
      <c r="X3" s="5" t="s">
        <v>201</v>
      </c>
      <c r="Y3" s="5" t="s">
        <v>200</v>
      </c>
      <c r="Z3" s="5" t="s">
        <v>201</v>
      </c>
      <c r="AA3" s="5" t="s">
        <v>201</v>
      </c>
      <c r="AB3" s="5" t="s">
        <v>201</v>
      </c>
      <c r="AC3" s="5" t="s">
        <v>227</v>
      </c>
      <c r="AD3" s="5" t="s">
        <v>206</v>
      </c>
      <c r="AE3" s="5" t="s">
        <v>200</v>
      </c>
      <c r="AF3" s="5" t="s">
        <v>204</v>
      </c>
      <c r="AG3" s="5" t="s">
        <v>200</v>
      </c>
      <c r="AH3" s="5" t="s">
        <v>201</v>
      </c>
      <c r="AI3" s="5" t="s">
        <v>203</v>
      </c>
      <c r="AJ3" s="5" t="s">
        <v>200</v>
      </c>
      <c r="AK3" s="5" t="s">
        <v>200</v>
      </c>
      <c r="AL3" s="5" t="s">
        <v>228</v>
      </c>
    </row>
    <row r="4">
      <c r="A4" s="8">
        <v>378.0</v>
      </c>
      <c r="B4" s="7">
        <v>45866.28472222222</v>
      </c>
      <c r="C4" s="5" t="s">
        <v>229</v>
      </c>
      <c r="D4" s="5" t="s">
        <v>221</v>
      </c>
      <c r="E4" s="5" t="s">
        <v>197</v>
      </c>
      <c r="F4" s="5" t="s">
        <v>204</v>
      </c>
      <c r="G4" s="5" t="s">
        <v>204</v>
      </c>
      <c r="H4" s="5" t="s">
        <v>199</v>
      </c>
      <c r="I4" s="5" t="s">
        <v>198</v>
      </c>
      <c r="J4" s="5" t="s">
        <v>203</v>
      </c>
      <c r="K4" s="5" t="s">
        <v>201</v>
      </c>
      <c r="L4" s="5" t="s">
        <v>204</v>
      </c>
      <c r="M4" s="5" t="s">
        <v>204</v>
      </c>
      <c r="N4" s="5" t="s">
        <v>201</v>
      </c>
      <c r="O4" s="5" t="s">
        <v>203</v>
      </c>
      <c r="P4" s="5" t="s">
        <v>198</v>
      </c>
      <c r="Q4" s="5" t="s">
        <v>204</v>
      </c>
      <c r="R4" s="5" t="s">
        <v>204</v>
      </c>
      <c r="S4" s="5" t="s">
        <v>201</v>
      </c>
      <c r="T4" s="5" t="s">
        <v>201</v>
      </c>
      <c r="U4" s="11" t="s">
        <v>230</v>
      </c>
      <c r="V4" s="5" t="s">
        <v>206</v>
      </c>
      <c r="W4" s="5" t="s">
        <v>204</v>
      </c>
      <c r="X4" s="5" t="s">
        <v>203</v>
      </c>
      <c r="Y4" s="5" t="s">
        <v>204</v>
      </c>
      <c r="Z4" s="5" t="s">
        <v>200</v>
      </c>
      <c r="AA4" s="5" t="s">
        <v>204</v>
      </c>
      <c r="AB4" s="5" t="s">
        <v>208</v>
      </c>
      <c r="AC4" s="5" t="s">
        <v>231</v>
      </c>
      <c r="AD4" s="5" t="s">
        <v>206</v>
      </c>
      <c r="AE4" s="5" t="s">
        <v>204</v>
      </c>
      <c r="AF4" s="5" t="s">
        <v>203</v>
      </c>
      <c r="AG4" s="5" t="s">
        <v>200</v>
      </c>
      <c r="AH4" s="5" t="s">
        <v>204</v>
      </c>
      <c r="AI4" s="5" t="s">
        <v>204</v>
      </c>
      <c r="AJ4" s="5" t="s">
        <v>203</v>
      </c>
      <c r="AK4" s="5" t="s">
        <v>204</v>
      </c>
      <c r="AL4" s="11" t="s">
        <v>232</v>
      </c>
    </row>
    <row r="5">
      <c r="A5" s="8">
        <v>237.0</v>
      </c>
      <c r="B5" s="7">
        <v>45866.290972222225</v>
      </c>
      <c r="C5" s="5" t="s">
        <v>233</v>
      </c>
      <c r="D5" s="5" t="s">
        <v>221</v>
      </c>
      <c r="E5" s="5" t="s">
        <v>216</v>
      </c>
      <c r="F5" s="5" t="s">
        <v>204</v>
      </c>
      <c r="G5" s="5" t="s">
        <v>204</v>
      </c>
      <c r="H5" s="5" t="s">
        <v>199</v>
      </c>
      <c r="I5" s="5" t="s">
        <v>201</v>
      </c>
      <c r="J5" s="5" t="s">
        <v>204</v>
      </c>
      <c r="K5" s="5" t="s">
        <v>204</v>
      </c>
      <c r="L5" s="5" t="s">
        <v>204</v>
      </c>
      <c r="M5" s="5" t="s">
        <v>204</v>
      </c>
      <c r="N5" s="5" t="s">
        <v>201</v>
      </c>
      <c r="O5" s="5" t="s">
        <v>201</v>
      </c>
      <c r="P5" s="5" t="s">
        <v>204</v>
      </c>
      <c r="Q5" s="5" t="s">
        <v>204</v>
      </c>
      <c r="R5" s="5" t="s">
        <v>204</v>
      </c>
      <c r="S5" s="5" t="s">
        <v>201</v>
      </c>
      <c r="T5" s="5" t="s">
        <v>201</v>
      </c>
      <c r="U5" s="5" t="s">
        <v>234</v>
      </c>
      <c r="V5" s="5" t="s">
        <v>206</v>
      </c>
      <c r="W5" s="5" t="s">
        <v>204</v>
      </c>
      <c r="X5" s="5" t="s">
        <v>201</v>
      </c>
      <c r="Y5" s="5" t="s">
        <v>204</v>
      </c>
      <c r="Z5" s="5" t="s">
        <v>204</v>
      </c>
      <c r="AA5" s="5" t="s">
        <v>204</v>
      </c>
      <c r="AB5" s="5" t="s">
        <v>208</v>
      </c>
      <c r="AC5" s="5" t="s">
        <v>235</v>
      </c>
      <c r="AD5" s="5" t="s">
        <v>206</v>
      </c>
      <c r="AE5" s="5" t="s">
        <v>204</v>
      </c>
      <c r="AF5" s="5" t="s">
        <v>204</v>
      </c>
      <c r="AG5" s="5" t="s">
        <v>204</v>
      </c>
      <c r="AH5" s="5" t="s">
        <v>203</v>
      </c>
      <c r="AI5" s="5" t="s">
        <v>203</v>
      </c>
      <c r="AJ5" s="5" t="s">
        <v>203</v>
      </c>
      <c r="AK5" s="5" t="s">
        <v>203</v>
      </c>
      <c r="AL5" s="5" t="s">
        <v>236</v>
      </c>
    </row>
    <row r="6">
      <c r="A6" s="8">
        <v>1957.0</v>
      </c>
      <c r="B6" s="7">
        <v>45866.3125</v>
      </c>
      <c r="C6" s="5" t="s">
        <v>238</v>
      </c>
      <c r="D6" s="5" t="s">
        <v>239</v>
      </c>
      <c r="E6" s="5" t="s">
        <v>216</v>
      </c>
      <c r="F6" s="5" t="s">
        <v>202</v>
      </c>
      <c r="G6" s="5" t="s">
        <v>200</v>
      </c>
      <c r="H6" s="5" t="s">
        <v>199</v>
      </c>
      <c r="I6" s="5" t="s">
        <v>201</v>
      </c>
      <c r="J6" s="5" t="s">
        <v>200</v>
      </c>
      <c r="K6" s="5" t="s">
        <v>201</v>
      </c>
      <c r="L6" s="5" t="s">
        <v>198</v>
      </c>
      <c r="M6" s="5" t="s">
        <v>198</v>
      </c>
      <c r="N6" s="5" t="s">
        <v>200</v>
      </c>
      <c r="O6" s="5" t="s">
        <v>200</v>
      </c>
      <c r="P6" s="5" t="s">
        <v>201</v>
      </c>
      <c r="Q6" s="5" t="s">
        <v>198</v>
      </c>
      <c r="R6" s="5" t="s">
        <v>201</v>
      </c>
      <c r="S6" s="5" t="s">
        <v>202</v>
      </c>
      <c r="T6" s="5" t="s">
        <v>198</v>
      </c>
      <c r="U6" s="5" t="s">
        <v>240</v>
      </c>
      <c r="V6" s="5" t="s">
        <v>206</v>
      </c>
      <c r="W6" s="5" t="s">
        <v>200</v>
      </c>
      <c r="X6" s="5" t="s">
        <v>201</v>
      </c>
      <c r="Y6" s="5" t="s">
        <v>201</v>
      </c>
      <c r="Z6" s="5" t="s">
        <v>200</v>
      </c>
      <c r="AA6" s="5" t="s">
        <v>201</v>
      </c>
      <c r="AB6" s="5" t="s">
        <v>201</v>
      </c>
      <c r="AC6" s="5" t="s">
        <v>241</v>
      </c>
      <c r="AD6" s="5" t="s">
        <v>206</v>
      </c>
      <c r="AE6" s="5" t="s">
        <v>202</v>
      </c>
      <c r="AF6" s="5" t="s">
        <v>201</v>
      </c>
      <c r="AG6" s="5" t="s">
        <v>201</v>
      </c>
      <c r="AH6" s="5" t="s">
        <v>204</v>
      </c>
      <c r="AI6" s="5" t="s">
        <v>204</v>
      </c>
      <c r="AJ6" s="5" t="s">
        <v>204</v>
      </c>
      <c r="AK6" s="5" t="s">
        <v>204</v>
      </c>
      <c r="AL6" s="5" t="s">
        <v>242</v>
      </c>
    </row>
    <row r="7">
      <c r="A7" s="8">
        <v>822.0</v>
      </c>
      <c r="B7" s="7">
        <v>45866.3125</v>
      </c>
      <c r="C7" s="5" t="s">
        <v>243</v>
      </c>
      <c r="D7" s="5" t="s">
        <v>244</v>
      </c>
      <c r="E7" s="5" t="s">
        <v>197</v>
      </c>
      <c r="F7" s="5" t="s">
        <v>208</v>
      </c>
      <c r="G7" s="5" t="s">
        <v>208</v>
      </c>
      <c r="H7" s="5" t="s">
        <v>199</v>
      </c>
      <c r="I7" s="5" t="s">
        <v>201</v>
      </c>
      <c r="J7" s="5" t="s">
        <v>198</v>
      </c>
      <c r="K7" s="5" t="s">
        <v>200</v>
      </c>
      <c r="L7" s="5" t="s">
        <v>198</v>
      </c>
      <c r="M7" s="5" t="s">
        <v>204</v>
      </c>
      <c r="N7" s="5" t="s">
        <v>200</v>
      </c>
      <c r="O7" s="5" t="s">
        <v>202</v>
      </c>
      <c r="P7" s="5" t="s">
        <v>202</v>
      </c>
      <c r="Q7" s="5" t="s">
        <v>204</v>
      </c>
      <c r="R7" s="5" t="s">
        <v>203</v>
      </c>
      <c r="S7" s="5" t="s">
        <v>201</v>
      </c>
      <c r="T7" s="5" t="s">
        <v>201</v>
      </c>
      <c r="U7" s="5" t="s">
        <v>245</v>
      </c>
      <c r="V7" s="5" t="s">
        <v>206</v>
      </c>
      <c r="W7" s="5" t="s">
        <v>200</v>
      </c>
      <c r="X7" s="5" t="s">
        <v>202</v>
      </c>
      <c r="Y7" s="5" t="s">
        <v>202</v>
      </c>
      <c r="Z7" s="5" t="s">
        <v>200</v>
      </c>
      <c r="AA7" s="5" t="s">
        <v>200</v>
      </c>
      <c r="AB7" s="5" t="s">
        <v>203</v>
      </c>
      <c r="AC7" s="5" t="s">
        <v>246</v>
      </c>
      <c r="AD7" s="5" t="s">
        <v>206</v>
      </c>
      <c r="AE7" s="5" t="s">
        <v>200</v>
      </c>
      <c r="AF7" s="5" t="s">
        <v>198</v>
      </c>
      <c r="AG7" s="5" t="s">
        <v>202</v>
      </c>
      <c r="AH7" s="5" t="s">
        <v>208</v>
      </c>
      <c r="AI7" s="5" t="s">
        <v>204</v>
      </c>
      <c r="AJ7" s="5" t="s">
        <v>200</v>
      </c>
      <c r="AK7" s="5" t="s">
        <v>200</v>
      </c>
      <c r="AL7" s="5" t="s">
        <v>247</v>
      </c>
    </row>
    <row r="8">
      <c r="A8" s="8">
        <v>1106.0</v>
      </c>
      <c r="B8" s="7">
        <v>45866.32777777778</v>
      </c>
      <c r="C8" s="5" t="s">
        <v>248</v>
      </c>
      <c r="D8" s="5" t="s">
        <v>244</v>
      </c>
      <c r="E8" s="5" t="s">
        <v>211</v>
      </c>
      <c r="F8" s="5" t="s">
        <v>198</v>
      </c>
      <c r="G8" s="5" t="s">
        <v>204</v>
      </c>
      <c r="H8" s="5" t="s">
        <v>199</v>
      </c>
      <c r="I8" s="5" t="s">
        <v>200</v>
      </c>
      <c r="J8" s="5" t="s">
        <v>208</v>
      </c>
      <c r="K8" s="5" t="s">
        <v>204</v>
      </c>
      <c r="L8" s="5" t="s">
        <v>198</v>
      </c>
      <c r="M8" s="5" t="s">
        <v>204</v>
      </c>
      <c r="N8" s="5" t="s">
        <v>200</v>
      </c>
      <c r="O8" s="5" t="s">
        <v>202</v>
      </c>
      <c r="P8" s="5" t="s">
        <v>208</v>
      </c>
      <c r="Q8" s="5" t="s">
        <v>204</v>
      </c>
      <c r="R8" s="5" t="s">
        <v>208</v>
      </c>
      <c r="S8" s="5" t="s">
        <v>200</v>
      </c>
      <c r="T8" s="5" t="s">
        <v>201</v>
      </c>
      <c r="U8" s="5" t="s">
        <v>249</v>
      </c>
      <c r="V8" s="5" t="s">
        <v>206</v>
      </c>
      <c r="W8" s="5" t="s">
        <v>202</v>
      </c>
      <c r="X8" s="5" t="s">
        <v>202</v>
      </c>
      <c r="Y8" s="5" t="s">
        <v>202</v>
      </c>
      <c r="Z8" s="5" t="s">
        <v>200</v>
      </c>
      <c r="AA8" s="5" t="s">
        <v>198</v>
      </c>
      <c r="AB8" s="5" t="s">
        <v>203</v>
      </c>
      <c r="AC8" s="5" t="s">
        <v>250</v>
      </c>
      <c r="AD8" s="5" t="s">
        <v>206</v>
      </c>
      <c r="AE8" s="5" t="s">
        <v>202</v>
      </c>
      <c r="AF8" s="5" t="s">
        <v>202</v>
      </c>
      <c r="AG8" s="5" t="s">
        <v>208</v>
      </c>
      <c r="AH8" s="5" t="s">
        <v>204</v>
      </c>
      <c r="AI8" s="5" t="s">
        <v>204</v>
      </c>
      <c r="AJ8" s="5" t="s">
        <v>204</v>
      </c>
      <c r="AK8" s="5" t="s">
        <v>204</v>
      </c>
      <c r="AL8" s="5" t="s">
        <v>251</v>
      </c>
    </row>
    <row r="9">
      <c r="A9" s="8">
        <v>1376.0</v>
      </c>
      <c r="B9" s="7">
        <v>45866.32847222222</v>
      </c>
      <c r="C9" s="5" t="s">
        <v>252</v>
      </c>
      <c r="D9" s="5" t="s">
        <v>239</v>
      </c>
      <c r="E9" s="5" t="s">
        <v>211</v>
      </c>
      <c r="F9" s="5" t="s">
        <v>201</v>
      </c>
      <c r="G9" s="5" t="s">
        <v>201</v>
      </c>
      <c r="H9" s="5" t="s">
        <v>199</v>
      </c>
      <c r="I9" s="5" t="s">
        <v>200</v>
      </c>
      <c r="J9" s="5" t="s">
        <v>200</v>
      </c>
      <c r="K9" s="5" t="s">
        <v>201</v>
      </c>
      <c r="L9" s="5" t="s">
        <v>203</v>
      </c>
      <c r="M9" s="5" t="s">
        <v>203</v>
      </c>
      <c r="N9" s="5" t="s">
        <v>201</v>
      </c>
      <c r="O9" s="5" t="s">
        <v>201</v>
      </c>
      <c r="P9" s="5" t="s">
        <v>201</v>
      </c>
      <c r="Q9" s="5" t="s">
        <v>203</v>
      </c>
      <c r="R9" s="5" t="s">
        <v>202</v>
      </c>
      <c r="S9" s="5" t="s">
        <v>201</v>
      </c>
      <c r="T9" s="5" t="s">
        <v>203</v>
      </c>
      <c r="U9" s="5" t="s">
        <v>253</v>
      </c>
      <c r="V9" s="5" t="s">
        <v>206</v>
      </c>
      <c r="W9" s="5" t="s">
        <v>200</v>
      </c>
      <c r="X9" s="5" t="s">
        <v>201</v>
      </c>
      <c r="Y9" s="5" t="s">
        <v>202</v>
      </c>
      <c r="Z9" s="5" t="s">
        <v>202</v>
      </c>
      <c r="AA9" s="5" t="s">
        <v>202</v>
      </c>
      <c r="AB9" s="5" t="s">
        <v>202</v>
      </c>
      <c r="AC9" s="5" t="s">
        <v>254</v>
      </c>
      <c r="AD9" s="5" t="s">
        <v>206</v>
      </c>
      <c r="AE9" s="5" t="s">
        <v>200</v>
      </c>
      <c r="AF9" s="5" t="s">
        <v>200</v>
      </c>
      <c r="AG9" s="5" t="s">
        <v>201</v>
      </c>
      <c r="AH9" s="5" t="s">
        <v>200</v>
      </c>
      <c r="AI9" s="5" t="s">
        <v>204</v>
      </c>
      <c r="AJ9" s="5" t="s">
        <v>200</v>
      </c>
      <c r="AK9" s="5" t="s">
        <v>200</v>
      </c>
      <c r="AL9" s="5" t="s">
        <v>255</v>
      </c>
    </row>
    <row r="10">
      <c r="A10" s="8">
        <v>1275.0</v>
      </c>
      <c r="B10" s="7">
        <v>45867.02638888889</v>
      </c>
      <c r="C10" s="5" t="s">
        <v>257</v>
      </c>
      <c r="D10" s="5" t="s">
        <v>258</v>
      </c>
      <c r="E10" s="5" t="s">
        <v>211</v>
      </c>
      <c r="F10" s="5" t="s">
        <v>198</v>
      </c>
      <c r="G10" s="5" t="s">
        <v>198</v>
      </c>
      <c r="H10" s="5" t="s">
        <v>199</v>
      </c>
      <c r="I10" s="5" t="s">
        <v>202</v>
      </c>
      <c r="J10" s="5" t="s">
        <v>201</v>
      </c>
      <c r="K10" s="5" t="s">
        <v>203</v>
      </c>
      <c r="L10" s="5" t="s">
        <v>204</v>
      </c>
      <c r="M10" s="5" t="s">
        <v>208</v>
      </c>
      <c r="N10" s="5" t="s">
        <v>201</v>
      </c>
      <c r="O10" s="5" t="s">
        <v>201</v>
      </c>
      <c r="P10" s="5" t="s">
        <v>202</v>
      </c>
      <c r="Q10" s="5" t="s">
        <v>204</v>
      </c>
      <c r="R10" s="5" t="s">
        <v>203</v>
      </c>
      <c r="S10" s="5" t="s">
        <v>200</v>
      </c>
      <c r="T10" s="5" t="s">
        <v>201</v>
      </c>
      <c r="U10" s="5" t="s">
        <v>259</v>
      </c>
      <c r="V10" s="5" t="s">
        <v>206</v>
      </c>
      <c r="W10" s="5" t="s">
        <v>202</v>
      </c>
      <c r="X10" s="5" t="s">
        <v>202</v>
      </c>
      <c r="Y10" s="5" t="s">
        <v>202</v>
      </c>
      <c r="Z10" s="5" t="s">
        <v>202</v>
      </c>
      <c r="AA10" s="5" t="s">
        <v>202</v>
      </c>
      <c r="AB10" s="5" t="s">
        <v>202</v>
      </c>
      <c r="AC10" s="5" t="s">
        <v>260</v>
      </c>
      <c r="AD10" s="5" t="s">
        <v>206</v>
      </c>
      <c r="AE10" s="5" t="s">
        <v>200</v>
      </c>
      <c r="AF10" s="5" t="s">
        <v>201</v>
      </c>
      <c r="AG10" s="5" t="s">
        <v>201</v>
      </c>
      <c r="AH10" s="5" t="s">
        <v>204</v>
      </c>
      <c r="AI10" s="5" t="s">
        <v>204</v>
      </c>
      <c r="AJ10" s="5" t="s">
        <v>204</v>
      </c>
      <c r="AK10" s="5" t="s">
        <v>204</v>
      </c>
      <c r="AL10" s="5" t="s">
        <v>261</v>
      </c>
    </row>
    <row r="11">
      <c r="A11" s="8">
        <v>859.0</v>
      </c>
      <c r="B11" s="7">
        <v>45867.027083333334</v>
      </c>
      <c r="C11" s="5" t="s">
        <v>262</v>
      </c>
      <c r="D11" s="5" t="s">
        <v>239</v>
      </c>
      <c r="E11" s="5" t="s">
        <v>263</v>
      </c>
      <c r="F11" s="5" t="s">
        <v>202</v>
      </c>
      <c r="G11" s="5" t="s">
        <v>200</v>
      </c>
      <c r="H11" s="5" t="s">
        <v>199</v>
      </c>
      <c r="I11" s="5" t="s">
        <v>203</v>
      </c>
      <c r="J11" s="5" t="s">
        <v>200</v>
      </c>
      <c r="K11" s="5" t="s">
        <v>201</v>
      </c>
      <c r="L11" s="5" t="s">
        <v>198</v>
      </c>
      <c r="M11" s="5" t="s">
        <v>203</v>
      </c>
      <c r="N11" s="5" t="s">
        <v>202</v>
      </c>
      <c r="O11" s="5" t="s">
        <v>201</v>
      </c>
      <c r="P11" s="5" t="s">
        <v>201</v>
      </c>
      <c r="Q11" s="5" t="s">
        <v>200</v>
      </c>
      <c r="R11" s="5" t="s">
        <v>201</v>
      </c>
      <c r="S11" s="5" t="s">
        <v>201</v>
      </c>
      <c r="T11" s="5" t="s">
        <v>203</v>
      </c>
      <c r="U11" s="5" t="s">
        <v>264</v>
      </c>
      <c r="V11" s="5" t="s">
        <v>206</v>
      </c>
      <c r="W11" s="5" t="s">
        <v>200</v>
      </c>
      <c r="X11" s="5" t="s">
        <v>202</v>
      </c>
      <c r="Y11" s="5" t="s">
        <v>200</v>
      </c>
      <c r="Z11" s="5" t="s">
        <v>202</v>
      </c>
      <c r="AA11" s="5" t="s">
        <v>202</v>
      </c>
      <c r="AB11" s="5" t="s">
        <v>201</v>
      </c>
      <c r="AC11" s="5" t="s">
        <v>265</v>
      </c>
      <c r="AD11" s="5" t="s">
        <v>206</v>
      </c>
      <c r="AE11" s="5" t="s">
        <v>202</v>
      </c>
      <c r="AF11" s="5" t="s">
        <v>201</v>
      </c>
      <c r="AG11" s="5" t="s">
        <v>201</v>
      </c>
      <c r="AH11" s="5" t="s">
        <v>208</v>
      </c>
      <c r="AI11" s="5" t="s">
        <v>204</v>
      </c>
      <c r="AJ11" s="5" t="s">
        <v>204</v>
      </c>
      <c r="AK11" s="5" t="s">
        <v>204</v>
      </c>
      <c r="AL11" s="5" t="s">
        <v>266</v>
      </c>
    </row>
    <row r="12">
      <c r="A12" s="8">
        <v>821.0</v>
      </c>
      <c r="B12" s="7">
        <v>45867.04583333333</v>
      </c>
      <c r="C12" s="5" t="s">
        <v>267</v>
      </c>
      <c r="D12" s="5" t="s">
        <v>239</v>
      </c>
      <c r="E12" s="5" t="s">
        <v>211</v>
      </c>
      <c r="F12" s="5" t="s">
        <v>202</v>
      </c>
      <c r="G12" s="5" t="s">
        <v>198</v>
      </c>
      <c r="H12" s="5" t="s">
        <v>199</v>
      </c>
      <c r="I12" s="5" t="s">
        <v>202</v>
      </c>
      <c r="J12" s="5" t="s">
        <v>201</v>
      </c>
      <c r="K12" s="5" t="s">
        <v>202</v>
      </c>
      <c r="L12" s="5" t="s">
        <v>203</v>
      </c>
      <c r="M12" s="5" t="s">
        <v>198</v>
      </c>
      <c r="N12" s="5" t="s">
        <v>201</v>
      </c>
      <c r="O12" s="5" t="s">
        <v>202</v>
      </c>
      <c r="P12" s="5" t="s">
        <v>198</v>
      </c>
      <c r="Q12" s="5" t="s">
        <v>203</v>
      </c>
      <c r="R12" s="5" t="s">
        <v>201</v>
      </c>
      <c r="S12" s="5" t="s">
        <v>202</v>
      </c>
      <c r="T12" s="5" t="s">
        <v>203</v>
      </c>
      <c r="U12" s="5" t="s">
        <v>268</v>
      </c>
      <c r="V12" s="5" t="s">
        <v>206</v>
      </c>
      <c r="W12" s="5" t="s">
        <v>203</v>
      </c>
      <c r="X12" s="5" t="s">
        <v>200</v>
      </c>
      <c r="Y12" s="5" t="s">
        <v>203</v>
      </c>
      <c r="Z12" s="5" t="s">
        <v>198</v>
      </c>
      <c r="AA12" s="5" t="s">
        <v>203</v>
      </c>
      <c r="AB12" s="5" t="s">
        <v>198</v>
      </c>
      <c r="AC12" s="5" t="s">
        <v>269</v>
      </c>
      <c r="AD12" s="5" t="s">
        <v>206</v>
      </c>
      <c r="AE12" s="5" t="s">
        <v>203</v>
      </c>
      <c r="AF12" s="5" t="s">
        <v>198</v>
      </c>
      <c r="AG12" s="5" t="s">
        <v>200</v>
      </c>
      <c r="AH12" s="5" t="s">
        <v>208</v>
      </c>
      <c r="AI12" s="5" t="s">
        <v>208</v>
      </c>
      <c r="AJ12" s="5" t="s">
        <v>202</v>
      </c>
      <c r="AK12" s="5" t="s">
        <v>208</v>
      </c>
      <c r="AL12" s="5" t="s">
        <v>270</v>
      </c>
    </row>
    <row r="13">
      <c r="A13" s="8">
        <v>741.0</v>
      </c>
      <c r="B13" s="7">
        <v>45867.06041666667</v>
      </c>
      <c r="C13" s="5" t="s">
        <v>271</v>
      </c>
      <c r="D13" s="5" t="s">
        <v>258</v>
      </c>
      <c r="E13" s="5" t="s">
        <v>197</v>
      </c>
      <c r="F13" s="5" t="s">
        <v>202</v>
      </c>
      <c r="G13" s="5" t="s">
        <v>208</v>
      </c>
      <c r="H13" s="5" t="s">
        <v>199</v>
      </c>
      <c r="I13" s="5" t="s">
        <v>201</v>
      </c>
      <c r="J13" s="5" t="s">
        <v>201</v>
      </c>
      <c r="K13" s="5" t="s">
        <v>201</v>
      </c>
      <c r="L13" s="5" t="s">
        <v>204</v>
      </c>
      <c r="M13" s="5" t="s">
        <v>198</v>
      </c>
      <c r="N13" s="5" t="s">
        <v>201</v>
      </c>
      <c r="O13" s="5" t="s">
        <v>201</v>
      </c>
      <c r="P13" s="5" t="s">
        <v>201</v>
      </c>
      <c r="Q13" s="5" t="s">
        <v>204</v>
      </c>
      <c r="R13" s="5" t="s">
        <v>204</v>
      </c>
      <c r="S13" s="5" t="s">
        <v>201</v>
      </c>
      <c r="T13" s="5" t="s">
        <v>201</v>
      </c>
      <c r="U13" s="5" t="s">
        <v>272</v>
      </c>
      <c r="V13" s="5" t="s">
        <v>206</v>
      </c>
      <c r="W13" s="5" t="s">
        <v>202</v>
      </c>
      <c r="X13" s="5" t="s">
        <v>201</v>
      </c>
      <c r="Y13" s="5" t="s">
        <v>202</v>
      </c>
      <c r="Z13" s="5" t="s">
        <v>202</v>
      </c>
      <c r="AA13" s="5" t="s">
        <v>201</v>
      </c>
      <c r="AB13" s="5" t="s">
        <v>201</v>
      </c>
      <c r="AC13" s="5" t="s">
        <v>273</v>
      </c>
      <c r="AD13" s="5" t="s">
        <v>206</v>
      </c>
      <c r="AE13" s="5" t="s">
        <v>201</v>
      </c>
      <c r="AF13" s="5" t="s">
        <v>202</v>
      </c>
      <c r="AG13" s="5" t="s">
        <v>201</v>
      </c>
      <c r="AH13" s="5" t="s">
        <v>198</v>
      </c>
      <c r="AI13" s="5" t="s">
        <v>198</v>
      </c>
      <c r="AJ13" s="5" t="s">
        <v>201</v>
      </c>
      <c r="AK13" s="5" t="s">
        <v>208</v>
      </c>
      <c r="AL13" s="5" t="s">
        <v>274</v>
      </c>
    </row>
    <row r="14">
      <c r="A14" s="8">
        <v>538.0</v>
      </c>
      <c r="B14" s="7">
        <v>45867.06180555555</v>
      </c>
      <c r="C14" s="5" t="s">
        <v>275</v>
      </c>
      <c r="D14" s="5" t="s">
        <v>258</v>
      </c>
      <c r="E14" s="5" t="s">
        <v>263</v>
      </c>
      <c r="F14" s="5" t="s">
        <v>200</v>
      </c>
      <c r="G14" s="5" t="s">
        <v>204</v>
      </c>
      <c r="H14" s="5" t="s">
        <v>199</v>
      </c>
      <c r="I14" s="5" t="s">
        <v>202</v>
      </c>
      <c r="J14" s="5" t="s">
        <v>201</v>
      </c>
      <c r="K14" s="5" t="s">
        <v>202</v>
      </c>
      <c r="L14" s="5" t="s">
        <v>204</v>
      </c>
      <c r="M14" s="5" t="s">
        <v>204</v>
      </c>
      <c r="N14" s="5" t="s">
        <v>201</v>
      </c>
      <c r="O14" s="5" t="s">
        <v>202</v>
      </c>
      <c r="P14" s="5" t="s">
        <v>201</v>
      </c>
      <c r="Q14" s="5" t="s">
        <v>208</v>
      </c>
      <c r="R14" s="5" t="s">
        <v>204</v>
      </c>
      <c r="S14" s="5" t="s">
        <v>201</v>
      </c>
      <c r="T14" s="5" t="s">
        <v>204</v>
      </c>
      <c r="U14" s="5" t="s">
        <v>276</v>
      </c>
      <c r="V14" s="5" t="s">
        <v>206</v>
      </c>
      <c r="W14" s="5" t="s">
        <v>201</v>
      </c>
      <c r="X14" s="5" t="s">
        <v>201</v>
      </c>
      <c r="Y14" s="5" t="s">
        <v>201</v>
      </c>
      <c r="Z14" s="5" t="s">
        <v>201</v>
      </c>
      <c r="AA14" s="5" t="s">
        <v>200</v>
      </c>
      <c r="AB14" s="5" t="s">
        <v>201</v>
      </c>
      <c r="AC14" s="5" t="s">
        <v>277</v>
      </c>
      <c r="AD14" s="5" t="s">
        <v>206</v>
      </c>
      <c r="AE14" s="5" t="s">
        <v>201</v>
      </c>
      <c r="AF14" s="5" t="s">
        <v>201</v>
      </c>
      <c r="AG14" s="5" t="s">
        <v>202</v>
      </c>
      <c r="AH14" s="5" t="s">
        <v>208</v>
      </c>
      <c r="AI14" s="5" t="s">
        <v>208</v>
      </c>
      <c r="AJ14" s="5" t="s">
        <v>201</v>
      </c>
      <c r="AK14" s="5" t="s">
        <v>208</v>
      </c>
      <c r="AL14" s="5" t="s">
        <v>278</v>
      </c>
    </row>
    <row r="15">
      <c r="A15" s="8">
        <v>1656.0</v>
      </c>
      <c r="B15" s="7">
        <v>45867.07361111111</v>
      </c>
      <c r="C15" s="5" t="s">
        <v>279</v>
      </c>
      <c r="D15" s="5" t="s">
        <v>258</v>
      </c>
      <c r="E15" s="5" t="s">
        <v>216</v>
      </c>
      <c r="F15" s="5" t="s">
        <v>201</v>
      </c>
      <c r="G15" s="5" t="s">
        <v>204</v>
      </c>
      <c r="H15" s="5" t="s">
        <v>199</v>
      </c>
      <c r="I15" s="5" t="s">
        <v>201</v>
      </c>
      <c r="J15" s="5" t="s">
        <v>201</v>
      </c>
      <c r="K15" s="5" t="s">
        <v>201</v>
      </c>
      <c r="L15" s="5" t="s">
        <v>204</v>
      </c>
      <c r="M15" s="5" t="s">
        <v>204</v>
      </c>
      <c r="N15" s="5" t="s">
        <v>201</v>
      </c>
      <c r="O15" s="5" t="s">
        <v>201</v>
      </c>
      <c r="P15" s="5" t="s">
        <v>201</v>
      </c>
      <c r="Q15" s="5" t="s">
        <v>204</v>
      </c>
      <c r="R15" s="5" t="s">
        <v>204</v>
      </c>
      <c r="S15" s="5" t="s">
        <v>201</v>
      </c>
      <c r="T15" s="5" t="s">
        <v>204</v>
      </c>
      <c r="U15" s="5" t="s">
        <v>280</v>
      </c>
      <c r="V15" s="5" t="s">
        <v>206</v>
      </c>
      <c r="W15" s="5" t="s">
        <v>201</v>
      </c>
      <c r="X15" s="5" t="s">
        <v>202</v>
      </c>
      <c r="Y15" s="5" t="s">
        <v>201</v>
      </c>
      <c r="Z15" s="5" t="s">
        <v>201</v>
      </c>
      <c r="AA15" s="5" t="s">
        <v>202</v>
      </c>
      <c r="AB15" s="5" t="s">
        <v>201</v>
      </c>
      <c r="AC15" s="5" t="s">
        <v>281</v>
      </c>
      <c r="AD15" s="5" t="s">
        <v>206</v>
      </c>
      <c r="AE15" s="5" t="s">
        <v>201</v>
      </c>
      <c r="AF15" s="5" t="s">
        <v>201</v>
      </c>
      <c r="AG15" s="5" t="s">
        <v>201</v>
      </c>
      <c r="AH15" s="5" t="s">
        <v>201</v>
      </c>
      <c r="AI15" s="5" t="s">
        <v>201</v>
      </c>
      <c r="AJ15" s="5" t="s">
        <v>204</v>
      </c>
      <c r="AK15" s="5" t="s">
        <v>201</v>
      </c>
      <c r="AL15" s="5" t="s">
        <v>282</v>
      </c>
    </row>
    <row r="16">
      <c r="A16" s="8">
        <v>797.0</v>
      </c>
      <c r="B16" s="7">
        <v>45867.095138888886</v>
      </c>
      <c r="C16" s="5" t="s">
        <v>283</v>
      </c>
      <c r="D16" s="5" t="s">
        <v>284</v>
      </c>
      <c r="E16" s="5" t="s">
        <v>263</v>
      </c>
      <c r="F16" s="5" t="s">
        <v>200</v>
      </c>
      <c r="G16" s="5" t="s">
        <v>202</v>
      </c>
      <c r="H16" s="5" t="s">
        <v>199</v>
      </c>
      <c r="I16" s="5" t="s">
        <v>202</v>
      </c>
      <c r="J16" s="5" t="s">
        <v>208</v>
      </c>
      <c r="K16" s="5" t="s">
        <v>208</v>
      </c>
      <c r="L16" s="5" t="s">
        <v>202</v>
      </c>
      <c r="M16" s="5" t="s">
        <v>198</v>
      </c>
      <c r="N16" s="5" t="s">
        <v>202</v>
      </c>
      <c r="O16" s="5" t="s">
        <v>202</v>
      </c>
      <c r="P16" s="5" t="s">
        <v>198</v>
      </c>
      <c r="Q16" s="5" t="s">
        <v>208</v>
      </c>
      <c r="R16" s="5" t="s">
        <v>202</v>
      </c>
      <c r="S16" s="5" t="s">
        <v>202</v>
      </c>
      <c r="T16" s="5" t="s">
        <v>200</v>
      </c>
      <c r="U16" s="5" t="s">
        <v>285</v>
      </c>
      <c r="V16" s="5" t="s">
        <v>206</v>
      </c>
      <c r="W16" s="5" t="s">
        <v>203</v>
      </c>
      <c r="X16" s="5" t="s">
        <v>202</v>
      </c>
      <c r="Y16" s="5" t="s">
        <v>202</v>
      </c>
      <c r="Z16" s="5" t="s">
        <v>202</v>
      </c>
      <c r="AA16" s="5" t="s">
        <v>200</v>
      </c>
      <c r="AB16" s="5" t="s">
        <v>208</v>
      </c>
      <c r="AC16" s="5" t="s">
        <v>286</v>
      </c>
      <c r="AD16" s="5" t="s">
        <v>206</v>
      </c>
      <c r="AE16" s="5" t="s">
        <v>202</v>
      </c>
      <c r="AF16" s="5" t="s">
        <v>198</v>
      </c>
      <c r="AG16" s="5" t="s">
        <v>202</v>
      </c>
      <c r="AH16" s="5" t="s">
        <v>204</v>
      </c>
      <c r="AI16" s="5" t="s">
        <v>208</v>
      </c>
      <c r="AJ16" s="5" t="s">
        <v>200</v>
      </c>
      <c r="AK16" s="5" t="s">
        <v>204</v>
      </c>
      <c r="AL16" s="5" t="s">
        <v>287</v>
      </c>
    </row>
    <row r="17">
      <c r="A17" s="8">
        <v>1356.0</v>
      </c>
      <c r="B17" s="7">
        <v>45867.09652777778</v>
      </c>
      <c r="C17" s="5" t="s">
        <v>288</v>
      </c>
      <c r="D17" s="5" t="s">
        <v>289</v>
      </c>
      <c r="E17" s="5" t="s">
        <v>216</v>
      </c>
      <c r="F17" s="5" t="s">
        <v>202</v>
      </c>
      <c r="G17" s="5" t="s">
        <v>200</v>
      </c>
      <c r="H17" s="5" t="s">
        <v>199</v>
      </c>
      <c r="I17" s="5" t="s">
        <v>202</v>
      </c>
      <c r="J17" s="5" t="s">
        <v>201</v>
      </c>
      <c r="K17" s="5" t="s">
        <v>202</v>
      </c>
      <c r="L17" s="5" t="s">
        <v>203</v>
      </c>
      <c r="M17" s="5" t="s">
        <v>202</v>
      </c>
      <c r="N17" s="5" t="s">
        <v>202</v>
      </c>
      <c r="O17" s="5" t="s">
        <v>202</v>
      </c>
      <c r="P17" s="5" t="s">
        <v>201</v>
      </c>
      <c r="Q17" s="5" t="s">
        <v>208</v>
      </c>
      <c r="R17" s="5" t="s">
        <v>208</v>
      </c>
      <c r="S17" s="5" t="s">
        <v>201</v>
      </c>
      <c r="T17" s="5" t="s">
        <v>203</v>
      </c>
      <c r="U17" s="5" t="s">
        <v>290</v>
      </c>
      <c r="V17" s="5" t="s">
        <v>206</v>
      </c>
      <c r="W17" s="5" t="s">
        <v>203</v>
      </c>
      <c r="X17" s="5" t="s">
        <v>200</v>
      </c>
      <c r="Y17" s="5" t="s">
        <v>202</v>
      </c>
      <c r="Z17" s="5" t="s">
        <v>200</v>
      </c>
      <c r="AA17" s="5" t="s">
        <v>202</v>
      </c>
      <c r="AB17" s="5" t="s">
        <v>202</v>
      </c>
      <c r="AC17" s="5" t="s">
        <v>291</v>
      </c>
      <c r="AD17" s="5" t="s">
        <v>206</v>
      </c>
      <c r="AE17" s="5" t="s">
        <v>202</v>
      </c>
      <c r="AF17" s="5" t="s">
        <v>201</v>
      </c>
      <c r="AG17" s="5" t="s">
        <v>201</v>
      </c>
      <c r="AH17" s="5" t="s">
        <v>204</v>
      </c>
      <c r="AI17" s="5" t="s">
        <v>204</v>
      </c>
      <c r="AJ17" s="5" t="s">
        <v>204</v>
      </c>
      <c r="AK17" s="5" t="s">
        <v>204</v>
      </c>
      <c r="AL17" s="5" t="s">
        <v>292</v>
      </c>
    </row>
    <row r="18">
      <c r="A18" s="8">
        <v>986.0</v>
      </c>
      <c r="B18" s="7">
        <v>45867.10902777778</v>
      </c>
      <c r="C18" s="5" t="s">
        <v>293</v>
      </c>
      <c r="D18" s="5" t="s">
        <v>284</v>
      </c>
      <c r="E18" s="5" t="s">
        <v>211</v>
      </c>
      <c r="F18" s="5" t="s">
        <v>198</v>
      </c>
      <c r="G18" s="5" t="s">
        <v>198</v>
      </c>
      <c r="H18" s="5" t="s">
        <v>199</v>
      </c>
      <c r="I18" s="5" t="s">
        <v>200</v>
      </c>
      <c r="J18" s="5" t="s">
        <v>200</v>
      </c>
      <c r="K18" s="5" t="s">
        <v>208</v>
      </c>
      <c r="L18" s="5" t="s">
        <v>198</v>
      </c>
      <c r="M18" s="5" t="s">
        <v>198</v>
      </c>
      <c r="N18" s="5" t="s">
        <v>202</v>
      </c>
      <c r="O18" s="5" t="s">
        <v>200</v>
      </c>
      <c r="P18" s="5" t="s">
        <v>202</v>
      </c>
      <c r="Q18" s="5" t="s">
        <v>208</v>
      </c>
      <c r="R18" s="5" t="s">
        <v>198</v>
      </c>
      <c r="S18" s="5" t="s">
        <v>202</v>
      </c>
      <c r="T18" s="5" t="s">
        <v>202</v>
      </c>
      <c r="U18" s="5" t="s">
        <v>294</v>
      </c>
      <c r="V18" s="5" t="s">
        <v>206</v>
      </c>
      <c r="W18" s="5" t="s">
        <v>198</v>
      </c>
      <c r="X18" s="5" t="s">
        <v>200</v>
      </c>
      <c r="Y18" s="5" t="s">
        <v>200</v>
      </c>
      <c r="Z18" s="5" t="s">
        <v>200</v>
      </c>
      <c r="AA18" s="5" t="s">
        <v>200</v>
      </c>
      <c r="AB18" s="5" t="s">
        <v>200</v>
      </c>
      <c r="AC18" s="5" t="s">
        <v>295</v>
      </c>
      <c r="AD18" s="5" t="s">
        <v>206</v>
      </c>
      <c r="AE18" s="5" t="s">
        <v>200</v>
      </c>
      <c r="AF18" s="5" t="s">
        <v>200</v>
      </c>
      <c r="AG18" s="5" t="s">
        <v>200</v>
      </c>
      <c r="AH18" s="5" t="s">
        <v>208</v>
      </c>
      <c r="AI18" s="5" t="s">
        <v>208</v>
      </c>
      <c r="AJ18" s="5" t="s">
        <v>208</v>
      </c>
      <c r="AK18" s="5" t="s">
        <v>204</v>
      </c>
      <c r="AL18" s="5" t="s">
        <v>296</v>
      </c>
    </row>
    <row r="19">
      <c r="A19" s="8">
        <v>401.0</v>
      </c>
      <c r="B19" s="7">
        <v>45867.11041666667</v>
      </c>
      <c r="C19" s="5" t="s">
        <v>297</v>
      </c>
      <c r="D19" s="5" t="s">
        <v>289</v>
      </c>
      <c r="E19" s="5" t="s">
        <v>197</v>
      </c>
      <c r="F19" s="5" t="s">
        <v>201</v>
      </c>
      <c r="G19" s="5" t="s">
        <v>202</v>
      </c>
      <c r="H19" s="5" t="s">
        <v>199</v>
      </c>
      <c r="I19" s="5" t="s">
        <v>202</v>
      </c>
      <c r="J19" s="5" t="s">
        <v>201</v>
      </c>
      <c r="K19" s="5" t="s">
        <v>200</v>
      </c>
      <c r="L19" s="5" t="s">
        <v>201</v>
      </c>
      <c r="M19" s="5" t="s">
        <v>201</v>
      </c>
      <c r="N19" s="5" t="s">
        <v>201</v>
      </c>
      <c r="O19" s="5" t="s">
        <v>202</v>
      </c>
      <c r="P19" s="5" t="s">
        <v>202</v>
      </c>
      <c r="Q19" s="5" t="s">
        <v>198</v>
      </c>
      <c r="R19" s="5" t="s">
        <v>203</v>
      </c>
      <c r="S19" s="5" t="s">
        <v>201</v>
      </c>
      <c r="T19" s="5" t="s">
        <v>202</v>
      </c>
      <c r="U19" s="5" t="s">
        <v>298</v>
      </c>
      <c r="V19" s="5" t="s">
        <v>206</v>
      </c>
      <c r="W19" s="5" t="s">
        <v>202</v>
      </c>
      <c r="X19" s="5" t="s">
        <v>202</v>
      </c>
      <c r="Y19" s="5" t="s">
        <v>201</v>
      </c>
      <c r="Z19" s="5" t="s">
        <v>201</v>
      </c>
      <c r="AA19" s="5" t="s">
        <v>201</v>
      </c>
      <c r="AB19" s="5" t="s">
        <v>200</v>
      </c>
      <c r="AC19" s="5" t="s">
        <v>299</v>
      </c>
      <c r="AD19" s="5" t="s">
        <v>206</v>
      </c>
      <c r="AE19" s="5" t="s">
        <v>202</v>
      </c>
      <c r="AF19" s="5" t="s">
        <v>200</v>
      </c>
      <c r="AG19" s="5" t="s">
        <v>201</v>
      </c>
      <c r="AH19" s="5" t="s">
        <v>208</v>
      </c>
      <c r="AI19" s="5" t="s">
        <v>204</v>
      </c>
      <c r="AJ19" s="5" t="s">
        <v>198</v>
      </c>
      <c r="AK19" s="5" t="s">
        <v>208</v>
      </c>
      <c r="AL19" s="5" t="s">
        <v>300</v>
      </c>
    </row>
    <row r="20">
      <c r="A20" s="8">
        <v>845.0</v>
      </c>
      <c r="B20" s="7">
        <v>45867.11944444444</v>
      </c>
      <c r="C20" s="5" t="s">
        <v>301</v>
      </c>
      <c r="D20" s="5" t="s">
        <v>284</v>
      </c>
      <c r="E20" s="5" t="s">
        <v>216</v>
      </c>
      <c r="F20" s="5" t="s">
        <v>198</v>
      </c>
      <c r="G20" s="5" t="s">
        <v>208</v>
      </c>
      <c r="H20" s="5" t="s">
        <v>199</v>
      </c>
      <c r="I20" s="5" t="s">
        <v>200</v>
      </c>
      <c r="J20" s="5" t="s">
        <v>198</v>
      </c>
      <c r="K20" s="5" t="s">
        <v>198</v>
      </c>
      <c r="L20" s="5" t="s">
        <v>198</v>
      </c>
      <c r="M20" s="5" t="s">
        <v>198</v>
      </c>
      <c r="N20" s="5" t="s">
        <v>202</v>
      </c>
      <c r="O20" s="5" t="s">
        <v>202</v>
      </c>
      <c r="P20" s="5" t="s">
        <v>202</v>
      </c>
      <c r="Q20" s="5" t="s">
        <v>208</v>
      </c>
      <c r="R20" s="5" t="s">
        <v>198</v>
      </c>
      <c r="S20" s="5" t="s">
        <v>202</v>
      </c>
      <c r="T20" s="5" t="s">
        <v>200</v>
      </c>
      <c r="U20" s="5" t="s">
        <v>302</v>
      </c>
      <c r="V20" s="5" t="s">
        <v>206</v>
      </c>
      <c r="W20" s="5" t="s">
        <v>200</v>
      </c>
      <c r="X20" s="5" t="s">
        <v>202</v>
      </c>
      <c r="Y20" s="5" t="s">
        <v>202</v>
      </c>
      <c r="Z20" s="5" t="s">
        <v>202</v>
      </c>
      <c r="AA20" s="5" t="s">
        <v>200</v>
      </c>
      <c r="AB20" s="5" t="s">
        <v>200</v>
      </c>
      <c r="AC20" s="5" t="s">
        <v>303</v>
      </c>
      <c r="AD20" s="5" t="s">
        <v>206</v>
      </c>
      <c r="AE20" s="5" t="s">
        <v>202</v>
      </c>
      <c r="AF20" s="5" t="s">
        <v>202</v>
      </c>
      <c r="AG20" s="5" t="s">
        <v>198</v>
      </c>
      <c r="AH20" s="5" t="s">
        <v>208</v>
      </c>
      <c r="AI20" s="5" t="s">
        <v>208</v>
      </c>
      <c r="AJ20" s="5" t="s">
        <v>208</v>
      </c>
      <c r="AK20" s="5" t="s">
        <v>204</v>
      </c>
      <c r="AL20" s="5" t="s">
        <v>304</v>
      </c>
    </row>
    <row r="21">
      <c r="A21" s="8">
        <v>341.0</v>
      </c>
      <c r="B21" s="7">
        <v>45867.12013888889</v>
      </c>
      <c r="C21" s="5" t="s">
        <v>305</v>
      </c>
      <c r="D21" s="5" t="s">
        <v>289</v>
      </c>
      <c r="E21" s="5" t="s">
        <v>263</v>
      </c>
      <c r="F21" s="5" t="s">
        <v>201</v>
      </c>
      <c r="G21" s="5" t="s">
        <v>200</v>
      </c>
      <c r="H21" s="5" t="s">
        <v>199</v>
      </c>
      <c r="I21" s="5" t="s">
        <v>201</v>
      </c>
      <c r="J21" s="5" t="s">
        <v>201</v>
      </c>
      <c r="K21" s="5" t="s">
        <v>201</v>
      </c>
      <c r="L21" s="5" t="s">
        <v>200</v>
      </c>
      <c r="M21" s="5" t="s">
        <v>201</v>
      </c>
      <c r="N21" s="5" t="s">
        <v>202</v>
      </c>
      <c r="O21" s="5" t="s">
        <v>202</v>
      </c>
      <c r="P21" s="5" t="s">
        <v>200</v>
      </c>
      <c r="Q21" s="5" t="s">
        <v>202</v>
      </c>
      <c r="R21" s="5" t="s">
        <v>203</v>
      </c>
      <c r="S21" s="5" t="s">
        <v>202</v>
      </c>
      <c r="T21" s="5" t="s">
        <v>208</v>
      </c>
      <c r="U21" s="5" t="s">
        <v>306</v>
      </c>
      <c r="V21" s="5" t="s">
        <v>206</v>
      </c>
      <c r="W21" s="5" t="s">
        <v>202</v>
      </c>
      <c r="X21" s="5" t="s">
        <v>201</v>
      </c>
      <c r="Y21" s="5" t="s">
        <v>201</v>
      </c>
      <c r="Z21" s="5" t="s">
        <v>201</v>
      </c>
      <c r="AA21" s="5" t="s">
        <v>201</v>
      </c>
      <c r="AB21" s="5" t="s">
        <v>202</v>
      </c>
      <c r="AC21" s="5" t="s">
        <v>307</v>
      </c>
      <c r="AD21" s="5" t="s">
        <v>206</v>
      </c>
      <c r="AE21" s="5" t="s">
        <v>201</v>
      </c>
      <c r="AF21" s="5" t="s">
        <v>202</v>
      </c>
      <c r="AG21" s="5" t="s">
        <v>201</v>
      </c>
      <c r="AH21" s="5" t="s">
        <v>208</v>
      </c>
      <c r="AI21" s="5" t="s">
        <v>204</v>
      </c>
      <c r="AJ21" s="5" t="s">
        <v>204</v>
      </c>
      <c r="AK21" s="5" t="s">
        <v>204</v>
      </c>
      <c r="AL21" s="5" t="s">
        <v>308</v>
      </c>
    </row>
    <row r="22">
      <c r="A22" s="8">
        <v>465.0</v>
      </c>
      <c r="B22" s="7">
        <v>45867.12847222222</v>
      </c>
      <c r="C22" s="5" t="s">
        <v>309</v>
      </c>
      <c r="D22" s="5" t="s">
        <v>289</v>
      </c>
      <c r="E22" s="5" t="s">
        <v>216</v>
      </c>
      <c r="F22" s="5" t="s">
        <v>201</v>
      </c>
      <c r="G22" s="5" t="s">
        <v>202</v>
      </c>
      <c r="H22" s="5" t="s">
        <v>199</v>
      </c>
      <c r="I22" s="5" t="s">
        <v>201</v>
      </c>
      <c r="J22" s="5" t="s">
        <v>201</v>
      </c>
      <c r="K22" s="5" t="s">
        <v>202</v>
      </c>
      <c r="L22" s="5" t="s">
        <v>201</v>
      </c>
      <c r="M22" s="5" t="s">
        <v>201</v>
      </c>
      <c r="N22" s="5" t="s">
        <v>201</v>
      </c>
      <c r="O22" s="5" t="s">
        <v>201</v>
      </c>
      <c r="P22" s="5" t="s">
        <v>201</v>
      </c>
      <c r="Q22" s="5" t="s">
        <v>202</v>
      </c>
      <c r="R22" s="5" t="s">
        <v>203</v>
      </c>
      <c r="S22" s="5" t="s">
        <v>201</v>
      </c>
      <c r="T22" s="5" t="s">
        <v>202</v>
      </c>
      <c r="U22" s="5" t="s">
        <v>310</v>
      </c>
      <c r="V22" s="5" t="s">
        <v>206</v>
      </c>
      <c r="W22" s="5" t="s">
        <v>201</v>
      </c>
      <c r="X22" s="5" t="s">
        <v>202</v>
      </c>
      <c r="Y22" s="5" t="s">
        <v>202</v>
      </c>
      <c r="Z22" s="5" t="s">
        <v>202</v>
      </c>
      <c r="AA22" s="5" t="s">
        <v>201</v>
      </c>
      <c r="AB22" s="5" t="s">
        <v>202</v>
      </c>
      <c r="AC22" s="5" t="s">
        <v>311</v>
      </c>
      <c r="AD22" s="5" t="s">
        <v>206</v>
      </c>
      <c r="AE22" s="5" t="s">
        <v>202</v>
      </c>
      <c r="AF22" s="5" t="s">
        <v>201</v>
      </c>
      <c r="AG22" s="5" t="s">
        <v>201</v>
      </c>
      <c r="AH22" s="5" t="s">
        <v>204</v>
      </c>
      <c r="AI22" s="5" t="s">
        <v>204</v>
      </c>
      <c r="AJ22" s="5" t="s">
        <v>204</v>
      </c>
      <c r="AK22" s="5" t="s">
        <v>204</v>
      </c>
      <c r="AL22" s="5" t="s">
        <v>312</v>
      </c>
    </row>
    <row r="23">
      <c r="A23" s="8">
        <v>559.0</v>
      </c>
      <c r="B23" s="7">
        <v>45867.131944444445</v>
      </c>
      <c r="C23" s="5" t="s">
        <v>313</v>
      </c>
      <c r="D23" s="5" t="s">
        <v>284</v>
      </c>
      <c r="E23" s="5" t="s">
        <v>197</v>
      </c>
      <c r="F23" s="5" t="s">
        <v>202</v>
      </c>
      <c r="G23" s="5" t="s">
        <v>203</v>
      </c>
      <c r="H23" s="5" t="s">
        <v>199</v>
      </c>
      <c r="I23" s="5" t="s">
        <v>200</v>
      </c>
      <c r="J23" s="5" t="s">
        <v>202</v>
      </c>
      <c r="K23" s="5" t="s">
        <v>208</v>
      </c>
      <c r="L23" s="5" t="s">
        <v>198</v>
      </c>
      <c r="M23" s="5" t="s">
        <v>208</v>
      </c>
      <c r="N23" s="5" t="s">
        <v>202</v>
      </c>
      <c r="O23" s="5" t="s">
        <v>202</v>
      </c>
      <c r="P23" s="5" t="s">
        <v>202</v>
      </c>
      <c r="Q23" s="5" t="s">
        <v>208</v>
      </c>
      <c r="R23" s="5" t="s">
        <v>208</v>
      </c>
      <c r="S23" s="5" t="s">
        <v>208</v>
      </c>
      <c r="T23" s="5" t="s">
        <v>200</v>
      </c>
      <c r="U23" s="5" t="s">
        <v>314</v>
      </c>
      <c r="V23" s="5" t="s">
        <v>206</v>
      </c>
      <c r="W23" s="5" t="s">
        <v>202</v>
      </c>
      <c r="X23" s="5" t="s">
        <v>202</v>
      </c>
      <c r="Y23" s="5" t="s">
        <v>202</v>
      </c>
      <c r="Z23" s="5" t="s">
        <v>202</v>
      </c>
      <c r="AA23" s="5" t="s">
        <v>202</v>
      </c>
      <c r="AB23" s="5" t="s">
        <v>200</v>
      </c>
      <c r="AC23" s="5" t="s">
        <v>315</v>
      </c>
      <c r="AD23" s="5" t="s">
        <v>206</v>
      </c>
      <c r="AE23" s="5" t="s">
        <v>202</v>
      </c>
      <c r="AF23" s="5" t="s">
        <v>202</v>
      </c>
      <c r="AG23" s="5" t="s">
        <v>200</v>
      </c>
      <c r="AH23" s="5" t="s">
        <v>208</v>
      </c>
      <c r="AI23" s="5" t="s">
        <v>203</v>
      </c>
      <c r="AJ23" s="5" t="s">
        <v>200</v>
      </c>
      <c r="AK23" s="5" t="s">
        <v>208</v>
      </c>
      <c r="AL23" s="5" t="s">
        <v>316</v>
      </c>
    </row>
    <row r="24">
      <c r="A24" s="8">
        <v>845.0</v>
      </c>
      <c r="B24" s="7">
        <v>45867.2125</v>
      </c>
      <c r="C24" s="5" t="s">
        <v>317</v>
      </c>
      <c r="D24" s="5" t="s">
        <v>318</v>
      </c>
      <c r="E24" s="5" t="s">
        <v>197</v>
      </c>
      <c r="F24" s="5" t="s">
        <v>198</v>
      </c>
      <c r="G24" s="5" t="s">
        <v>208</v>
      </c>
      <c r="H24" s="5" t="s">
        <v>199</v>
      </c>
      <c r="I24" s="5" t="s">
        <v>198</v>
      </c>
      <c r="J24" s="5" t="s">
        <v>200</v>
      </c>
      <c r="K24" s="5" t="s">
        <v>198</v>
      </c>
      <c r="L24" s="5" t="s">
        <v>203</v>
      </c>
      <c r="M24" s="5" t="s">
        <v>198</v>
      </c>
      <c r="N24" s="5" t="s">
        <v>200</v>
      </c>
      <c r="O24" s="5" t="s">
        <v>202</v>
      </c>
      <c r="P24" s="5" t="s">
        <v>203</v>
      </c>
      <c r="Q24" s="5" t="s">
        <v>208</v>
      </c>
      <c r="R24" s="5" t="s">
        <v>204</v>
      </c>
      <c r="S24" s="5" t="s">
        <v>203</v>
      </c>
      <c r="T24" s="5" t="s">
        <v>202</v>
      </c>
      <c r="U24" s="5" t="s">
        <v>319</v>
      </c>
      <c r="V24" s="5" t="s">
        <v>206</v>
      </c>
      <c r="W24" s="5" t="s">
        <v>198</v>
      </c>
      <c r="X24" s="5" t="s">
        <v>200</v>
      </c>
      <c r="Y24" s="5" t="s">
        <v>200</v>
      </c>
      <c r="Z24" s="5" t="s">
        <v>202</v>
      </c>
      <c r="AA24" s="5" t="s">
        <v>200</v>
      </c>
      <c r="AB24" s="5" t="s">
        <v>202</v>
      </c>
      <c r="AC24" s="5" t="s">
        <v>320</v>
      </c>
      <c r="AD24" s="5" t="s">
        <v>206</v>
      </c>
      <c r="AE24" s="5" t="s">
        <v>200</v>
      </c>
      <c r="AF24" s="5" t="s">
        <v>202</v>
      </c>
      <c r="AG24" s="5" t="s">
        <v>202</v>
      </c>
      <c r="AH24" s="5" t="s">
        <v>204</v>
      </c>
      <c r="AI24" s="5" t="s">
        <v>204</v>
      </c>
      <c r="AJ24" s="5" t="s">
        <v>204</v>
      </c>
      <c r="AK24" s="5" t="s">
        <v>204</v>
      </c>
      <c r="AL24" s="5" t="s">
        <v>321</v>
      </c>
    </row>
    <row r="25">
      <c r="A25" s="8">
        <v>353.0</v>
      </c>
      <c r="B25" s="7">
        <v>45867.22222222222</v>
      </c>
      <c r="C25" s="5" t="s">
        <v>322</v>
      </c>
      <c r="D25" s="5" t="s">
        <v>318</v>
      </c>
      <c r="E25" s="5" t="s">
        <v>211</v>
      </c>
      <c r="F25" s="5" t="s">
        <v>200</v>
      </c>
      <c r="G25" s="5" t="s">
        <v>203</v>
      </c>
      <c r="H25" s="5" t="s">
        <v>199</v>
      </c>
      <c r="I25" s="5" t="s">
        <v>202</v>
      </c>
      <c r="J25" s="5" t="s">
        <v>200</v>
      </c>
      <c r="K25" s="5" t="s">
        <v>198</v>
      </c>
      <c r="L25" s="5" t="s">
        <v>203</v>
      </c>
      <c r="M25" s="5" t="s">
        <v>203</v>
      </c>
      <c r="N25" s="5" t="s">
        <v>202</v>
      </c>
      <c r="O25" s="5" t="s">
        <v>202</v>
      </c>
      <c r="P25" s="5" t="s">
        <v>202</v>
      </c>
      <c r="Q25" s="5" t="s">
        <v>208</v>
      </c>
      <c r="R25" s="5" t="s">
        <v>198</v>
      </c>
      <c r="S25" s="5" t="s">
        <v>203</v>
      </c>
      <c r="T25" s="5" t="s">
        <v>200</v>
      </c>
      <c r="U25" s="5" t="s">
        <v>323</v>
      </c>
      <c r="V25" s="5" t="s">
        <v>206</v>
      </c>
      <c r="W25" s="5" t="s">
        <v>202</v>
      </c>
      <c r="X25" s="5" t="s">
        <v>202</v>
      </c>
      <c r="Y25" s="5" t="s">
        <v>202</v>
      </c>
      <c r="Z25" s="5" t="s">
        <v>201</v>
      </c>
      <c r="AA25" s="5" t="s">
        <v>201</v>
      </c>
      <c r="AB25" s="5" t="s">
        <v>202</v>
      </c>
      <c r="AC25" s="5" t="s">
        <v>324</v>
      </c>
      <c r="AD25" s="5" t="s">
        <v>206</v>
      </c>
      <c r="AE25" s="5" t="s">
        <v>202</v>
      </c>
      <c r="AF25" s="5" t="s">
        <v>202</v>
      </c>
      <c r="AG25" s="5" t="s">
        <v>202</v>
      </c>
      <c r="AH25" s="5" t="s">
        <v>204</v>
      </c>
      <c r="AI25" s="5" t="s">
        <v>204</v>
      </c>
      <c r="AJ25" s="5" t="s">
        <v>204</v>
      </c>
      <c r="AK25" s="5" t="s">
        <v>204</v>
      </c>
      <c r="AL25" s="5" t="s">
        <v>325</v>
      </c>
    </row>
    <row r="26">
      <c r="A26" s="8">
        <v>560.0</v>
      </c>
      <c r="B26" s="7">
        <v>45867.23125</v>
      </c>
      <c r="C26" s="5" t="s">
        <v>326</v>
      </c>
      <c r="D26" s="5" t="s">
        <v>318</v>
      </c>
      <c r="E26" s="5" t="s">
        <v>216</v>
      </c>
      <c r="F26" s="5" t="s">
        <v>203</v>
      </c>
      <c r="G26" s="5" t="s">
        <v>198</v>
      </c>
      <c r="H26" s="5" t="s">
        <v>199</v>
      </c>
      <c r="I26" s="5" t="s">
        <v>202</v>
      </c>
      <c r="J26" s="5" t="s">
        <v>202</v>
      </c>
      <c r="K26" s="5" t="s">
        <v>198</v>
      </c>
      <c r="L26" s="5" t="s">
        <v>198</v>
      </c>
      <c r="M26" s="5" t="s">
        <v>200</v>
      </c>
      <c r="N26" s="5" t="s">
        <v>202</v>
      </c>
      <c r="O26" s="5" t="s">
        <v>202</v>
      </c>
      <c r="P26" s="5" t="s">
        <v>200</v>
      </c>
      <c r="Q26" s="5" t="s">
        <v>198</v>
      </c>
      <c r="R26" s="5" t="s">
        <v>203</v>
      </c>
      <c r="S26" s="5" t="s">
        <v>198</v>
      </c>
      <c r="T26" s="5" t="s">
        <v>200</v>
      </c>
      <c r="U26" s="5" t="s">
        <v>327</v>
      </c>
      <c r="V26" s="5" t="s">
        <v>206</v>
      </c>
      <c r="W26" s="5" t="s">
        <v>202</v>
      </c>
      <c r="X26" s="5" t="s">
        <v>201</v>
      </c>
      <c r="Y26" s="5" t="s">
        <v>202</v>
      </c>
      <c r="Z26" s="5" t="s">
        <v>201</v>
      </c>
      <c r="AA26" s="5" t="s">
        <v>201</v>
      </c>
      <c r="AB26" s="5" t="s">
        <v>201</v>
      </c>
      <c r="AC26" s="5" t="s">
        <v>328</v>
      </c>
      <c r="AD26" s="5" t="s">
        <v>206</v>
      </c>
      <c r="AE26" s="5" t="s">
        <v>202</v>
      </c>
      <c r="AF26" s="5" t="s">
        <v>201</v>
      </c>
      <c r="AG26" s="5" t="s">
        <v>200</v>
      </c>
      <c r="AH26" s="5" t="s">
        <v>204</v>
      </c>
      <c r="AI26" s="5" t="s">
        <v>204</v>
      </c>
      <c r="AJ26" s="5" t="s">
        <v>204</v>
      </c>
      <c r="AK26" s="5" t="s">
        <v>204</v>
      </c>
      <c r="AL26" s="5" t="s">
        <v>329</v>
      </c>
    </row>
    <row r="27">
      <c r="A27" s="8">
        <v>990.0</v>
      </c>
      <c r="B27" s="7">
        <v>45867.240277777775</v>
      </c>
      <c r="C27" s="5" t="s">
        <v>330</v>
      </c>
      <c r="D27" s="5" t="s">
        <v>331</v>
      </c>
      <c r="E27" s="5" t="s">
        <v>197</v>
      </c>
      <c r="F27" s="5" t="s">
        <v>202</v>
      </c>
      <c r="G27" s="5" t="s">
        <v>202</v>
      </c>
      <c r="H27" s="5" t="s">
        <v>199</v>
      </c>
      <c r="I27" s="5" t="s">
        <v>202</v>
      </c>
      <c r="J27" s="5" t="s">
        <v>201</v>
      </c>
      <c r="K27" s="5" t="s">
        <v>200</v>
      </c>
      <c r="L27" s="5" t="s">
        <v>202</v>
      </c>
      <c r="M27" s="5" t="s">
        <v>202</v>
      </c>
      <c r="N27" s="5" t="s">
        <v>200</v>
      </c>
      <c r="O27" s="5" t="s">
        <v>200</v>
      </c>
      <c r="P27" s="5" t="s">
        <v>201</v>
      </c>
      <c r="Q27" s="5" t="s">
        <v>198</v>
      </c>
      <c r="R27" s="5" t="s">
        <v>200</v>
      </c>
      <c r="S27" s="5" t="s">
        <v>201</v>
      </c>
      <c r="T27" s="5" t="s">
        <v>208</v>
      </c>
      <c r="U27" s="5" t="s">
        <v>332</v>
      </c>
      <c r="V27" s="5" t="s">
        <v>206</v>
      </c>
      <c r="W27" s="5" t="s">
        <v>200</v>
      </c>
      <c r="X27" s="5" t="s">
        <v>201</v>
      </c>
      <c r="Y27" s="5" t="s">
        <v>201</v>
      </c>
      <c r="Z27" s="5" t="s">
        <v>201</v>
      </c>
      <c r="AA27" s="5" t="s">
        <v>201</v>
      </c>
      <c r="AB27" s="5" t="s">
        <v>203</v>
      </c>
      <c r="AC27" s="5" t="s">
        <v>333</v>
      </c>
      <c r="AD27" s="5" t="s">
        <v>206</v>
      </c>
      <c r="AE27" s="5" t="s">
        <v>201</v>
      </c>
      <c r="AF27" s="5" t="s">
        <v>202</v>
      </c>
      <c r="AG27" s="5" t="s">
        <v>201</v>
      </c>
      <c r="AH27" s="5" t="s">
        <v>208</v>
      </c>
      <c r="AI27" s="5" t="s">
        <v>204</v>
      </c>
      <c r="AJ27" s="5" t="s">
        <v>208</v>
      </c>
      <c r="AK27" s="5" t="s">
        <v>204</v>
      </c>
      <c r="AL27" s="5" t="s">
        <v>334</v>
      </c>
    </row>
    <row r="28">
      <c r="A28" s="8">
        <v>934.0</v>
      </c>
      <c r="B28" s="7">
        <v>45867.25208333333</v>
      </c>
      <c r="C28" s="5" t="s">
        <v>335</v>
      </c>
      <c r="D28" s="5" t="s">
        <v>331</v>
      </c>
      <c r="E28" s="5" t="s">
        <v>211</v>
      </c>
      <c r="F28" s="5" t="s">
        <v>200</v>
      </c>
      <c r="G28" s="5" t="s">
        <v>202</v>
      </c>
      <c r="H28" s="5" t="s">
        <v>199</v>
      </c>
      <c r="I28" s="5" t="s">
        <v>202</v>
      </c>
      <c r="J28" s="5" t="s">
        <v>202</v>
      </c>
      <c r="K28" s="5" t="s">
        <v>202</v>
      </c>
      <c r="L28" s="5" t="s">
        <v>202</v>
      </c>
      <c r="M28" s="5" t="s">
        <v>201</v>
      </c>
      <c r="N28" s="5" t="s">
        <v>202</v>
      </c>
      <c r="O28" s="5" t="s">
        <v>200</v>
      </c>
      <c r="P28" s="5" t="s">
        <v>201</v>
      </c>
      <c r="Q28" s="5" t="s">
        <v>202</v>
      </c>
      <c r="R28" s="5" t="s">
        <v>198</v>
      </c>
      <c r="S28" s="5" t="s">
        <v>202</v>
      </c>
      <c r="T28" s="5" t="s">
        <v>208</v>
      </c>
      <c r="U28" s="5" t="s">
        <v>336</v>
      </c>
      <c r="V28" s="5" t="s">
        <v>206</v>
      </c>
      <c r="W28" s="5" t="s">
        <v>202</v>
      </c>
      <c r="X28" s="5" t="s">
        <v>202</v>
      </c>
      <c r="Y28" s="5" t="s">
        <v>201</v>
      </c>
      <c r="Z28" s="5" t="s">
        <v>201</v>
      </c>
      <c r="AA28" s="5" t="s">
        <v>202</v>
      </c>
      <c r="AB28" s="5" t="s">
        <v>198</v>
      </c>
      <c r="AC28" s="5" t="s">
        <v>337</v>
      </c>
      <c r="AD28" s="5" t="s">
        <v>206</v>
      </c>
      <c r="AE28" s="5" t="s">
        <v>201</v>
      </c>
      <c r="AF28" s="5" t="s">
        <v>201</v>
      </c>
      <c r="AG28" s="5" t="s">
        <v>201</v>
      </c>
      <c r="AH28" s="5" t="s">
        <v>204</v>
      </c>
      <c r="AI28" s="5" t="s">
        <v>204</v>
      </c>
      <c r="AJ28" s="5" t="s">
        <v>204</v>
      </c>
      <c r="AK28" s="5" t="s">
        <v>204</v>
      </c>
      <c r="AL28" s="5" t="s">
        <v>338</v>
      </c>
    </row>
    <row r="29">
      <c r="A29" s="8">
        <v>468.0</v>
      </c>
      <c r="B29" s="7">
        <v>45867.25486111111</v>
      </c>
      <c r="C29" s="5" t="s">
        <v>339</v>
      </c>
      <c r="D29" s="5" t="s">
        <v>318</v>
      </c>
      <c r="E29" s="5" t="s">
        <v>263</v>
      </c>
      <c r="F29" s="5" t="s">
        <v>200</v>
      </c>
      <c r="G29" s="5" t="s">
        <v>203</v>
      </c>
      <c r="H29" s="5" t="s">
        <v>199</v>
      </c>
      <c r="I29" s="5" t="s">
        <v>200</v>
      </c>
      <c r="J29" s="5" t="s">
        <v>202</v>
      </c>
      <c r="K29" s="5" t="s">
        <v>203</v>
      </c>
      <c r="L29" s="5" t="s">
        <v>208</v>
      </c>
      <c r="M29" s="5" t="s">
        <v>203</v>
      </c>
      <c r="N29" s="5" t="s">
        <v>202</v>
      </c>
      <c r="O29" s="5" t="s">
        <v>202</v>
      </c>
      <c r="P29" s="5" t="s">
        <v>200</v>
      </c>
      <c r="Q29" s="5" t="s">
        <v>203</v>
      </c>
      <c r="R29" s="5" t="s">
        <v>198</v>
      </c>
      <c r="S29" s="5" t="s">
        <v>200</v>
      </c>
      <c r="T29" s="5" t="s">
        <v>200</v>
      </c>
      <c r="U29" s="5" t="s">
        <v>340</v>
      </c>
      <c r="V29" s="5" t="s">
        <v>206</v>
      </c>
      <c r="W29" s="5" t="s">
        <v>200</v>
      </c>
      <c r="X29" s="5" t="s">
        <v>201</v>
      </c>
      <c r="Y29" s="5" t="s">
        <v>202</v>
      </c>
      <c r="Z29" s="5" t="s">
        <v>201</v>
      </c>
      <c r="AA29" s="5" t="s">
        <v>201</v>
      </c>
      <c r="AB29" s="5" t="s">
        <v>201</v>
      </c>
      <c r="AC29" s="5" t="s">
        <v>341</v>
      </c>
      <c r="AD29" s="5" t="s">
        <v>206</v>
      </c>
      <c r="AE29" s="5" t="s">
        <v>202</v>
      </c>
      <c r="AF29" s="5" t="s">
        <v>198</v>
      </c>
      <c r="AG29" s="5" t="s">
        <v>200</v>
      </c>
      <c r="AH29" s="5" t="s">
        <v>203</v>
      </c>
      <c r="AI29" s="5" t="s">
        <v>204</v>
      </c>
      <c r="AJ29" s="5" t="s">
        <v>200</v>
      </c>
      <c r="AK29" s="5" t="s">
        <v>198</v>
      </c>
      <c r="AL29" s="5" t="s">
        <v>342</v>
      </c>
    </row>
    <row r="30">
      <c r="A30" s="8">
        <v>4924.0</v>
      </c>
      <c r="B30" s="7">
        <v>45867.26388888889</v>
      </c>
      <c r="C30" s="5" t="s">
        <v>343</v>
      </c>
      <c r="D30" s="5" t="s">
        <v>331</v>
      </c>
      <c r="E30" s="5" t="s">
        <v>216</v>
      </c>
      <c r="F30" s="5" t="s">
        <v>202</v>
      </c>
      <c r="G30" s="5" t="s">
        <v>202</v>
      </c>
      <c r="H30" s="5" t="s">
        <v>199</v>
      </c>
      <c r="I30" s="5" t="s">
        <v>202</v>
      </c>
      <c r="J30" s="5" t="s">
        <v>201</v>
      </c>
      <c r="K30" s="5" t="s">
        <v>202</v>
      </c>
      <c r="L30" s="5" t="s">
        <v>202</v>
      </c>
      <c r="M30" s="5" t="s">
        <v>202</v>
      </c>
      <c r="N30" s="5" t="s">
        <v>202</v>
      </c>
      <c r="O30" s="5" t="s">
        <v>200</v>
      </c>
      <c r="P30" s="5" t="s">
        <v>202</v>
      </c>
      <c r="Q30" s="5" t="s">
        <v>202</v>
      </c>
      <c r="R30" s="5" t="s">
        <v>198</v>
      </c>
      <c r="S30" s="5" t="s">
        <v>202</v>
      </c>
      <c r="T30" s="5" t="s">
        <v>200</v>
      </c>
      <c r="U30" s="5" t="s">
        <v>344</v>
      </c>
      <c r="V30" s="5" t="s">
        <v>206</v>
      </c>
      <c r="W30" s="5" t="s">
        <v>202</v>
      </c>
      <c r="X30" s="5" t="s">
        <v>202</v>
      </c>
      <c r="Y30" s="5" t="s">
        <v>202</v>
      </c>
      <c r="Z30" s="5" t="s">
        <v>202</v>
      </c>
      <c r="AA30" s="5" t="s">
        <v>202</v>
      </c>
      <c r="AB30" s="5" t="s">
        <v>202</v>
      </c>
      <c r="AC30" s="5" t="s">
        <v>345</v>
      </c>
      <c r="AD30" s="5" t="s">
        <v>206</v>
      </c>
      <c r="AE30" s="5" t="s">
        <v>202</v>
      </c>
      <c r="AF30" s="5" t="s">
        <v>201</v>
      </c>
      <c r="AG30" s="5" t="s">
        <v>202</v>
      </c>
      <c r="AH30" s="5" t="s">
        <v>204</v>
      </c>
      <c r="AI30" s="5" t="s">
        <v>204</v>
      </c>
      <c r="AJ30" s="5" t="s">
        <v>204</v>
      </c>
      <c r="AK30" s="5" t="s">
        <v>204</v>
      </c>
      <c r="AL30" s="5" t="s">
        <v>346</v>
      </c>
    </row>
    <row r="31">
      <c r="A31" s="8">
        <v>764.0</v>
      </c>
      <c r="B31" s="7">
        <v>45867.27569444444</v>
      </c>
      <c r="C31" s="5" t="s">
        <v>348</v>
      </c>
      <c r="D31" s="5" t="s">
        <v>331</v>
      </c>
      <c r="E31" s="5" t="s">
        <v>263</v>
      </c>
      <c r="F31" s="5" t="s">
        <v>201</v>
      </c>
      <c r="G31" s="5" t="s">
        <v>202</v>
      </c>
      <c r="H31" s="5" t="s">
        <v>199</v>
      </c>
      <c r="I31" s="5" t="s">
        <v>202</v>
      </c>
      <c r="J31" s="5" t="s">
        <v>202</v>
      </c>
      <c r="K31" s="5" t="s">
        <v>201</v>
      </c>
      <c r="L31" s="5" t="s">
        <v>202</v>
      </c>
      <c r="M31" s="5" t="s">
        <v>201</v>
      </c>
      <c r="N31" s="5" t="s">
        <v>202</v>
      </c>
      <c r="O31" s="5" t="s">
        <v>202</v>
      </c>
      <c r="P31" s="5" t="s">
        <v>200</v>
      </c>
      <c r="Q31" s="5" t="s">
        <v>202</v>
      </c>
      <c r="R31" s="5" t="s">
        <v>208</v>
      </c>
      <c r="S31" s="5" t="s">
        <v>202</v>
      </c>
      <c r="T31" s="5" t="s">
        <v>208</v>
      </c>
      <c r="U31" s="5" t="s">
        <v>349</v>
      </c>
      <c r="V31" s="5" t="s">
        <v>206</v>
      </c>
      <c r="W31" s="5" t="s">
        <v>200</v>
      </c>
      <c r="X31" s="5" t="s">
        <v>201</v>
      </c>
      <c r="Y31" s="5" t="s">
        <v>202</v>
      </c>
      <c r="Z31" s="5" t="s">
        <v>200</v>
      </c>
      <c r="AA31" s="5" t="s">
        <v>202</v>
      </c>
      <c r="AB31" s="5" t="s">
        <v>202</v>
      </c>
      <c r="AC31" s="5" t="s">
        <v>350</v>
      </c>
      <c r="AD31" s="5" t="s">
        <v>206</v>
      </c>
      <c r="AE31" s="5" t="s">
        <v>202</v>
      </c>
      <c r="AF31" s="5" t="s">
        <v>201</v>
      </c>
      <c r="AG31" s="5" t="s">
        <v>201</v>
      </c>
      <c r="AH31" s="5" t="s">
        <v>208</v>
      </c>
      <c r="AI31" s="5" t="s">
        <v>198</v>
      </c>
      <c r="AJ31" s="5" t="s">
        <v>208</v>
      </c>
      <c r="AK31" s="5" t="s">
        <v>204</v>
      </c>
      <c r="AL31" s="5" t="s">
        <v>351</v>
      </c>
    </row>
    <row r="32">
      <c r="A32" s="8">
        <v>1145.0</v>
      </c>
      <c r="B32" s="7">
        <v>45867.282638888886</v>
      </c>
      <c r="C32" s="5" t="s">
        <v>352</v>
      </c>
      <c r="D32" s="5" t="s">
        <v>353</v>
      </c>
      <c r="E32" s="5" t="s">
        <v>197</v>
      </c>
      <c r="F32" s="5" t="s">
        <v>208</v>
      </c>
      <c r="G32" s="5" t="s">
        <v>204</v>
      </c>
      <c r="H32" s="5" t="s">
        <v>199</v>
      </c>
      <c r="I32" s="5" t="s">
        <v>208</v>
      </c>
      <c r="J32" s="5" t="s">
        <v>200</v>
      </c>
      <c r="K32" s="5" t="s">
        <v>204</v>
      </c>
      <c r="L32" s="5" t="s">
        <v>203</v>
      </c>
      <c r="M32" s="5" t="s">
        <v>198</v>
      </c>
      <c r="N32" s="5" t="s">
        <v>208</v>
      </c>
      <c r="O32" s="5" t="s">
        <v>203</v>
      </c>
      <c r="P32" s="5" t="s">
        <v>198</v>
      </c>
      <c r="Q32" s="5" t="s">
        <v>204</v>
      </c>
      <c r="R32" s="5" t="s">
        <v>204</v>
      </c>
      <c r="S32" s="5" t="s">
        <v>198</v>
      </c>
      <c r="T32" s="5" t="s">
        <v>201</v>
      </c>
      <c r="U32" s="5" t="s">
        <v>354</v>
      </c>
      <c r="V32" s="5" t="s">
        <v>206</v>
      </c>
      <c r="W32" s="5" t="s">
        <v>203</v>
      </c>
      <c r="X32" s="5" t="s">
        <v>198</v>
      </c>
      <c r="Y32" s="5" t="s">
        <v>200</v>
      </c>
      <c r="Z32" s="5" t="s">
        <v>200</v>
      </c>
      <c r="AA32" s="5" t="s">
        <v>203</v>
      </c>
      <c r="AB32" s="5" t="s">
        <v>201</v>
      </c>
      <c r="AC32" s="5" t="s">
        <v>355</v>
      </c>
      <c r="AD32" s="5" t="s">
        <v>206</v>
      </c>
      <c r="AE32" s="5" t="s">
        <v>203</v>
      </c>
      <c r="AF32" s="5" t="s">
        <v>200</v>
      </c>
      <c r="AG32" s="5" t="s">
        <v>200</v>
      </c>
      <c r="AH32" s="5" t="s">
        <v>198</v>
      </c>
      <c r="AI32" s="5" t="s">
        <v>208</v>
      </c>
      <c r="AJ32" s="5" t="s">
        <v>200</v>
      </c>
      <c r="AK32" s="5" t="s">
        <v>204</v>
      </c>
      <c r="AL32" s="5" t="s">
        <v>356</v>
      </c>
    </row>
    <row r="33">
      <c r="A33" s="8">
        <v>418.0</v>
      </c>
      <c r="B33" s="7">
        <v>45867.29375</v>
      </c>
      <c r="C33" s="5" t="s">
        <v>357</v>
      </c>
      <c r="D33" s="5" t="s">
        <v>353</v>
      </c>
      <c r="E33" s="5" t="s">
        <v>263</v>
      </c>
      <c r="F33" s="5" t="s">
        <v>208</v>
      </c>
      <c r="G33" s="5" t="s">
        <v>203</v>
      </c>
      <c r="H33" s="5" t="s">
        <v>199</v>
      </c>
      <c r="I33" s="5" t="s">
        <v>198</v>
      </c>
      <c r="J33" s="5" t="s">
        <v>204</v>
      </c>
      <c r="K33" s="5" t="s">
        <v>204</v>
      </c>
      <c r="L33" s="5" t="s">
        <v>198</v>
      </c>
      <c r="M33" s="5" t="s">
        <v>198</v>
      </c>
      <c r="N33" s="5" t="s">
        <v>202</v>
      </c>
      <c r="O33" s="5" t="s">
        <v>202</v>
      </c>
      <c r="P33" s="5" t="s">
        <v>202</v>
      </c>
      <c r="Q33" s="5" t="s">
        <v>208</v>
      </c>
      <c r="R33" s="5" t="s">
        <v>204</v>
      </c>
      <c r="S33" s="5" t="s">
        <v>208</v>
      </c>
      <c r="T33" s="5" t="s">
        <v>201</v>
      </c>
      <c r="U33" s="11" t="s">
        <v>358</v>
      </c>
      <c r="V33" s="5" t="s">
        <v>206</v>
      </c>
      <c r="W33" s="5" t="s">
        <v>203</v>
      </c>
      <c r="X33" s="5" t="s">
        <v>200</v>
      </c>
      <c r="Y33" s="5" t="s">
        <v>202</v>
      </c>
      <c r="Z33" s="5" t="s">
        <v>198</v>
      </c>
      <c r="AA33" s="5" t="s">
        <v>201</v>
      </c>
      <c r="AB33" s="5" t="s">
        <v>200</v>
      </c>
      <c r="AC33" s="5" t="s">
        <v>359</v>
      </c>
      <c r="AD33" s="5" t="s">
        <v>206</v>
      </c>
      <c r="AE33" s="5" t="s">
        <v>200</v>
      </c>
      <c r="AF33" s="5" t="s">
        <v>202</v>
      </c>
      <c r="AG33" s="5" t="s">
        <v>198</v>
      </c>
      <c r="AH33" s="5" t="s">
        <v>198</v>
      </c>
      <c r="AI33" s="5" t="s">
        <v>198</v>
      </c>
      <c r="AJ33" s="5" t="s">
        <v>200</v>
      </c>
      <c r="AK33" s="5" t="s">
        <v>198</v>
      </c>
      <c r="AL33" s="5" t="s">
        <v>360</v>
      </c>
    </row>
    <row r="34">
      <c r="A34" s="8">
        <v>1716.0</v>
      </c>
      <c r="B34" s="7">
        <v>45867.29375</v>
      </c>
      <c r="C34" s="5" t="s">
        <v>361</v>
      </c>
      <c r="D34" s="5" t="s">
        <v>362</v>
      </c>
      <c r="E34" s="5" t="s">
        <v>216</v>
      </c>
      <c r="F34" s="5" t="s">
        <v>200</v>
      </c>
      <c r="G34" s="5" t="s">
        <v>201</v>
      </c>
      <c r="H34" s="5" t="s">
        <v>199</v>
      </c>
      <c r="I34" s="5" t="s">
        <v>202</v>
      </c>
      <c r="J34" s="5" t="s">
        <v>201</v>
      </c>
      <c r="K34" s="5" t="s">
        <v>198</v>
      </c>
      <c r="L34" s="5" t="s">
        <v>202</v>
      </c>
      <c r="M34" s="5" t="s">
        <v>201</v>
      </c>
      <c r="N34" s="5" t="s">
        <v>201</v>
      </c>
      <c r="O34" s="5" t="s">
        <v>201</v>
      </c>
      <c r="P34" s="5" t="s">
        <v>201</v>
      </c>
      <c r="Q34" s="5" t="s">
        <v>208</v>
      </c>
      <c r="R34" s="5" t="s">
        <v>200</v>
      </c>
      <c r="S34" s="5" t="s">
        <v>200</v>
      </c>
      <c r="T34" s="5" t="s">
        <v>203</v>
      </c>
      <c r="U34" s="11" t="s">
        <v>363</v>
      </c>
      <c r="V34" s="5" t="s">
        <v>206</v>
      </c>
      <c r="W34" s="5" t="s">
        <v>202</v>
      </c>
      <c r="X34" s="5" t="s">
        <v>202</v>
      </c>
      <c r="Y34" s="5" t="s">
        <v>201</v>
      </c>
      <c r="Z34" s="5" t="s">
        <v>201</v>
      </c>
      <c r="AA34" s="5" t="s">
        <v>201</v>
      </c>
      <c r="AB34" s="5" t="s">
        <v>201</v>
      </c>
      <c r="AC34" s="5" t="s">
        <v>364</v>
      </c>
      <c r="AD34" s="5" t="s">
        <v>206</v>
      </c>
      <c r="AE34" s="5" t="s">
        <v>201</v>
      </c>
      <c r="AF34" s="5" t="s">
        <v>202</v>
      </c>
      <c r="AG34" s="5" t="s">
        <v>201</v>
      </c>
      <c r="AH34" s="5" t="s">
        <v>204</v>
      </c>
      <c r="AI34" s="5" t="s">
        <v>204</v>
      </c>
      <c r="AJ34" s="5" t="s">
        <v>204</v>
      </c>
      <c r="AK34" s="5" t="s">
        <v>204</v>
      </c>
      <c r="AL34" s="11" t="s">
        <v>365</v>
      </c>
    </row>
    <row r="35">
      <c r="A35" s="8">
        <v>1001.0</v>
      </c>
      <c r="B35" s="7">
        <v>45867.305555555555</v>
      </c>
      <c r="C35" s="5" t="s">
        <v>366</v>
      </c>
      <c r="D35" s="5" t="s">
        <v>353</v>
      </c>
      <c r="E35" s="5" t="s">
        <v>216</v>
      </c>
      <c r="F35" s="5" t="s">
        <v>203</v>
      </c>
      <c r="G35" s="5" t="s">
        <v>208</v>
      </c>
      <c r="H35" s="5" t="s">
        <v>199</v>
      </c>
      <c r="I35" s="5" t="s">
        <v>203</v>
      </c>
      <c r="J35" s="5" t="s">
        <v>208</v>
      </c>
      <c r="K35" s="5" t="s">
        <v>204</v>
      </c>
      <c r="L35" s="5" t="s">
        <v>198</v>
      </c>
      <c r="M35" s="5" t="s">
        <v>202</v>
      </c>
      <c r="N35" s="5" t="s">
        <v>198</v>
      </c>
      <c r="O35" s="5" t="s">
        <v>202</v>
      </c>
      <c r="P35" s="5" t="s">
        <v>202</v>
      </c>
      <c r="Q35" s="5" t="s">
        <v>204</v>
      </c>
      <c r="R35" s="5" t="s">
        <v>204</v>
      </c>
      <c r="S35" s="5" t="s">
        <v>200</v>
      </c>
      <c r="T35" s="5" t="s">
        <v>201</v>
      </c>
      <c r="U35" s="5" t="s">
        <v>367</v>
      </c>
      <c r="V35" s="5" t="s">
        <v>206</v>
      </c>
      <c r="W35" s="5" t="s">
        <v>202</v>
      </c>
      <c r="X35" s="5" t="s">
        <v>203</v>
      </c>
      <c r="Y35" s="5" t="s">
        <v>200</v>
      </c>
      <c r="Z35" s="5" t="s">
        <v>202</v>
      </c>
      <c r="AA35" s="5" t="s">
        <v>202</v>
      </c>
      <c r="AB35" s="5" t="s">
        <v>203</v>
      </c>
      <c r="AC35" s="5" t="s">
        <v>368</v>
      </c>
      <c r="AD35" s="5" t="s">
        <v>206</v>
      </c>
      <c r="AE35" s="5" t="s">
        <v>203</v>
      </c>
      <c r="AF35" s="5" t="s">
        <v>202</v>
      </c>
      <c r="AG35" s="5" t="s">
        <v>200</v>
      </c>
      <c r="AH35" s="5" t="s">
        <v>204</v>
      </c>
      <c r="AI35" s="5" t="s">
        <v>204</v>
      </c>
      <c r="AJ35" s="5" t="s">
        <v>204</v>
      </c>
      <c r="AK35" s="5" t="s">
        <v>204</v>
      </c>
      <c r="AL35" s="5" t="s">
        <v>369</v>
      </c>
    </row>
    <row r="36">
      <c r="A36" s="8">
        <v>594.0</v>
      </c>
      <c r="B36" s="7">
        <v>45867.31458333333</v>
      </c>
      <c r="C36" s="5" t="s">
        <v>370</v>
      </c>
      <c r="D36" s="5" t="s">
        <v>353</v>
      </c>
      <c r="E36" s="5" t="s">
        <v>211</v>
      </c>
      <c r="F36" s="5" t="s">
        <v>200</v>
      </c>
      <c r="G36" s="5" t="s">
        <v>204</v>
      </c>
      <c r="H36" s="5" t="s">
        <v>199</v>
      </c>
      <c r="I36" s="5" t="s">
        <v>204</v>
      </c>
      <c r="J36" s="5" t="s">
        <v>200</v>
      </c>
      <c r="K36" s="5" t="s">
        <v>198</v>
      </c>
      <c r="L36" s="5" t="s">
        <v>208</v>
      </c>
      <c r="M36" s="5" t="s">
        <v>202</v>
      </c>
      <c r="N36" s="5" t="s">
        <v>203</v>
      </c>
      <c r="O36" s="5" t="s">
        <v>200</v>
      </c>
      <c r="P36" s="5" t="s">
        <v>200</v>
      </c>
      <c r="Q36" s="5" t="s">
        <v>202</v>
      </c>
      <c r="R36" s="5" t="s">
        <v>198</v>
      </c>
      <c r="S36" s="5" t="s">
        <v>200</v>
      </c>
      <c r="T36" s="5" t="s">
        <v>203</v>
      </c>
      <c r="U36" s="5" t="s">
        <v>371</v>
      </c>
      <c r="V36" s="5" t="s">
        <v>206</v>
      </c>
      <c r="W36" s="5" t="s">
        <v>202</v>
      </c>
      <c r="X36" s="5" t="s">
        <v>200</v>
      </c>
      <c r="Y36" s="5" t="s">
        <v>200</v>
      </c>
      <c r="Z36" s="5" t="s">
        <v>208</v>
      </c>
      <c r="AA36" s="5" t="s">
        <v>203</v>
      </c>
      <c r="AB36" s="5" t="s">
        <v>204</v>
      </c>
      <c r="AC36" s="5" t="s">
        <v>372</v>
      </c>
      <c r="AD36" s="5" t="s">
        <v>206</v>
      </c>
      <c r="AE36" s="5" t="s">
        <v>200</v>
      </c>
      <c r="AF36" s="5" t="s">
        <v>200</v>
      </c>
      <c r="AG36" s="5" t="s">
        <v>202</v>
      </c>
      <c r="AH36" s="5" t="s">
        <v>204</v>
      </c>
      <c r="AI36" s="5" t="s">
        <v>204</v>
      </c>
      <c r="AJ36" s="5" t="s">
        <v>204</v>
      </c>
      <c r="AK36" s="5" t="s">
        <v>204</v>
      </c>
      <c r="AL36" s="5" t="s">
        <v>373</v>
      </c>
    </row>
    <row r="37">
      <c r="A37" s="8">
        <v>1333.0</v>
      </c>
      <c r="B37" s="7">
        <v>45867.34583333333</v>
      </c>
      <c r="C37" s="5" t="s">
        <v>374</v>
      </c>
      <c r="D37" s="5" t="s">
        <v>362</v>
      </c>
      <c r="E37" s="5" t="s">
        <v>263</v>
      </c>
      <c r="F37" s="5" t="s">
        <v>202</v>
      </c>
      <c r="G37" s="5" t="s">
        <v>202</v>
      </c>
      <c r="H37" s="5" t="s">
        <v>199</v>
      </c>
      <c r="I37" s="5" t="s">
        <v>201</v>
      </c>
      <c r="J37" s="5" t="s">
        <v>198</v>
      </c>
      <c r="K37" s="5" t="s">
        <v>200</v>
      </c>
      <c r="L37" s="5" t="s">
        <v>202</v>
      </c>
      <c r="M37" s="5" t="s">
        <v>201</v>
      </c>
      <c r="N37" s="5" t="s">
        <v>201</v>
      </c>
      <c r="O37" s="5" t="s">
        <v>201</v>
      </c>
      <c r="P37" s="5" t="s">
        <v>201</v>
      </c>
      <c r="Q37" s="5" t="s">
        <v>200</v>
      </c>
      <c r="R37" s="5" t="s">
        <v>200</v>
      </c>
      <c r="S37" s="5" t="s">
        <v>201</v>
      </c>
      <c r="T37" s="5" t="s">
        <v>200</v>
      </c>
      <c r="U37" s="5" t="s">
        <v>375</v>
      </c>
      <c r="V37" s="5" t="s">
        <v>206</v>
      </c>
      <c r="W37" s="5" t="s">
        <v>202</v>
      </c>
      <c r="X37" s="5" t="s">
        <v>201</v>
      </c>
      <c r="Y37" s="5" t="s">
        <v>201</v>
      </c>
      <c r="Z37" s="5" t="s">
        <v>198</v>
      </c>
      <c r="AA37" s="5" t="s">
        <v>203</v>
      </c>
      <c r="AB37" s="5" t="s">
        <v>203</v>
      </c>
      <c r="AC37" s="5" t="s">
        <v>376</v>
      </c>
      <c r="AD37" s="5" t="s">
        <v>206</v>
      </c>
      <c r="AE37" s="5" t="s">
        <v>202</v>
      </c>
      <c r="AF37" s="5" t="s">
        <v>202</v>
      </c>
      <c r="AG37" s="5" t="s">
        <v>202</v>
      </c>
      <c r="AH37" s="5" t="s">
        <v>208</v>
      </c>
      <c r="AI37" s="5" t="s">
        <v>202</v>
      </c>
      <c r="AJ37" s="5" t="s">
        <v>208</v>
      </c>
      <c r="AK37" s="5" t="s">
        <v>208</v>
      </c>
      <c r="AL37" s="5" t="s">
        <v>377</v>
      </c>
    </row>
    <row r="38">
      <c r="A38" s="8">
        <v>1140.0</v>
      </c>
      <c r="B38" s="7">
        <v>45868.02847222222</v>
      </c>
      <c r="C38" s="5" t="s">
        <v>378</v>
      </c>
      <c r="D38" s="5" t="s">
        <v>379</v>
      </c>
      <c r="E38" s="5" t="s">
        <v>197</v>
      </c>
      <c r="F38" s="5" t="s">
        <v>202</v>
      </c>
      <c r="G38" s="5" t="s">
        <v>202</v>
      </c>
      <c r="H38" s="5" t="s">
        <v>199</v>
      </c>
      <c r="I38" s="5" t="s">
        <v>202</v>
      </c>
      <c r="J38" s="5" t="s">
        <v>201</v>
      </c>
      <c r="K38" s="5" t="s">
        <v>201</v>
      </c>
      <c r="L38" s="5" t="s">
        <v>202</v>
      </c>
      <c r="M38" s="5" t="s">
        <v>201</v>
      </c>
      <c r="N38" s="5" t="s">
        <v>201</v>
      </c>
      <c r="O38" s="5" t="s">
        <v>201</v>
      </c>
      <c r="P38" s="5" t="s">
        <v>202</v>
      </c>
      <c r="Q38" s="5" t="s">
        <v>202</v>
      </c>
      <c r="R38" s="5" t="s">
        <v>200</v>
      </c>
      <c r="S38" s="5" t="s">
        <v>202</v>
      </c>
      <c r="T38" s="5" t="s">
        <v>200</v>
      </c>
      <c r="U38" s="5" t="s">
        <v>380</v>
      </c>
      <c r="V38" s="5" t="s">
        <v>206</v>
      </c>
      <c r="W38" s="5" t="s">
        <v>201</v>
      </c>
      <c r="X38" s="5" t="s">
        <v>201</v>
      </c>
      <c r="Y38" s="5" t="s">
        <v>201</v>
      </c>
      <c r="Z38" s="5" t="s">
        <v>201</v>
      </c>
      <c r="AA38" s="5" t="s">
        <v>201</v>
      </c>
      <c r="AB38" s="5" t="s">
        <v>202</v>
      </c>
      <c r="AC38" s="5" t="s">
        <v>381</v>
      </c>
      <c r="AD38" s="5" t="s">
        <v>206</v>
      </c>
      <c r="AE38" s="5" t="s">
        <v>202</v>
      </c>
      <c r="AF38" s="5" t="s">
        <v>202</v>
      </c>
      <c r="AG38" s="5" t="s">
        <v>201</v>
      </c>
      <c r="AH38" s="5" t="s">
        <v>208</v>
      </c>
      <c r="AI38" s="5" t="s">
        <v>204</v>
      </c>
      <c r="AJ38" s="5" t="s">
        <v>208</v>
      </c>
      <c r="AK38" s="5" t="s">
        <v>204</v>
      </c>
      <c r="AL38" s="5" t="s">
        <v>382</v>
      </c>
    </row>
    <row r="39">
      <c r="A39" s="8">
        <v>2166.0</v>
      </c>
      <c r="B39" s="7">
        <v>45868.040972222225</v>
      </c>
      <c r="C39" s="5" t="s">
        <v>384</v>
      </c>
      <c r="D39" s="5" t="s">
        <v>385</v>
      </c>
      <c r="E39" s="5" t="s">
        <v>211</v>
      </c>
      <c r="F39" s="5" t="s">
        <v>203</v>
      </c>
      <c r="G39" s="5" t="s">
        <v>200</v>
      </c>
      <c r="H39" s="5" t="s">
        <v>199</v>
      </c>
      <c r="I39" s="5" t="s">
        <v>202</v>
      </c>
      <c r="J39" s="5" t="s">
        <v>202</v>
      </c>
      <c r="K39" s="5" t="s">
        <v>198</v>
      </c>
      <c r="L39" s="5" t="s">
        <v>198</v>
      </c>
      <c r="M39" s="5" t="s">
        <v>202</v>
      </c>
      <c r="N39" s="5" t="s">
        <v>200</v>
      </c>
      <c r="O39" s="5" t="s">
        <v>200</v>
      </c>
      <c r="P39" s="5" t="s">
        <v>202</v>
      </c>
      <c r="Q39" s="5" t="s">
        <v>203</v>
      </c>
      <c r="R39" s="5" t="s">
        <v>203</v>
      </c>
      <c r="S39" s="5" t="s">
        <v>200</v>
      </c>
      <c r="T39" s="5" t="s">
        <v>203</v>
      </c>
      <c r="U39" s="5" t="s">
        <v>386</v>
      </c>
      <c r="V39" s="5" t="s">
        <v>206</v>
      </c>
      <c r="W39" s="5" t="s">
        <v>202</v>
      </c>
      <c r="X39" s="5" t="s">
        <v>202</v>
      </c>
      <c r="Y39" s="5" t="s">
        <v>201</v>
      </c>
      <c r="Z39" s="5" t="s">
        <v>202</v>
      </c>
      <c r="AA39" s="5" t="s">
        <v>200</v>
      </c>
      <c r="AB39" s="5" t="s">
        <v>203</v>
      </c>
      <c r="AC39" s="5" t="s">
        <v>387</v>
      </c>
      <c r="AD39" s="5" t="s">
        <v>206</v>
      </c>
      <c r="AE39" s="5" t="s">
        <v>201</v>
      </c>
      <c r="AF39" s="5" t="s">
        <v>202</v>
      </c>
      <c r="AG39" s="5" t="s">
        <v>202</v>
      </c>
      <c r="AH39" s="5" t="s">
        <v>204</v>
      </c>
      <c r="AI39" s="5" t="s">
        <v>204</v>
      </c>
      <c r="AJ39" s="5" t="s">
        <v>204</v>
      </c>
      <c r="AK39" s="5" t="s">
        <v>204</v>
      </c>
      <c r="AL39" s="5" t="s">
        <v>388</v>
      </c>
    </row>
    <row r="40">
      <c r="A40" s="8">
        <v>1527.0</v>
      </c>
      <c r="B40" s="7">
        <v>45868.041666666664</v>
      </c>
      <c r="C40" s="5" t="s">
        <v>390</v>
      </c>
      <c r="D40" s="5" t="s">
        <v>379</v>
      </c>
      <c r="E40" s="5" t="s">
        <v>211</v>
      </c>
      <c r="F40" s="5" t="s">
        <v>202</v>
      </c>
      <c r="G40" s="5" t="s">
        <v>202</v>
      </c>
      <c r="H40" s="5" t="s">
        <v>199</v>
      </c>
      <c r="I40" s="5" t="s">
        <v>202</v>
      </c>
      <c r="J40" s="5" t="s">
        <v>201</v>
      </c>
      <c r="K40" s="5" t="s">
        <v>201</v>
      </c>
      <c r="L40" s="5" t="s">
        <v>202</v>
      </c>
      <c r="M40" s="5" t="s">
        <v>201</v>
      </c>
      <c r="N40" s="5" t="s">
        <v>201</v>
      </c>
      <c r="O40" s="5" t="s">
        <v>201</v>
      </c>
      <c r="P40" s="5" t="s">
        <v>202</v>
      </c>
      <c r="Q40" s="5" t="s">
        <v>202</v>
      </c>
      <c r="R40" s="5" t="s">
        <v>203</v>
      </c>
      <c r="S40" s="5" t="s">
        <v>202</v>
      </c>
      <c r="T40" s="5" t="s">
        <v>208</v>
      </c>
      <c r="U40" s="5" t="s">
        <v>391</v>
      </c>
      <c r="V40" s="5" t="s">
        <v>206</v>
      </c>
      <c r="W40" s="5" t="s">
        <v>202</v>
      </c>
      <c r="X40" s="5" t="s">
        <v>202</v>
      </c>
      <c r="Y40" s="5" t="s">
        <v>202</v>
      </c>
      <c r="Z40" s="5" t="s">
        <v>201</v>
      </c>
      <c r="AA40" s="5" t="s">
        <v>202</v>
      </c>
      <c r="AB40" s="5" t="s">
        <v>201</v>
      </c>
      <c r="AC40" s="5" t="s">
        <v>392</v>
      </c>
      <c r="AD40" s="5" t="s">
        <v>206</v>
      </c>
      <c r="AE40" s="5" t="s">
        <v>201</v>
      </c>
      <c r="AF40" s="5" t="s">
        <v>201</v>
      </c>
      <c r="AG40" s="5" t="s">
        <v>202</v>
      </c>
      <c r="AH40" s="5" t="s">
        <v>204</v>
      </c>
      <c r="AI40" s="5" t="s">
        <v>204</v>
      </c>
      <c r="AJ40" s="5" t="s">
        <v>204</v>
      </c>
      <c r="AK40" s="5" t="s">
        <v>204</v>
      </c>
      <c r="AL40" s="5" t="s">
        <v>393</v>
      </c>
    </row>
    <row r="41">
      <c r="A41" s="8">
        <v>866.0</v>
      </c>
      <c r="B41" s="7">
        <v>45868.05416666667</v>
      </c>
      <c r="C41" s="5" t="s">
        <v>394</v>
      </c>
      <c r="D41" s="5" t="s">
        <v>379</v>
      </c>
      <c r="E41" s="5" t="s">
        <v>216</v>
      </c>
      <c r="F41" s="5" t="s">
        <v>202</v>
      </c>
      <c r="G41" s="5" t="s">
        <v>200</v>
      </c>
      <c r="H41" s="5" t="s">
        <v>199</v>
      </c>
      <c r="I41" s="5" t="s">
        <v>201</v>
      </c>
      <c r="J41" s="5" t="s">
        <v>201</v>
      </c>
      <c r="K41" s="5" t="s">
        <v>201</v>
      </c>
      <c r="L41" s="5" t="s">
        <v>202</v>
      </c>
      <c r="M41" s="5" t="s">
        <v>202</v>
      </c>
      <c r="N41" s="5" t="s">
        <v>201</v>
      </c>
      <c r="O41" s="5" t="s">
        <v>201</v>
      </c>
      <c r="P41" s="5" t="s">
        <v>202</v>
      </c>
      <c r="Q41" s="5" t="s">
        <v>200</v>
      </c>
      <c r="R41" s="5" t="s">
        <v>202</v>
      </c>
      <c r="S41" s="5" t="s">
        <v>202</v>
      </c>
      <c r="T41" s="5" t="s">
        <v>198</v>
      </c>
      <c r="U41" s="5" t="s">
        <v>395</v>
      </c>
      <c r="V41" s="5" t="s">
        <v>206</v>
      </c>
      <c r="W41" s="5" t="s">
        <v>202</v>
      </c>
      <c r="X41" s="5" t="s">
        <v>202</v>
      </c>
      <c r="Y41" s="5" t="s">
        <v>201</v>
      </c>
      <c r="Z41" s="5" t="s">
        <v>201</v>
      </c>
      <c r="AA41" s="5" t="s">
        <v>201</v>
      </c>
      <c r="AB41" s="5" t="s">
        <v>201</v>
      </c>
      <c r="AC41" s="5" t="s">
        <v>396</v>
      </c>
      <c r="AD41" s="5" t="s">
        <v>206</v>
      </c>
      <c r="AE41" s="5" t="s">
        <v>202</v>
      </c>
      <c r="AF41" s="5" t="s">
        <v>202</v>
      </c>
      <c r="AG41" s="5" t="s">
        <v>202</v>
      </c>
      <c r="AH41" s="5" t="s">
        <v>204</v>
      </c>
      <c r="AI41" s="5" t="s">
        <v>204</v>
      </c>
      <c r="AJ41" s="5" t="s">
        <v>204</v>
      </c>
      <c r="AK41" s="5" t="s">
        <v>204</v>
      </c>
      <c r="AL41" s="5" t="s">
        <v>397</v>
      </c>
    </row>
    <row r="42">
      <c r="A42" s="8">
        <v>863.0</v>
      </c>
      <c r="B42" s="7">
        <v>45868.055555555555</v>
      </c>
      <c r="C42" s="5" t="s">
        <v>398</v>
      </c>
      <c r="D42" s="5" t="s">
        <v>385</v>
      </c>
      <c r="E42" s="5" t="s">
        <v>197</v>
      </c>
      <c r="F42" s="5" t="s">
        <v>201</v>
      </c>
      <c r="G42" s="5" t="s">
        <v>202</v>
      </c>
      <c r="H42" s="5" t="s">
        <v>199</v>
      </c>
      <c r="I42" s="5" t="s">
        <v>202</v>
      </c>
      <c r="J42" s="5" t="s">
        <v>202</v>
      </c>
      <c r="K42" s="5" t="s">
        <v>201</v>
      </c>
      <c r="L42" s="5" t="s">
        <v>202</v>
      </c>
      <c r="M42" s="5" t="s">
        <v>201</v>
      </c>
      <c r="N42" s="5" t="s">
        <v>202</v>
      </c>
      <c r="O42" s="5" t="s">
        <v>202</v>
      </c>
      <c r="P42" s="5" t="s">
        <v>202</v>
      </c>
      <c r="Q42" s="5" t="s">
        <v>203</v>
      </c>
      <c r="R42" s="5" t="s">
        <v>203</v>
      </c>
      <c r="S42" s="5" t="s">
        <v>202</v>
      </c>
      <c r="T42" s="5" t="s">
        <v>200</v>
      </c>
      <c r="U42" s="5" t="s">
        <v>399</v>
      </c>
      <c r="V42" s="5" t="s">
        <v>206</v>
      </c>
      <c r="W42" s="5" t="s">
        <v>202</v>
      </c>
      <c r="X42" s="5" t="s">
        <v>202</v>
      </c>
      <c r="Y42" s="5" t="s">
        <v>201</v>
      </c>
      <c r="Z42" s="5" t="s">
        <v>202</v>
      </c>
      <c r="AA42" s="5" t="s">
        <v>202</v>
      </c>
      <c r="AB42" s="5" t="s">
        <v>203</v>
      </c>
      <c r="AC42" s="5" t="s">
        <v>400</v>
      </c>
      <c r="AD42" s="5" t="s">
        <v>206</v>
      </c>
      <c r="AE42" s="5" t="s">
        <v>202</v>
      </c>
      <c r="AF42" s="5" t="s">
        <v>202</v>
      </c>
      <c r="AG42" s="5" t="s">
        <v>202</v>
      </c>
      <c r="AH42" s="5" t="s">
        <v>208</v>
      </c>
      <c r="AI42" s="5" t="s">
        <v>204</v>
      </c>
      <c r="AJ42" s="5" t="s">
        <v>208</v>
      </c>
      <c r="AK42" s="5" t="s">
        <v>204</v>
      </c>
      <c r="AL42" s="5" t="s">
        <v>401</v>
      </c>
    </row>
    <row r="43">
      <c r="A43" s="8">
        <v>942.0</v>
      </c>
      <c r="B43" s="7">
        <v>45868.07083333333</v>
      </c>
      <c r="C43" s="5" t="s">
        <v>402</v>
      </c>
      <c r="D43" s="5" t="s">
        <v>385</v>
      </c>
      <c r="E43" s="5" t="s">
        <v>263</v>
      </c>
      <c r="F43" s="5" t="s">
        <v>202</v>
      </c>
      <c r="G43" s="5" t="s">
        <v>200</v>
      </c>
      <c r="H43" s="5" t="s">
        <v>199</v>
      </c>
      <c r="I43" s="5" t="s">
        <v>202</v>
      </c>
      <c r="J43" s="5" t="s">
        <v>200</v>
      </c>
      <c r="K43" s="5" t="s">
        <v>201</v>
      </c>
      <c r="L43" s="5" t="s">
        <v>200</v>
      </c>
      <c r="M43" s="5" t="s">
        <v>201</v>
      </c>
      <c r="N43" s="5" t="s">
        <v>202</v>
      </c>
      <c r="O43" s="5" t="s">
        <v>200</v>
      </c>
      <c r="P43" s="5" t="s">
        <v>202</v>
      </c>
      <c r="Q43" s="5" t="s">
        <v>202</v>
      </c>
      <c r="R43" s="5" t="s">
        <v>208</v>
      </c>
      <c r="S43" s="5" t="s">
        <v>202</v>
      </c>
      <c r="T43" s="5" t="s">
        <v>200</v>
      </c>
      <c r="U43" s="5" t="s">
        <v>403</v>
      </c>
      <c r="V43" s="5" t="s">
        <v>206</v>
      </c>
      <c r="W43" s="5" t="s">
        <v>202</v>
      </c>
      <c r="X43" s="5" t="s">
        <v>202</v>
      </c>
      <c r="Y43" s="5" t="s">
        <v>202</v>
      </c>
      <c r="Z43" s="5" t="s">
        <v>202</v>
      </c>
      <c r="AA43" s="5" t="s">
        <v>202</v>
      </c>
      <c r="AB43" s="5" t="s">
        <v>203</v>
      </c>
      <c r="AC43" s="5" t="s">
        <v>404</v>
      </c>
      <c r="AD43" s="5" t="s">
        <v>206</v>
      </c>
      <c r="AE43" s="5" t="s">
        <v>202</v>
      </c>
      <c r="AF43" s="5" t="s">
        <v>200</v>
      </c>
      <c r="AG43" s="5" t="s">
        <v>200</v>
      </c>
      <c r="AH43" s="5" t="s">
        <v>208</v>
      </c>
      <c r="AI43" s="5" t="s">
        <v>208</v>
      </c>
      <c r="AJ43" s="5" t="s">
        <v>200</v>
      </c>
      <c r="AK43" s="5" t="s">
        <v>208</v>
      </c>
      <c r="AL43" s="5" t="s">
        <v>405</v>
      </c>
    </row>
    <row r="44">
      <c r="A44" s="8">
        <v>659.0</v>
      </c>
      <c r="B44" s="7">
        <v>45868.072916666664</v>
      </c>
      <c r="C44" s="5" t="s">
        <v>406</v>
      </c>
      <c r="D44" s="5" t="s">
        <v>379</v>
      </c>
      <c r="E44" s="5" t="s">
        <v>263</v>
      </c>
      <c r="F44" s="5" t="s">
        <v>202</v>
      </c>
      <c r="G44" s="5" t="s">
        <v>202</v>
      </c>
      <c r="H44" s="5" t="s">
        <v>199</v>
      </c>
      <c r="I44" s="5" t="s">
        <v>202</v>
      </c>
      <c r="J44" s="5" t="s">
        <v>202</v>
      </c>
      <c r="K44" s="5" t="s">
        <v>202</v>
      </c>
      <c r="L44" s="5" t="s">
        <v>202</v>
      </c>
      <c r="M44" s="5" t="s">
        <v>201</v>
      </c>
      <c r="N44" s="5" t="s">
        <v>201</v>
      </c>
      <c r="O44" s="5" t="s">
        <v>201</v>
      </c>
      <c r="P44" s="5" t="s">
        <v>201</v>
      </c>
      <c r="Q44" s="5" t="s">
        <v>200</v>
      </c>
      <c r="R44" s="5" t="s">
        <v>202</v>
      </c>
      <c r="S44" s="5" t="s">
        <v>202</v>
      </c>
      <c r="T44" s="5" t="s">
        <v>202</v>
      </c>
      <c r="U44" s="5" t="s">
        <v>407</v>
      </c>
      <c r="V44" s="5" t="s">
        <v>206</v>
      </c>
      <c r="W44" s="5" t="s">
        <v>202</v>
      </c>
      <c r="X44" s="5" t="s">
        <v>201</v>
      </c>
      <c r="Y44" s="5" t="s">
        <v>201</v>
      </c>
      <c r="Z44" s="5" t="s">
        <v>201</v>
      </c>
      <c r="AA44" s="5" t="s">
        <v>201</v>
      </c>
      <c r="AB44" s="5" t="s">
        <v>201</v>
      </c>
      <c r="AC44" s="5" t="s">
        <v>408</v>
      </c>
      <c r="AD44" s="5" t="s">
        <v>206</v>
      </c>
      <c r="AE44" s="5" t="s">
        <v>201</v>
      </c>
      <c r="AF44" s="5" t="s">
        <v>201</v>
      </c>
      <c r="AG44" s="5" t="s">
        <v>201</v>
      </c>
      <c r="AH44" s="5" t="s">
        <v>204</v>
      </c>
      <c r="AI44" s="5" t="s">
        <v>204</v>
      </c>
      <c r="AJ44" s="5" t="s">
        <v>204</v>
      </c>
      <c r="AK44" s="5" t="s">
        <v>204</v>
      </c>
      <c r="AL44" s="5" t="s">
        <v>409</v>
      </c>
    </row>
    <row r="45">
      <c r="A45" s="8">
        <v>380.0</v>
      </c>
      <c r="B45" s="7">
        <v>45868.08541666667</v>
      </c>
      <c r="C45" s="5" t="s">
        <v>410</v>
      </c>
      <c r="D45" s="5" t="s">
        <v>411</v>
      </c>
      <c r="E45" s="5" t="s">
        <v>263</v>
      </c>
      <c r="F45" s="5" t="s">
        <v>198</v>
      </c>
      <c r="G45" s="5" t="s">
        <v>198</v>
      </c>
      <c r="H45" s="5" t="s">
        <v>199</v>
      </c>
      <c r="I45" s="5" t="s">
        <v>202</v>
      </c>
      <c r="J45" s="5" t="s">
        <v>202</v>
      </c>
      <c r="K45" s="5" t="s">
        <v>198</v>
      </c>
      <c r="L45" s="5" t="s">
        <v>198</v>
      </c>
      <c r="M45" s="5" t="s">
        <v>200</v>
      </c>
      <c r="N45" s="5" t="s">
        <v>202</v>
      </c>
      <c r="O45" s="5" t="s">
        <v>202</v>
      </c>
      <c r="P45" s="5" t="s">
        <v>202</v>
      </c>
      <c r="Q45" s="5" t="s">
        <v>198</v>
      </c>
      <c r="R45" s="5" t="s">
        <v>203</v>
      </c>
      <c r="S45" s="5" t="s">
        <v>202</v>
      </c>
      <c r="T45" s="5" t="s">
        <v>208</v>
      </c>
      <c r="U45" s="11" t="s">
        <v>412</v>
      </c>
      <c r="V45" s="5" t="s">
        <v>206</v>
      </c>
      <c r="W45" s="5" t="s">
        <v>200</v>
      </c>
      <c r="X45" s="5" t="s">
        <v>200</v>
      </c>
      <c r="Y45" s="5" t="s">
        <v>200</v>
      </c>
      <c r="Z45" s="5" t="s">
        <v>200</v>
      </c>
      <c r="AA45" s="5" t="s">
        <v>200</v>
      </c>
      <c r="AB45" s="5" t="s">
        <v>202</v>
      </c>
      <c r="AC45" s="5" t="s">
        <v>413</v>
      </c>
      <c r="AD45" s="5" t="s">
        <v>206</v>
      </c>
      <c r="AE45" s="5" t="s">
        <v>202</v>
      </c>
      <c r="AF45" s="5" t="s">
        <v>201</v>
      </c>
      <c r="AG45" s="5" t="s">
        <v>202</v>
      </c>
      <c r="AH45" s="5" t="s">
        <v>208</v>
      </c>
      <c r="AI45" s="5" t="s">
        <v>208</v>
      </c>
      <c r="AJ45" s="5" t="s">
        <v>204</v>
      </c>
      <c r="AK45" s="5" t="s">
        <v>208</v>
      </c>
      <c r="AL45" s="5" t="s">
        <v>414</v>
      </c>
    </row>
    <row r="46">
      <c r="A46" s="8">
        <v>1190.0</v>
      </c>
      <c r="B46" s="7">
        <v>45868.08541666667</v>
      </c>
      <c r="C46" s="5" t="s">
        <v>415</v>
      </c>
      <c r="D46" s="5" t="s">
        <v>385</v>
      </c>
      <c r="E46" s="5" t="s">
        <v>216</v>
      </c>
      <c r="F46" s="5" t="s">
        <v>198</v>
      </c>
      <c r="G46" s="5" t="s">
        <v>200</v>
      </c>
      <c r="H46" s="5" t="s">
        <v>199</v>
      </c>
      <c r="I46" s="5" t="s">
        <v>203</v>
      </c>
      <c r="J46" s="5" t="s">
        <v>198</v>
      </c>
      <c r="K46" s="5" t="s">
        <v>198</v>
      </c>
      <c r="L46" s="5" t="s">
        <v>200</v>
      </c>
      <c r="M46" s="5" t="s">
        <v>202</v>
      </c>
      <c r="N46" s="5" t="s">
        <v>202</v>
      </c>
      <c r="O46" s="5" t="s">
        <v>202</v>
      </c>
      <c r="P46" s="5" t="s">
        <v>200</v>
      </c>
      <c r="Q46" s="5" t="s">
        <v>198</v>
      </c>
      <c r="R46" s="5" t="s">
        <v>198</v>
      </c>
      <c r="S46" s="5" t="s">
        <v>202</v>
      </c>
      <c r="T46" s="5" t="s">
        <v>200</v>
      </c>
      <c r="U46" s="5" t="s">
        <v>416</v>
      </c>
      <c r="V46" s="5" t="s">
        <v>206</v>
      </c>
      <c r="W46" s="5" t="s">
        <v>202</v>
      </c>
      <c r="X46" s="5" t="s">
        <v>200</v>
      </c>
      <c r="Y46" s="5" t="s">
        <v>202</v>
      </c>
      <c r="Z46" s="5" t="s">
        <v>200</v>
      </c>
      <c r="AA46" s="5" t="s">
        <v>198</v>
      </c>
      <c r="AB46" s="5" t="s">
        <v>203</v>
      </c>
      <c r="AC46" s="5" t="s">
        <v>417</v>
      </c>
      <c r="AD46" s="5" t="s">
        <v>206</v>
      </c>
      <c r="AE46" s="5" t="s">
        <v>202</v>
      </c>
      <c r="AF46" s="5" t="s">
        <v>200</v>
      </c>
      <c r="AG46" s="5" t="s">
        <v>198</v>
      </c>
      <c r="AH46" s="5" t="s">
        <v>204</v>
      </c>
      <c r="AI46" s="5" t="s">
        <v>204</v>
      </c>
      <c r="AJ46" s="5" t="s">
        <v>208</v>
      </c>
      <c r="AK46" s="5" t="s">
        <v>204</v>
      </c>
      <c r="AL46" s="5" t="s">
        <v>418</v>
      </c>
    </row>
    <row r="47">
      <c r="A47" s="8">
        <v>627.0</v>
      </c>
      <c r="B47" s="7">
        <v>45868.089583333334</v>
      </c>
      <c r="C47" s="5" t="s">
        <v>419</v>
      </c>
      <c r="D47" s="5" t="s">
        <v>411</v>
      </c>
      <c r="E47" s="5" t="s">
        <v>211</v>
      </c>
      <c r="F47" s="5" t="s">
        <v>208</v>
      </c>
      <c r="G47" s="5" t="s">
        <v>208</v>
      </c>
      <c r="H47" s="5" t="s">
        <v>199</v>
      </c>
      <c r="I47" s="5" t="s">
        <v>208</v>
      </c>
      <c r="J47" s="5" t="s">
        <v>204</v>
      </c>
      <c r="K47" s="5" t="s">
        <v>204</v>
      </c>
      <c r="L47" s="5" t="s">
        <v>208</v>
      </c>
      <c r="M47" s="5" t="s">
        <v>202</v>
      </c>
      <c r="N47" s="5" t="s">
        <v>203</v>
      </c>
      <c r="O47" s="5" t="s">
        <v>200</v>
      </c>
      <c r="P47" s="5" t="s">
        <v>200</v>
      </c>
      <c r="Q47" s="5" t="s">
        <v>204</v>
      </c>
      <c r="R47" s="5" t="s">
        <v>203</v>
      </c>
      <c r="S47" s="5" t="s">
        <v>208</v>
      </c>
      <c r="T47" s="5" t="s">
        <v>202</v>
      </c>
      <c r="U47" s="5" t="s">
        <v>420</v>
      </c>
      <c r="V47" s="5" t="s">
        <v>206</v>
      </c>
      <c r="W47" s="5" t="s">
        <v>204</v>
      </c>
      <c r="X47" s="5" t="s">
        <v>198</v>
      </c>
      <c r="Y47" s="5" t="s">
        <v>204</v>
      </c>
      <c r="Z47" s="5" t="s">
        <v>203</v>
      </c>
      <c r="AA47" s="5" t="s">
        <v>200</v>
      </c>
      <c r="AB47" s="5" t="s">
        <v>202</v>
      </c>
      <c r="AC47" s="5" t="s">
        <v>421</v>
      </c>
      <c r="AD47" s="5" t="s">
        <v>206</v>
      </c>
      <c r="AE47" s="5" t="s">
        <v>200</v>
      </c>
      <c r="AF47" s="5" t="s">
        <v>203</v>
      </c>
      <c r="AG47" s="5" t="s">
        <v>203</v>
      </c>
      <c r="AH47" s="5" t="s">
        <v>204</v>
      </c>
      <c r="AI47" s="5" t="s">
        <v>204</v>
      </c>
      <c r="AJ47" s="5" t="s">
        <v>204</v>
      </c>
      <c r="AK47" s="5" t="s">
        <v>204</v>
      </c>
      <c r="AL47" s="5" t="s">
        <v>422</v>
      </c>
    </row>
    <row r="48">
      <c r="A48" s="8">
        <v>323.0</v>
      </c>
      <c r="B48" s="7">
        <v>45868.09583333333</v>
      </c>
      <c r="C48" s="5" t="s">
        <v>423</v>
      </c>
      <c r="D48" s="5" t="s">
        <v>411</v>
      </c>
      <c r="E48" s="5" t="s">
        <v>197</v>
      </c>
      <c r="F48" s="5" t="s">
        <v>203</v>
      </c>
      <c r="G48" s="5" t="s">
        <v>198</v>
      </c>
      <c r="H48" s="5" t="s">
        <v>199</v>
      </c>
      <c r="I48" s="5" t="s">
        <v>200</v>
      </c>
      <c r="J48" s="5" t="s">
        <v>202</v>
      </c>
      <c r="K48" s="5" t="s">
        <v>203</v>
      </c>
      <c r="L48" s="5" t="s">
        <v>203</v>
      </c>
      <c r="M48" s="5" t="s">
        <v>202</v>
      </c>
      <c r="N48" s="5" t="s">
        <v>202</v>
      </c>
      <c r="O48" s="5" t="s">
        <v>202</v>
      </c>
      <c r="P48" s="5" t="s">
        <v>202</v>
      </c>
      <c r="Q48" s="5" t="s">
        <v>200</v>
      </c>
      <c r="R48" s="5" t="s">
        <v>203</v>
      </c>
      <c r="S48" s="5" t="s">
        <v>202</v>
      </c>
      <c r="T48" s="5" t="s">
        <v>203</v>
      </c>
      <c r="U48" s="11" t="s">
        <v>424</v>
      </c>
      <c r="V48" s="5" t="s">
        <v>206</v>
      </c>
      <c r="W48" s="5" t="s">
        <v>203</v>
      </c>
      <c r="X48" s="5" t="s">
        <v>200</v>
      </c>
      <c r="Y48" s="5" t="s">
        <v>202</v>
      </c>
      <c r="Z48" s="5" t="s">
        <v>203</v>
      </c>
      <c r="AA48" s="5" t="s">
        <v>202</v>
      </c>
      <c r="AB48" s="5" t="s">
        <v>202</v>
      </c>
      <c r="AC48" s="11" t="s">
        <v>425</v>
      </c>
      <c r="AD48" s="10"/>
      <c r="AE48" s="5" t="s">
        <v>202</v>
      </c>
      <c r="AF48" s="5" t="s">
        <v>202</v>
      </c>
      <c r="AG48" s="5" t="s">
        <v>202</v>
      </c>
      <c r="AH48" s="5" t="s">
        <v>204</v>
      </c>
      <c r="AI48" s="5" t="s">
        <v>204</v>
      </c>
      <c r="AJ48" s="5" t="s">
        <v>204</v>
      </c>
      <c r="AK48" s="5" t="s">
        <v>204</v>
      </c>
      <c r="AL48" s="5" t="s">
        <v>426</v>
      </c>
    </row>
    <row r="49">
      <c r="A49" s="8">
        <v>885.0</v>
      </c>
      <c r="B49" s="7">
        <v>45868.10208333333</v>
      </c>
      <c r="C49" s="5" t="s">
        <v>427</v>
      </c>
      <c r="D49" s="5" t="s">
        <v>428</v>
      </c>
      <c r="E49" s="5" t="s">
        <v>216</v>
      </c>
      <c r="F49" s="5" t="s">
        <v>203</v>
      </c>
      <c r="G49" s="5" t="s">
        <v>202</v>
      </c>
      <c r="H49" s="5" t="s">
        <v>199</v>
      </c>
      <c r="I49" s="5" t="s">
        <v>202</v>
      </c>
      <c r="J49" s="5" t="s">
        <v>202</v>
      </c>
      <c r="K49" s="5" t="s">
        <v>202</v>
      </c>
      <c r="L49" s="5" t="s">
        <v>198</v>
      </c>
      <c r="M49" s="5" t="s">
        <v>202</v>
      </c>
      <c r="N49" s="5" t="s">
        <v>202</v>
      </c>
      <c r="O49" s="5" t="s">
        <v>202</v>
      </c>
      <c r="P49" s="5" t="s">
        <v>202</v>
      </c>
      <c r="Q49" s="5" t="s">
        <v>198</v>
      </c>
      <c r="R49" s="5" t="s">
        <v>203</v>
      </c>
      <c r="S49" s="5" t="s">
        <v>202</v>
      </c>
      <c r="T49" s="5" t="s">
        <v>202</v>
      </c>
      <c r="U49" s="5" t="s">
        <v>429</v>
      </c>
      <c r="V49" s="5" t="s">
        <v>206</v>
      </c>
      <c r="W49" s="5" t="s">
        <v>200</v>
      </c>
      <c r="X49" s="5" t="s">
        <v>200</v>
      </c>
      <c r="Y49" s="5" t="s">
        <v>200</v>
      </c>
      <c r="Z49" s="5" t="s">
        <v>202</v>
      </c>
      <c r="AA49" s="5" t="s">
        <v>203</v>
      </c>
      <c r="AB49" s="5" t="s">
        <v>200</v>
      </c>
      <c r="AC49" s="5" t="s">
        <v>430</v>
      </c>
      <c r="AD49" s="5" t="s">
        <v>206</v>
      </c>
      <c r="AE49" s="5" t="s">
        <v>202</v>
      </c>
      <c r="AF49" s="5" t="s">
        <v>200</v>
      </c>
      <c r="AG49" s="5" t="s">
        <v>203</v>
      </c>
      <c r="AH49" s="5" t="s">
        <v>204</v>
      </c>
      <c r="AI49" s="5" t="s">
        <v>204</v>
      </c>
      <c r="AJ49" s="5" t="s">
        <v>204</v>
      </c>
      <c r="AK49" s="5" t="s">
        <v>204</v>
      </c>
      <c r="AL49" s="5" t="s">
        <v>431</v>
      </c>
    </row>
    <row r="50">
      <c r="A50" s="8">
        <v>1034.0</v>
      </c>
      <c r="B50" s="7">
        <v>45868.16805555556</v>
      </c>
      <c r="C50" s="5" t="s">
        <v>432</v>
      </c>
      <c r="D50" s="5" t="s">
        <v>433</v>
      </c>
      <c r="E50" s="5" t="s">
        <v>216</v>
      </c>
      <c r="F50" s="5" t="s">
        <v>198</v>
      </c>
      <c r="G50" s="5" t="s">
        <v>208</v>
      </c>
      <c r="H50" s="5" t="s">
        <v>199</v>
      </c>
      <c r="I50" s="5" t="s">
        <v>200</v>
      </c>
      <c r="J50" s="5" t="s">
        <v>203</v>
      </c>
      <c r="K50" s="5" t="s">
        <v>208</v>
      </c>
      <c r="L50" s="5" t="s">
        <v>208</v>
      </c>
      <c r="M50" s="5" t="s">
        <v>208</v>
      </c>
      <c r="N50" s="5" t="s">
        <v>202</v>
      </c>
      <c r="O50" s="5" t="s">
        <v>202</v>
      </c>
      <c r="P50" s="5" t="s">
        <v>198</v>
      </c>
      <c r="Q50" s="5" t="s">
        <v>208</v>
      </c>
      <c r="R50" s="5" t="s">
        <v>208</v>
      </c>
      <c r="S50" s="5" t="s">
        <v>202</v>
      </c>
      <c r="T50" s="5" t="s">
        <v>202</v>
      </c>
      <c r="U50" s="5" t="s">
        <v>434</v>
      </c>
      <c r="V50" s="5" t="s">
        <v>206</v>
      </c>
      <c r="W50" s="5" t="s">
        <v>202</v>
      </c>
      <c r="X50" s="5" t="s">
        <v>203</v>
      </c>
      <c r="Y50" s="5" t="s">
        <v>198</v>
      </c>
      <c r="Z50" s="5" t="s">
        <v>202</v>
      </c>
      <c r="AA50" s="5" t="s">
        <v>203</v>
      </c>
      <c r="AB50" s="5" t="s">
        <v>208</v>
      </c>
      <c r="AC50" s="5" t="s">
        <v>435</v>
      </c>
      <c r="AD50" s="5" t="s">
        <v>206</v>
      </c>
      <c r="AE50" s="5" t="s">
        <v>202</v>
      </c>
      <c r="AF50" s="5" t="s">
        <v>200</v>
      </c>
      <c r="AG50" s="5" t="s">
        <v>198</v>
      </c>
      <c r="AH50" s="5" t="s">
        <v>208</v>
      </c>
      <c r="AI50" s="5" t="s">
        <v>208</v>
      </c>
      <c r="AJ50" s="5" t="s">
        <v>204</v>
      </c>
      <c r="AK50" s="5" t="s">
        <v>204</v>
      </c>
      <c r="AL50" s="11" t="s">
        <v>436</v>
      </c>
    </row>
    <row r="51">
      <c r="A51" s="8">
        <v>1006.0</v>
      </c>
      <c r="B51" s="7">
        <v>45868.180555555555</v>
      </c>
      <c r="C51" s="5" t="s">
        <v>437</v>
      </c>
      <c r="D51" s="5" t="s">
        <v>433</v>
      </c>
      <c r="E51" s="5" t="s">
        <v>211</v>
      </c>
      <c r="F51" s="5" t="s">
        <v>208</v>
      </c>
      <c r="G51" s="5" t="s">
        <v>200</v>
      </c>
      <c r="H51" s="5" t="s">
        <v>199</v>
      </c>
      <c r="I51" s="5" t="s">
        <v>202</v>
      </c>
      <c r="J51" s="5" t="s">
        <v>200</v>
      </c>
      <c r="K51" s="5" t="s">
        <v>203</v>
      </c>
      <c r="L51" s="5" t="s">
        <v>200</v>
      </c>
      <c r="M51" s="5" t="s">
        <v>200</v>
      </c>
      <c r="N51" s="5" t="s">
        <v>201</v>
      </c>
      <c r="O51" s="5" t="s">
        <v>202</v>
      </c>
      <c r="P51" s="5" t="s">
        <v>198</v>
      </c>
      <c r="Q51" s="5" t="s">
        <v>200</v>
      </c>
      <c r="R51" s="5" t="s">
        <v>200</v>
      </c>
      <c r="S51" s="5" t="s">
        <v>202</v>
      </c>
      <c r="T51" s="5" t="s">
        <v>202</v>
      </c>
      <c r="U51" s="11" t="s">
        <v>438</v>
      </c>
      <c r="V51" s="5" t="s">
        <v>206</v>
      </c>
      <c r="W51" s="5" t="s">
        <v>202</v>
      </c>
      <c r="X51" s="5" t="s">
        <v>203</v>
      </c>
      <c r="Y51" s="5" t="s">
        <v>200</v>
      </c>
      <c r="Z51" s="5" t="s">
        <v>200</v>
      </c>
      <c r="AA51" s="5" t="s">
        <v>200</v>
      </c>
      <c r="AB51" s="5" t="s">
        <v>202</v>
      </c>
      <c r="AC51" s="11" t="s">
        <v>439</v>
      </c>
      <c r="AD51" s="5" t="s">
        <v>206</v>
      </c>
      <c r="AE51" s="5" t="s">
        <v>200</v>
      </c>
      <c r="AF51" s="5" t="s">
        <v>202</v>
      </c>
      <c r="AG51" s="5" t="s">
        <v>201</v>
      </c>
      <c r="AH51" s="5" t="s">
        <v>204</v>
      </c>
      <c r="AI51" s="5" t="s">
        <v>208</v>
      </c>
      <c r="AJ51" s="5" t="s">
        <v>204</v>
      </c>
      <c r="AK51" s="5" t="s">
        <v>204</v>
      </c>
      <c r="AL51" s="5" t="s">
        <v>440</v>
      </c>
    </row>
    <row r="52">
      <c r="A52" s="8">
        <v>961.0</v>
      </c>
      <c r="B52" s="7">
        <v>45868.183333333334</v>
      </c>
      <c r="C52" s="5" t="s">
        <v>441</v>
      </c>
      <c r="D52" s="5" t="s">
        <v>442</v>
      </c>
      <c r="E52" s="5" t="s">
        <v>197</v>
      </c>
      <c r="F52" s="5" t="s">
        <v>198</v>
      </c>
      <c r="G52" s="5" t="s">
        <v>200</v>
      </c>
      <c r="H52" s="5" t="s">
        <v>199</v>
      </c>
      <c r="I52" s="5" t="s">
        <v>198</v>
      </c>
      <c r="J52" s="5" t="s">
        <v>200</v>
      </c>
      <c r="K52" s="5" t="s">
        <v>200</v>
      </c>
      <c r="L52" s="5" t="s">
        <v>202</v>
      </c>
      <c r="M52" s="5" t="s">
        <v>202</v>
      </c>
      <c r="N52" s="5" t="s">
        <v>202</v>
      </c>
      <c r="O52" s="5" t="s">
        <v>202</v>
      </c>
      <c r="P52" s="5" t="s">
        <v>202</v>
      </c>
      <c r="Q52" s="5" t="s">
        <v>203</v>
      </c>
      <c r="R52" s="5" t="s">
        <v>200</v>
      </c>
      <c r="S52" s="5" t="s">
        <v>202</v>
      </c>
      <c r="T52" s="5" t="s">
        <v>203</v>
      </c>
      <c r="U52" s="5" t="s">
        <v>443</v>
      </c>
      <c r="V52" s="5" t="s">
        <v>206</v>
      </c>
      <c r="W52" s="5" t="s">
        <v>198</v>
      </c>
      <c r="X52" s="5" t="s">
        <v>198</v>
      </c>
      <c r="Y52" s="5" t="s">
        <v>198</v>
      </c>
      <c r="Z52" s="5" t="s">
        <v>198</v>
      </c>
      <c r="AA52" s="5" t="s">
        <v>203</v>
      </c>
      <c r="AB52" s="5" t="s">
        <v>200</v>
      </c>
      <c r="AC52" s="5" t="s">
        <v>444</v>
      </c>
      <c r="AD52" s="5" t="s">
        <v>206</v>
      </c>
      <c r="AE52" s="5" t="s">
        <v>203</v>
      </c>
      <c r="AF52" s="5" t="s">
        <v>200</v>
      </c>
      <c r="AG52" s="5" t="s">
        <v>200</v>
      </c>
      <c r="AH52" s="5" t="s">
        <v>208</v>
      </c>
      <c r="AI52" s="5" t="s">
        <v>198</v>
      </c>
      <c r="AJ52" s="5" t="s">
        <v>200</v>
      </c>
      <c r="AK52" s="5" t="s">
        <v>198</v>
      </c>
      <c r="AL52" s="5" t="s">
        <v>445</v>
      </c>
    </row>
    <row r="53">
      <c r="A53" s="8">
        <v>829.0</v>
      </c>
      <c r="B53" s="7">
        <v>45868.19375</v>
      </c>
      <c r="C53" s="5" t="s">
        <v>446</v>
      </c>
      <c r="D53" s="5" t="s">
        <v>442</v>
      </c>
      <c r="E53" s="5" t="s">
        <v>197</v>
      </c>
      <c r="F53" s="5" t="s">
        <v>200</v>
      </c>
      <c r="G53" s="5" t="s">
        <v>198</v>
      </c>
      <c r="H53" s="5" t="s">
        <v>199</v>
      </c>
      <c r="I53" s="5" t="s">
        <v>203</v>
      </c>
      <c r="J53" s="5" t="s">
        <v>200</v>
      </c>
      <c r="K53" s="5" t="s">
        <v>201</v>
      </c>
      <c r="L53" s="5" t="s">
        <v>202</v>
      </c>
      <c r="M53" s="5" t="s">
        <v>201</v>
      </c>
      <c r="N53" s="5" t="s">
        <v>201</v>
      </c>
      <c r="O53" s="5" t="s">
        <v>202</v>
      </c>
      <c r="P53" s="5" t="s">
        <v>202</v>
      </c>
      <c r="Q53" s="5" t="s">
        <v>198</v>
      </c>
      <c r="R53" s="5" t="s">
        <v>200</v>
      </c>
      <c r="S53" s="5" t="s">
        <v>200</v>
      </c>
      <c r="T53" s="5" t="s">
        <v>200</v>
      </c>
      <c r="U53" s="5" t="s">
        <v>447</v>
      </c>
      <c r="V53" s="5" t="s">
        <v>206</v>
      </c>
      <c r="W53" s="5" t="s">
        <v>200</v>
      </c>
      <c r="X53" s="5" t="s">
        <v>200</v>
      </c>
      <c r="Y53" s="5" t="s">
        <v>203</v>
      </c>
      <c r="Z53" s="5" t="s">
        <v>200</v>
      </c>
      <c r="AA53" s="5" t="s">
        <v>198</v>
      </c>
      <c r="AB53" s="5" t="s">
        <v>200</v>
      </c>
      <c r="AC53" s="5" t="s">
        <v>448</v>
      </c>
      <c r="AD53" s="5" t="s">
        <v>206</v>
      </c>
      <c r="AE53" s="5" t="s">
        <v>202</v>
      </c>
      <c r="AF53" s="5" t="s">
        <v>202</v>
      </c>
      <c r="AG53" s="5" t="s">
        <v>202</v>
      </c>
      <c r="AH53" s="5" t="s">
        <v>208</v>
      </c>
      <c r="AI53" s="5" t="s">
        <v>204</v>
      </c>
      <c r="AJ53" s="5" t="s">
        <v>208</v>
      </c>
      <c r="AK53" s="5" t="s">
        <v>204</v>
      </c>
      <c r="AL53" s="5" t="s">
        <v>449</v>
      </c>
    </row>
    <row r="54">
      <c r="A54" s="8">
        <v>1471.0</v>
      </c>
      <c r="B54" s="7">
        <v>45868.20138888889</v>
      </c>
      <c r="C54" s="5" t="s">
        <v>450</v>
      </c>
      <c r="D54" s="5" t="s">
        <v>433</v>
      </c>
      <c r="E54" s="5" t="s">
        <v>197</v>
      </c>
      <c r="F54" s="5" t="s">
        <v>202</v>
      </c>
      <c r="G54" s="5" t="s">
        <v>202</v>
      </c>
      <c r="H54" s="5" t="s">
        <v>199</v>
      </c>
      <c r="I54" s="5" t="s">
        <v>202</v>
      </c>
      <c r="J54" s="5" t="s">
        <v>201</v>
      </c>
      <c r="K54" s="5" t="s">
        <v>201</v>
      </c>
      <c r="L54" s="5" t="s">
        <v>202</v>
      </c>
      <c r="M54" s="5" t="s">
        <v>203</v>
      </c>
      <c r="N54" s="5" t="s">
        <v>202</v>
      </c>
      <c r="O54" s="5" t="s">
        <v>202</v>
      </c>
      <c r="P54" s="5" t="s">
        <v>202</v>
      </c>
      <c r="Q54" s="5" t="s">
        <v>202</v>
      </c>
      <c r="R54" s="5" t="s">
        <v>200</v>
      </c>
      <c r="S54" s="5" t="s">
        <v>201</v>
      </c>
      <c r="T54" s="5" t="s">
        <v>202</v>
      </c>
      <c r="U54" s="11" t="s">
        <v>451</v>
      </c>
      <c r="V54" s="5" t="s">
        <v>206</v>
      </c>
      <c r="W54" s="5" t="s">
        <v>202</v>
      </c>
      <c r="X54" s="5" t="s">
        <v>202</v>
      </c>
      <c r="Y54" s="5" t="s">
        <v>202</v>
      </c>
      <c r="Z54" s="5" t="s">
        <v>200</v>
      </c>
      <c r="AA54" s="5" t="s">
        <v>200</v>
      </c>
      <c r="AB54" s="5" t="s">
        <v>202</v>
      </c>
      <c r="AC54" s="5" t="s">
        <v>452</v>
      </c>
      <c r="AD54" s="5" t="s">
        <v>206</v>
      </c>
      <c r="AE54" s="5" t="s">
        <v>202</v>
      </c>
      <c r="AF54" s="5" t="s">
        <v>208</v>
      </c>
      <c r="AG54" s="5" t="s">
        <v>201</v>
      </c>
      <c r="AH54" s="5" t="s">
        <v>208</v>
      </c>
      <c r="AI54" s="5" t="s">
        <v>208</v>
      </c>
      <c r="AJ54" s="5" t="s">
        <v>200</v>
      </c>
      <c r="AK54" s="5" t="s">
        <v>202</v>
      </c>
      <c r="AL54" s="11" t="s">
        <v>453</v>
      </c>
    </row>
    <row r="55">
      <c r="A55" s="8">
        <v>626.0</v>
      </c>
      <c r="B55" s="7">
        <v>45868.20208333333</v>
      </c>
      <c r="C55" s="5" t="s">
        <v>454</v>
      </c>
      <c r="D55" s="5" t="s">
        <v>442</v>
      </c>
      <c r="E55" s="5" t="s">
        <v>216</v>
      </c>
      <c r="F55" s="5" t="s">
        <v>200</v>
      </c>
      <c r="G55" s="5" t="s">
        <v>200</v>
      </c>
      <c r="H55" s="5" t="s">
        <v>199</v>
      </c>
      <c r="I55" s="5" t="s">
        <v>200</v>
      </c>
      <c r="J55" s="5" t="s">
        <v>200</v>
      </c>
      <c r="K55" s="5" t="s">
        <v>202</v>
      </c>
      <c r="L55" s="5" t="s">
        <v>200</v>
      </c>
      <c r="M55" s="5" t="s">
        <v>200</v>
      </c>
      <c r="N55" s="5" t="s">
        <v>200</v>
      </c>
      <c r="O55" s="5" t="s">
        <v>200</v>
      </c>
      <c r="P55" s="5" t="s">
        <v>200</v>
      </c>
      <c r="Q55" s="5" t="s">
        <v>203</v>
      </c>
      <c r="R55" s="5" t="s">
        <v>198</v>
      </c>
      <c r="S55" s="5" t="s">
        <v>200</v>
      </c>
      <c r="T55" s="5" t="s">
        <v>208</v>
      </c>
      <c r="U55" s="5" t="s">
        <v>455</v>
      </c>
      <c r="V55" s="5" t="s">
        <v>206</v>
      </c>
      <c r="W55" s="5" t="s">
        <v>200</v>
      </c>
      <c r="X55" s="5" t="s">
        <v>200</v>
      </c>
      <c r="Y55" s="5" t="s">
        <v>200</v>
      </c>
      <c r="Z55" s="5" t="s">
        <v>202</v>
      </c>
      <c r="AA55" s="5" t="s">
        <v>202</v>
      </c>
      <c r="AB55" s="5" t="s">
        <v>202</v>
      </c>
      <c r="AC55" s="5" t="s">
        <v>456</v>
      </c>
      <c r="AD55" s="5" t="s">
        <v>206</v>
      </c>
      <c r="AE55" s="5" t="s">
        <v>202</v>
      </c>
      <c r="AF55" s="5" t="s">
        <v>202</v>
      </c>
      <c r="AG55" s="5" t="s">
        <v>202</v>
      </c>
      <c r="AH55" s="5" t="s">
        <v>208</v>
      </c>
      <c r="AI55" s="5" t="s">
        <v>208</v>
      </c>
      <c r="AJ55" s="5" t="s">
        <v>208</v>
      </c>
      <c r="AK55" s="5" t="s">
        <v>208</v>
      </c>
      <c r="AL55" s="5" t="s">
        <v>457</v>
      </c>
    </row>
    <row r="56">
      <c r="A56" s="8">
        <v>319.0</v>
      </c>
      <c r="B56" s="7">
        <v>45868.21527777778</v>
      </c>
      <c r="C56" s="5" t="s">
        <v>458</v>
      </c>
      <c r="D56" s="5" t="s">
        <v>442</v>
      </c>
      <c r="E56" s="5" t="s">
        <v>263</v>
      </c>
      <c r="F56" s="5" t="s">
        <v>200</v>
      </c>
      <c r="G56" s="5" t="s">
        <v>200</v>
      </c>
      <c r="H56" s="5" t="s">
        <v>199</v>
      </c>
      <c r="I56" s="5" t="s">
        <v>202</v>
      </c>
      <c r="J56" s="5" t="s">
        <v>200</v>
      </c>
      <c r="K56" s="5" t="s">
        <v>200</v>
      </c>
      <c r="L56" s="5" t="s">
        <v>202</v>
      </c>
      <c r="M56" s="5" t="s">
        <v>202</v>
      </c>
      <c r="N56" s="5" t="s">
        <v>202</v>
      </c>
      <c r="O56" s="5" t="s">
        <v>202</v>
      </c>
      <c r="P56" s="5" t="s">
        <v>202</v>
      </c>
      <c r="Q56" s="5" t="s">
        <v>200</v>
      </c>
      <c r="R56" s="5" t="s">
        <v>203</v>
      </c>
      <c r="S56" s="5" t="s">
        <v>202</v>
      </c>
      <c r="T56" s="5" t="s">
        <v>203</v>
      </c>
      <c r="U56" s="5" t="s">
        <v>459</v>
      </c>
      <c r="V56" s="5" t="s">
        <v>206</v>
      </c>
      <c r="W56" s="5" t="s">
        <v>202</v>
      </c>
      <c r="X56" s="5" t="s">
        <v>202</v>
      </c>
      <c r="Y56" s="5" t="s">
        <v>202</v>
      </c>
      <c r="Z56" s="5" t="s">
        <v>203</v>
      </c>
      <c r="AA56" s="5" t="s">
        <v>202</v>
      </c>
      <c r="AB56" s="5" t="s">
        <v>202</v>
      </c>
      <c r="AC56" s="5" t="s">
        <v>460</v>
      </c>
      <c r="AD56" s="5" t="s">
        <v>206</v>
      </c>
      <c r="AE56" s="5" t="s">
        <v>200</v>
      </c>
      <c r="AF56" s="5" t="s">
        <v>200</v>
      </c>
      <c r="AG56" s="5" t="s">
        <v>203</v>
      </c>
      <c r="AH56" s="5" t="s">
        <v>198</v>
      </c>
      <c r="AI56" s="5" t="s">
        <v>198</v>
      </c>
      <c r="AJ56" s="5" t="s">
        <v>200</v>
      </c>
      <c r="AK56" s="5" t="s">
        <v>200</v>
      </c>
      <c r="AL56" s="5" t="s">
        <v>461</v>
      </c>
    </row>
    <row r="57">
      <c r="A57" s="8">
        <v>746.0</v>
      </c>
      <c r="B57" s="7">
        <v>45868.21597222222</v>
      </c>
      <c r="C57" s="5" t="s">
        <v>462</v>
      </c>
      <c r="D57" s="5" t="s">
        <v>433</v>
      </c>
      <c r="E57" s="5" t="s">
        <v>263</v>
      </c>
      <c r="F57" s="5" t="s">
        <v>202</v>
      </c>
      <c r="G57" s="5" t="s">
        <v>200</v>
      </c>
      <c r="H57" s="5" t="s">
        <v>199</v>
      </c>
      <c r="I57" s="5" t="s">
        <v>202</v>
      </c>
      <c r="J57" s="5" t="s">
        <v>201</v>
      </c>
      <c r="K57" s="5" t="s">
        <v>202</v>
      </c>
      <c r="L57" s="5" t="s">
        <v>202</v>
      </c>
      <c r="M57" s="5" t="s">
        <v>200</v>
      </c>
      <c r="N57" s="5" t="s">
        <v>202</v>
      </c>
      <c r="O57" s="5" t="s">
        <v>202</v>
      </c>
      <c r="P57" s="5" t="s">
        <v>202</v>
      </c>
      <c r="Q57" s="5" t="s">
        <v>208</v>
      </c>
      <c r="R57" s="5" t="s">
        <v>198</v>
      </c>
      <c r="S57" s="5" t="s">
        <v>200</v>
      </c>
      <c r="T57" s="5" t="s">
        <v>202</v>
      </c>
      <c r="U57" s="11" t="s">
        <v>463</v>
      </c>
      <c r="V57" s="5" t="s">
        <v>206</v>
      </c>
      <c r="W57" s="5" t="s">
        <v>202</v>
      </c>
      <c r="X57" s="5" t="s">
        <v>202</v>
      </c>
      <c r="Y57" s="5" t="s">
        <v>202</v>
      </c>
      <c r="Z57" s="5" t="s">
        <v>200</v>
      </c>
      <c r="AA57" s="5" t="s">
        <v>200</v>
      </c>
      <c r="AB57" s="5" t="s">
        <v>202</v>
      </c>
      <c r="AC57" s="5" t="s">
        <v>464</v>
      </c>
      <c r="AD57" s="5" t="s">
        <v>206</v>
      </c>
      <c r="AE57" s="5" t="s">
        <v>202</v>
      </c>
      <c r="AF57" s="5" t="s">
        <v>200</v>
      </c>
      <c r="AG57" s="5" t="s">
        <v>201</v>
      </c>
      <c r="AH57" s="5" t="s">
        <v>208</v>
      </c>
      <c r="AI57" s="5" t="s">
        <v>208</v>
      </c>
      <c r="AJ57" s="5" t="s">
        <v>202</v>
      </c>
      <c r="AK57" s="5" t="s">
        <v>200</v>
      </c>
      <c r="AL57" s="11" t="s">
        <v>465</v>
      </c>
    </row>
    <row r="58">
      <c r="A58" s="8">
        <v>459.0</v>
      </c>
      <c r="B58" s="7">
        <v>45868.222916666666</v>
      </c>
      <c r="C58" s="5" t="s">
        <v>466</v>
      </c>
      <c r="D58" s="5" t="s">
        <v>411</v>
      </c>
      <c r="E58" s="5" t="s">
        <v>211</v>
      </c>
      <c r="F58" s="5" t="s">
        <v>198</v>
      </c>
      <c r="G58" s="5" t="s">
        <v>198</v>
      </c>
      <c r="H58" s="5" t="s">
        <v>199</v>
      </c>
      <c r="I58" s="5" t="s">
        <v>200</v>
      </c>
      <c r="J58" s="5" t="s">
        <v>200</v>
      </c>
      <c r="K58" s="5" t="s">
        <v>203</v>
      </c>
      <c r="L58" s="5" t="s">
        <v>200</v>
      </c>
      <c r="M58" s="5" t="s">
        <v>200</v>
      </c>
      <c r="N58" s="5" t="s">
        <v>202</v>
      </c>
      <c r="O58" s="5" t="s">
        <v>200</v>
      </c>
      <c r="P58" s="5" t="s">
        <v>200</v>
      </c>
      <c r="Q58" s="5" t="s">
        <v>203</v>
      </c>
      <c r="R58" s="5" t="s">
        <v>203</v>
      </c>
      <c r="S58" s="5" t="s">
        <v>200</v>
      </c>
      <c r="T58" s="5" t="s">
        <v>201</v>
      </c>
      <c r="U58" s="5" t="s">
        <v>467</v>
      </c>
      <c r="V58" s="5" t="s">
        <v>206</v>
      </c>
      <c r="W58" s="5" t="s">
        <v>200</v>
      </c>
      <c r="X58" s="5" t="s">
        <v>202</v>
      </c>
      <c r="Y58" s="5" t="s">
        <v>202</v>
      </c>
      <c r="Z58" s="5" t="s">
        <v>200</v>
      </c>
      <c r="AA58" s="5" t="s">
        <v>203</v>
      </c>
      <c r="AB58" s="5" t="s">
        <v>200</v>
      </c>
      <c r="AC58" s="5" t="s">
        <v>413</v>
      </c>
      <c r="AD58" s="5" t="s">
        <v>206</v>
      </c>
      <c r="AE58" s="5" t="s">
        <v>200</v>
      </c>
      <c r="AF58" s="5" t="s">
        <v>200</v>
      </c>
      <c r="AG58" s="5" t="s">
        <v>202</v>
      </c>
      <c r="AH58" s="5" t="s">
        <v>204</v>
      </c>
      <c r="AI58" s="5" t="s">
        <v>204</v>
      </c>
      <c r="AJ58" s="5" t="s">
        <v>204</v>
      </c>
      <c r="AK58" s="5" t="s">
        <v>204</v>
      </c>
      <c r="AL58" s="5" t="s">
        <v>413</v>
      </c>
    </row>
    <row r="59">
      <c r="A59" s="8">
        <v>309.0</v>
      </c>
      <c r="B59" s="7">
        <v>45868.22986111111</v>
      </c>
      <c r="C59" s="5" t="s">
        <v>468</v>
      </c>
      <c r="D59" s="5" t="s">
        <v>411</v>
      </c>
      <c r="E59" s="5" t="s">
        <v>216</v>
      </c>
      <c r="F59" s="5" t="s">
        <v>203</v>
      </c>
      <c r="G59" s="5" t="s">
        <v>208</v>
      </c>
      <c r="H59" s="5" t="s">
        <v>199</v>
      </c>
      <c r="I59" s="5" t="s">
        <v>200</v>
      </c>
      <c r="J59" s="5" t="s">
        <v>202</v>
      </c>
      <c r="K59" s="5" t="s">
        <v>198</v>
      </c>
      <c r="L59" s="5" t="s">
        <v>208</v>
      </c>
      <c r="M59" s="5" t="s">
        <v>200</v>
      </c>
      <c r="N59" s="5" t="s">
        <v>200</v>
      </c>
      <c r="O59" s="5" t="s">
        <v>200</v>
      </c>
      <c r="P59" s="5" t="s">
        <v>200</v>
      </c>
      <c r="Q59" s="5" t="s">
        <v>198</v>
      </c>
      <c r="R59" s="5" t="s">
        <v>203</v>
      </c>
      <c r="S59" s="5" t="s">
        <v>200</v>
      </c>
      <c r="T59" s="5" t="s">
        <v>198</v>
      </c>
      <c r="U59" s="5" t="s">
        <v>413</v>
      </c>
      <c r="V59" s="5" t="s">
        <v>206</v>
      </c>
      <c r="W59" s="5" t="s">
        <v>200</v>
      </c>
      <c r="X59" s="5" t="s">
        <v>200</v>
      </c>
      <c r="Y59" s="5" t="s">
        <v>203</v>
      </c>
      <c r="Z59" s="5" t="s">
        <v>200</v>
      </c>
      <c r="AA59" s="5" t="s">
        <v>200</v>
      </c>
      <c r="AB59" s="5" t="s">
        <v>200</v>
      </c>
      <c r="AC59" s="5" t="s">
        <v>413</v>
      </c>
      <c r="AD59" s="5" t="s">
        <v>206</v>
      </c>
      <c r="AE59" s="5" t="s">
        <v>202</v>
      </c>
      <c r="AF59" s="5" t="s">
        <v>200</v>
      </c>
      <c r="AG59" s="5" t="s">
        <v>200</v>
      </c>
      <c r="AH59" s="5" t="s">
        <v>204</v>
      </c>
      <c r="AI59" s="5" t="s">
        <v>204</v>
      </c>
      <c r="AJ59" s="5" t="s">
        <v>204</v>
      </c>
      <c r="AK59" s="5" t="s">
        <v>204</v>
      </c>
      <c r="AL59" s="5" t="s">
        <v>413</v>
      </c>
    </row>
    <row r="60">
      <c r="A60" s="8">
        <v>723.0</v>
      </c>
      <c r="B60" s="7">
        <v>45868.2375</v>
      </c>
      <c r="C60" s="5" t="s">
        <v>469</v>
      </c>
      <c r="D60" s="5" t="s">
        <v>470</v>
      </c>
      <c r="E60" s="5" t="s">
        <v>197</v>
      </c>
      <c r="F60" s="5" t="s">
        <v>200</v>
      </c>
      <c r="G60" s="5" t="s">
        <v>202</v>
      </c>
      <c r="H60" s="5" t="s">
        <v>199</v>
      </c>
      <c r="I60" s="5" t="s">
        <v>202</v>
      </c>
      <c r="J60" s="5" t="s">
        <v>202</v>
      </c>
      <c r="K60" s="5" t="s">
        <v>202</v>
      </c>
      <c r="L60" s="5" t="s">
        <v>202</v>
      </c>
      <c r="M60" s="5" t="s">
        <v>200</v>
      </c>
      <c r="N60" s="5" t="s">
        <v>202</v>
      </c>
      <c r="O60" s="5" t="s">
        <v>202</v>
      </c>
      <c r="P60" s="5" t="s">
        <v>202</v>
      </c>
      <c r="Q60" s="5" t="s">
        <v>203</v>
      </c>
      <c r="R60" s="5" t="s">
        <v>203</v>
      </c>
      <c r="S60" s="5" t="s">
        <v>200</v>
      </c>
      <c r="T60" s="5" t="s">
        <v>200</v>
      </c>
      <c r="U60" s="5" t="s">
        <v>471</v>
      </c>
      <c r="V60" s="5" t="s">
        <v>206</v>
      </c>
      <c r="W60" s="5" t="s">
        <v>203</v>
      </c>
      <c r="X60" s="5" t="s">
        <v>203</v>
      </c>
      <c r="Y60" s="5" t="s">
        <v>200</v>
      </c>
      <c r="Z60" s="5" t="s">
        <v>202</v>
      </c>
      <c r="AA60" s="5" t="s">
        <v>200</v>
      </c>
      <c r="AB60" s="5" t="s">
        <v>202</v>
      </c>
      <c r="AC60" s="5" t="s">
        <v>472</v>
      </c>
      <c r="AD60" s="5" t="s">
        <v>206</v>
      </c>
      <c r="AE60" s="5" t="s">
        <v>200</v>
      </c>
      <c r="AF60" s="5" t="s">
        <v>202</v>
      </c>
      <c r="AG60" s="5" t="s">
        <v>202</v>
      </c>
      <c r="AH60" s="5" t="s">
        <v>200</v>
      </c>
      <c r="AI60" s="5" t="s">
        <v>200</v>
      </c>
      <c r="AJ60" s="5" t="s">
        <v>201</v>
      </c>
      <c r="AK60" s="5" t="s">
        <v>208</v>
      </c>
      <c r="AL60" s="5" t="s">
        <v>473</v>
      </c>
    </row>
    <row r="61">
      <c r="A61" s="8">
        <v>488.0</v>
      </c>
      <c r="B61" s="7">
        <v>45868.24930555555</v>
      </c>
      <c r="C61" s="5" t="s">
        <v>474</v>
      </c>
      <c r="D61" s="5" t="s">
        <v>470</v>
      </c>
      <c r="E61" s="5" t="s">
        <v>263</v>
      </c>
      <c r="F61" s="5" t="s">
        <v>202</v>
      </c>
      <c r="G61" s="5" t="s">
        <v>202</v>
      </c>
      <c r="H61" s="5" t="s">
        <v>199</v>
      </c>
      <c r="I61" s="5" t="s">
        <v>202</v>
      </c>
      <c r="J61" s="5" t="s">
        <v>200</v>
      </c>
      <c r="K61" s="5" t="s">
        <v>202</v>
      </c>
      <c r="L61" s="5" t="s">
        <v>202</v>
      </c>
      <c r="M61" s="5" t="s">
        <v>202</v>
      </c>
      <c r="N61" s="5" t="s">
        <v>202</v>
      </c>
      <c r="O61" s="5" t="s">
        <v>201</v>
      </c>
      <c r="P61" s="5" t="s">
        <v>202</v>
      </c>
      <c r="Q61" s="5" t="s">
        <v>202</v>
      </c>
      <c r="R61" s="5" t="s">
        <v>200</v>
      </c>
      <c r="S61" s="5" t="s">
        <v>202</v>
      </c>
      <c r="T61" s="5" t="s">
        <v>201</v>
      </c>
      <c r="U61" s="5" t="s">
        <v>475</v>
      </c>
      <c r="V61" s="5" t="s">
        <v>206</v>
      </c>
      <c r="W61" s="5" t="s">
        <v>202</v>
      </c>
      <c r="X61" s="5" t="s">
        <v>200</v>
      </c>
      <c r="Y61" s="5" t="s">
        <v>202</v>
      </c>
      <c r="Z61" s="5" t="s">
        <v>200</v>
      </c>
      <c r="AA61" s="5" t="s">
        <v>200</v>
      </c>
      <c r="AB61" s="5" t="s">
        <v>200</v>
      </c>
      <c r="AC61" s="5" t="s">
        <v>476</v>
      </c>
      <c r="AD61" s="5" t="s">
        <v>206</v>
      </c>
      <c r="AE61" s="5" t="s">
        <v>202</v>
      </c>
      <c r="AF61" s="5" t="s">
        <v>202</v>
      </c>
      <c r="AG61" s="5" t="s">
        <v>202</v>
      </c>
      <c r="AH61" s="5" t="s">
        <v>200</v>
      </c>
      <c r="AI61" s="5" t="s">
        <v>200</v>
      </c>
      <c r="AJ61" s="5" t="s">
        <v>202</v>
      </c>
      <c r="AK61" s="5" t="s">
        <v>203</v>
      </c>
      <c r="AL61" s="5" t="s">
        <v>477</v>
      </c>
    </row>
    <row r="62">
      <c r="A62" s="8">
        <v>675.0</v>
      </c>
      <c r="B62" s="7">
        <v>45868.256944444445</v>
      </c>
      <c r="C62" s="5" t="s">
        <v>478</v>
      </c>
      <c r="D62" s="5" t="s">
        <v>428</v>
      </c>
      <c r="E62" s="5" t="s">
        <v>197</v>
      </c>
      <c r="F62" s="5" t="s">
        <v>198</v>
      </c>
      <c r="G62" s="5" t="s">
        <v>208</v>
      </c>
      <c r="H62" s="5" t="s">
        <v>199</v>
      </c>
      <c r="I62" s="5" t="s">
        <v>200</v>
      </c>
      <c r="J62" s="5" t="s">
        <v>200</v>
      </c>
      <c r="K62" s="5" t="s">
        <v>208</v>
      </c>
      <c r="L62" s="5" t="s">
        <v>208</v>
      </c>
      <c r="M62" s="5" t="s">
        <v>208</v>
      </c>
      <c r="N62" s="5" t="s">
        <v>200</v>
      </c>
      <c r="O62" s="5" t="s">
        <v>200</v>
      </c>
      <c r="P62" s="5" t="s">
        <v>200</v>
      </c>
      <c r="Q62" s="5" t="s">
        <v>208</v>
      </c>
      <c r="R62" s="5" t="s">
        <v>203</v>
      </c>
      <c r="S62" s="5" t="s">
        <v>200</v>
      </c>
      <c r="T62" s="5" t="s">
        <v>208</v>
      </c>
      <c r="U62" s="5" t="s">
        <v>479</v>
      </c>
      <c r="V62" s="5" t="s">
        <v>206</v>
      </c>
      <c r="W62" s="5" t="s">
        <v>200</v>
      </c>
      <c r="X62" s="5" t="s">
        <v>200</v>
      </c>
      <c r="Y62" s="5" t="s">
        <v>200</v>
      </c>
      <c r="Z62" s="5" t="s">
        <v>198</v>
      </c>
      <c r="AA62" s="5" t="s">
        <v>198</v>
      </c>
      <c r="AB62" s="5" t="s">
        <v>200</v>
      </c>
      <c r="AC62" s="5" t="s">
        <v>480</v>
      </c>
      <c r="AD62" s="5" t="s">
        <v>206</v>
      </c>
      <c r="AE62" s="5" t="s">
        <v>200</v>
      </c>
      <c r="AF62" s="5" t="s">
        <v>200</v>
      </c>
      <c r="AG62" s="5" t="s">
        <v>203</v>
      </c>
      <c r="AH62" s="5" t="s">
        <v>200</v>
      </c>
      <c r="AI62" s="5" t="s">
        <v>200</v>
      </c>
      <c r="AJ62" s="5" t="s">
        <v>200</v>
      </c>
      <c r="AK62" s="5" t="s">
        <v>198</v>
      </c>
      <c r="AL62" s="5" t="s">
        <v>481</v>
      </c>
    </row>
    <row r="63">
      <c r="A63" s="8">
        <v>735.0</v>
      </c>
      <c r="B63" s="7">
        <v>45868.25833333333</v>
      </c>
      <c r="C63" s="5" t="s">
        <v>482</v>
      </c>
      <c r="D63" s="5" t="s">
        <v>470</v>
      </c>
      <c r="E63" s="5" t="s">
        <v>211</v>
      </c>
      <c r="F63" s="5" t="s">
        <v>203</v>
      </c>
      <c r="G63" s="5" t="s">
        <v>202</v>
      </c>
      <c r="H63" s="5" t="s">
        <v>199</v>
      </c>
      <c r="I63" s="5" t="s">
        <v>200</v>
      </c>
      <c r="J63" s="5" t="s">
        <v>200</v>
      </c>
      <c r="K63" s="5" t="s">
        <v>200</v>
      </c>
      <c r="L63" s="5" t="s">
        <v>200</v>
      </c>
      <c r="M63" s="5" t="s">
        <v>203</v>
      </c>
      <c r="N63" s="5" t="s">
        <v>200</v>
      </c>
      <c r="O63" s="5" t="s">
        <v>202</v>
      </c>
      <c r="P63" s="5" t="s">
        <v>202</v>
      </c>
      <c r="Q63" s="5" t="s">
        <v>198</v>
      </c>
      <c r="R63" s="5" t="s">
        <v>203</v>
      </c>
      <c r="S63" s="5" t="s">
        <v>202</v>
      </c>
      <c r="T63" s="5" t="s">
        <v>202</v>
      </c>
      <c r="U63" s="5" t="s">
        <v>483</v>
      </c>
      <c r="V63" s="5" t="s">
        <v>206</v>
      </c>
      <c r="W63" s="5" t="s">
        <v>200</v>
      </c>
      <c r="X63" s="5" t="s">
        <v>203</v>
      </c>
      <c r="Y63" s="5" t="s">
        <v>200</v>
      </c>
      <c r="Z63" s="5" t="s">
        <v>198</v>
      </c>
      <c r="AA63" s="5" t="s">
        <v>198</v>
      </c>
      <c r="AB63" s="5" t="s">
        <v>202</v>
      </c>
      <c r="AC63" s="5" t="s">
        <v>484</v>
      </c>
      <c r="AD63" s="5" t="s">
        <v>206</v>
      </c>
      <c r="AE63" s="5" t="s">
        <v>202</v>
      </c>
      <c r="AF63" s="5" t="s">
        <v>202</v>
      </c>
      <c r="AG63" s="5" t="s">
        <v>203</v>
      </c>
      <c r="AH63" s="5" t="s">
        <v>200</v>
      </c>
      <c r="AI63" s="5" t="s">
        <v>203</v>
      </c>
      <c r="AJ63" s="5" t="s">
        <v>202</v>
      </c>
      <c r="AK63" s="5" t="s">
        <v>198</v>
      </c>
      <c r="AL63" s="5" t="s">
        <v>485</v>
      </c>
    </row>
    <row r="64">
      <c r="A64" s="8">
        <v>537.0</v>
      </c>
      <c r="B64" s="7">
        <v>45868.26527777778</v>
      </c>
      <c r="C64" s="5" t="s">
        <v>486</v>
      </c>
      <c r="D64" s="5" t="s">
        <v>470</v>
      </c>
      <c r="E64" s="5" t="s">
        <v>216</v>
      </c>
      <c r="F64" s="5" t="s">
        <v>202</v>
      </c>
      <c r="G64" s="5" t="s">
        <v>202</v>
      </c>
      <c r="H64" s="5" t="s">
        <v>199</v>
      </c>
      <c r="I64" s="5" t="s">
        <v>201</v>
      </c>
      <c r="J64" s="5" t="s">
        <v>202</v>
      </c>
      <c r="K64" s="5" t="s">
        <v>203</v>
      </c>
      <c r="L64" s="5" t="s">
        <v>202</v>
      </c>
      <c r="M64" s="5" t="s">
        <v>200</v>
      </c>
      <c r="N64" s="5" t="s">
        <v>202</v>
      </c>
      <c r="O64" s="5" t="s">
        <v>202</v>
      </c>
      <c r="P64" s="5" t="s">
        <v>202</v>
      </c>
      <c r="Q64" s="5" t="s">
        <v>200</v>
      </c>
      <c r="R64" s="5" t="s">
        <v>200</v>
      </c>
      <c r="S64" s="5" t="s">
        <v>202</v>
      </c>
      <c r="T64" s="5" t="s">
        <v>200</v>
      </c>
      <c r="U64" s="5" t="s">
        <v>487</v>
      </c>
      <c r="V64" s="5" t="s">
        <v>206</v>
      </c>
      <c r="W64" s="5" t="s">
        <v>202</v>
      </c>
      <c r="X64" s="5" t="s">
        <v>202</v>
      </c>
      <c r="Y64" s="5" t="s">
        <v>202</v>
      </c>
      <c r="Z64" s="5" t="s">
        <v>200</v>
      </c>
      <c r="AA64" s="5" t="s">
        <v>202</v>
      </c>
      <c r="AB64" s="5" t="s">
        <v>202</v>
      </c>
      <c r="AC64" s="5" t="s">
        <v>488</v>
      </c>
      <c r="AD64" s="5" t="s">
        <v>206</v>
      </c>
      <c r="AE64" s="5" t="s">
        <v>202</v>
      </c>
      <c r="AF64" s="5" t="s">
        <v>202</v>
      </c>
      <c r="AG64" s="5" t="s">
        <v>202</v>
      </c>
      <c r="AH64" s="5" t="s">
        <v>203</v>
      </c>
      <c r="AI64" s="5" t="s">
        <v>203</v>
      </c>
      <c r="AJ64" s="5" t="s">
        <v>200</v>
      </c>
      <c r="AK64" s="5" t="s">
        <v>198</v>
      </c>
      <c r="AL64" s="5" t="s">
        <v>489</v>
      </c>
    </row>
    <row r="65">
      <c r="A65" s="8">
        <v>616.0</v>
      </c>
      <c r="B65" s="7">
        <v>45868.27222222222</v>
      </c>
      <c r="C65" s="5" t="s">
        <v>491</v>
      </c>
      <c r="D65" s="5" t="s">
        <v>428</v>
      </c>
      <c r="E65" s="5" t="s">
        <v>263</v>
      </c>
      <c r="F65" s="5" t="s">
        <v>208</v>
      </c>
      <c r="G65" s="5" t="s">
        <v>204</v>
      </c>
      <c r="H65" s="5" t="s">
        <v>199</v>
      </c>
      <c r="I65" s="5" t="s">
        <v>200</v>
      </c>
      <c r="J65" s="5" t="s">
        <v>203</v>
      </c>
      <c r="K65" s="5" t="s">
        <v>208</v>
      </c>
      <c r="L65" s="5" t="s">
        <v>208</v>
      </c>
      <c r="M65" s="5" t="s">
        <v>202</v>
      </c>
      <c r="N65" s="5" t="s">
        <v>200</v>
      </c>
      <c r="O65" s="5" t="s">
        <v>202</v>
      </c>
      <c r="P65" s="5" t="s">
        <v>202</v>
      </c>
      <c r="Q65" s="5" t="s">
        <v>208</v>
      </c>
      <c r="R65" s="5" t="s">
        <v>202</v>
      </c>
      <c r="S65" s="5" t="s">
        <v>200</v>
      </c>
      <c r="T65" s="5" t="s">
        <v>200</v>
      </c>
      <c r="U65" s="5" t="s">
        <v>492</v>
      </c>
      <c r="V65" s="5" t="s">
        <v>206</v>
      </c>
      <c r="W65" s="5" t="s">
        <v>208</v>
      </c>
      <c r="X65" s="5" t="s">
        <v>208</v>
      </c>
      <c r="Y65" s="5" t="s">
        <v>208</v>
      </c>
      <c r="Z65" s="5" t="s">
        <v>208</v>
      </c>
      <c r="AA65" s="5" t="s">
        <v>201</v>
      </c>
      <c r="AB65" s="5" t="s">
        <v>204</v>
      </c>
      <c r="AC65" s="5" t="s">
        <v>493</v>
      </c>
      <c r="AD65" s="5" t="s">
        <v>206</v>
      </c>
      <c r="AE65" s="5" t="s">
        <v>202</v>
      </c>
      <c r="AF65" s="5" t="s">
        <v>208</v>
      </c>
      <c r="AG65" s="5" t="s">
        <v>198</v>
      </c>
      <c r="AH65" s="5" t="s">
        <v>201</v>
      </c>
      <c r="AI65" s="5" t="s">
        <v>201</v>
      </c>
      <c r="AJ65" s="5" t="s">
        <v>201</v>
      </c>
      <c r="AK65" s="5" t="s">
        <v>202</v>
      </c>
      <c r="AL65" s="5" t="s">
        <v>494</v>
      </c>
    </row>
    <row r="66">
      <c r="A66" s="8">
        <v>1057.0</v>
      </c>
      <c r="B66" s="7">
        <v>45868.290972222225</v>
      </c>
      <c r="C66" s="5" t="s">
        <v>495</v>
      </c>
      <c r="D66" s="5" t="s">
        <v>496</v>
      </c>
      <c r="E66" s="5" t="s">
        <v>263</v>
      </c>
      <c r="F66" s="5" t="s">
        <v>208</v>
      </c>
      <c r="G66" s="5" t="s">
        <v>198</v>
      </c>
      <c r="H66" s="5" t="s">
        <v>199</v>
      </c>
      <c r="I66" s="5" t="s">
        <v>200</v>
      </c>
      <c r="J66" s="5" t="s">
        <v>202</v>
      </c>
      <c r="K66" s="5" t="s">
        <v>208</v>
      </c>
      <c r="L66" s="5" t="s">
        <v>202</v>
      </c>
      <c r="M66" s="5" t="s">
        <v>198</v>
      </c>
      <c r="N66" s="5" t="s">
        <v>202</v>
      </c>
      <c r="O66" s="5" t="s">
        <v>201</v>
      </c>
      <c r="P66" s="5" t="s">
        <v>201</v>
      </c>
      <c r="Q66" s="5" t="s">
        <v>203</v>
      </c>
      <c r="R66" s="5" t="s">
        <v>198</v>
      </c>
      <c r="S66" s="5" t="s">
        <v>200</v>
      </c>
      <c r="T66" s="5" t="s">
        <v>208</v>
      </c>
      <c r="U66" s="11" t="s">
        <v>497</v>
      </c>
      <c r="V66" s="5" t="s">
        <v>206</v>
      </c>
      <c r="W66" s="5" t="s">
        <v>198</v>
      </c>
      <c r="X66" s="5" t="s">
        <v>202</v>
      </c>
      <c r="Y66" s="5" t="s">
        <v>200</v>
      </c>
      <c r="Z66" s="5" t="s">
        <v>203</v>
      </c>
      <c r="AA66" s="5" t="s">
        <v>208</v>
      </c>
      <c r="AB66" s="5" t="s">
        <v>203</v>
      </c>
      <c r="AC66" s="11" t="s">
        <v>498</v>
      </c>
      <c r="AD66" s="5" t="s">
        <v>206</v>
      </c>
      <c r="AE66" s="5" t="s">
        <v>200</v>
      </c>
      <c r="AF66" s="5" t="s">
        <v>204</v>
      </c>
      <c r="AG66" s="5" t="s">
        <v>202</v>
      </c>
      <c r="AH66" s="5" t="s">
        <v>203</v>
      </c>
      <c r="AI66" s="5" t="s">
        <v>204</v>
      </c>
      <c r="AJ66" s="5" t="s">
        <v>208</v>
      </c>
      <c r="AK66" s="5" t="s">
        <v>208</v>
      </c>
      <c r="AL66" s="5" t="s">
        <v>499</v>
      </c>
    </row>
    <row r="67">
      <c r="A67" s="8">
        <v>1105.0</v>
      </c>
      <c r="B67" s="7">
        <v>45868.294444444444</v>
      </c>
      <c r="C67" s="5" t="s">
        <v>500</v>
      </c>
      <c r="D67" s="5" t="s">
        <v>501</v>
      </c>
      <c r="E67" s="5" t="s">
        <v>211</v>
      </c>
      <c r="F67" s="5" t="s">
        <v>200</v>
      </c>
      <c r="G67" s="5" t="s">
        <v>202</v>
      </c>
      <c r="H67" s="5" t="s">
        <v>199</v>
      </c>
      <c r="I67" s="5" t="s">
        <v>202</v>
      </c>
      <c r="J67" s="5" t="s">
        <v>202</v>
      </c>
      <c r="K67" s="5" t="s">
        <v>203</v>
      </c>
      <c r="L67" s="5" t="s">
        <v>200</v>
      </c>
      <c r="M67" s="5" t="s">
        <v>202</v>
      </c>
      <c r="N67" s="5" t="s">
        <v>202</v>
      </c>
      <c r="O67" s="5" t="s">
        <v>202</v>
      </c>
      <c r="P67" s="5" t="s">
        <v>202</v>
      </c>
      <c r="Q67" s="5" t="s">
        <v>202</v>
      </c>
      <c r="R67" s="5" t="s">
        <v>203</v>
      </c>
      <c r="S67" s="5" t="s">
        <v>202</v>
      </c>
      <c r="T67" s="5" t="s">
        <v>204</v>
      </c>
      <c r="U67" s="5" t="s">
        <v>502</v>
      </c>
      <c r="V67" s="5" t="s">
        <v>206</v>
      </c>
      <c r="W67" s="5" t="s">
        <v>202</v>
      </c>
      <c r="X67" s="5" t="s">
        <v>201</v>
      </c>
      <c r="Y67" s="5" t="s">
        <v>201</v>
      </c>
      <c r="Z67" s="5" t="s">
        <v>201</v>
      </c>
      <c r="AA67" s="5" t="s">
        <v>202</v>
      </c>
      <c r="AB67" s="5" t="s">
        <v>201</v>
      </c>
      <c r="AC67" s="5" t="s">
        <v>503</v>
      </c>
      <c r="AD67" s="5" t="s">
        <v>206</v>
      </c>
      <c r="AE67" s="5" t="s">
        <v>201</v>
      </c>
      <c r="AF67" s="5" t="s">
        <v>202</v>
      </c>
      <c r="AG67" s="5" t="s">
        <v>201</v>
      </c>
      <c r="AH67" s="5" t="s">
        <v>204</v>
      </c>
      <c r="AI67" s="5" t="s">
        <v>204</v>
      </c>
      <c r="AJ67" s="5" t="s">
        <v>204</v>
      </c>
      <c r="AK67" s="5" t="s">
        <v>204</v>
      </c>
      <c r="AL67" s="5" t="s">
        <v>504</v>
      </c>
    </row>
    <row r="68">
      <c r="A68" s="8">
        <v>553.0</v>
      </c>
      <c r="B68" s="7">
        <v>45868.30763888889</v>
      </c>
      <c r="C68" s="5" t="s">
        <v>505</v>
      </c>
      <c r="D68" s="5" t="s">
        <v>496</v>
      </c>
      <c r="E68" s="5" t="s">
        <v>216</v>
      </c>
      <c r="F68" s="5" t="s">
        <v>203</v>
      </c>
      <c r="G68" s="5" t="s">
        <v>203</v>
      </c>
      <c r="H68" s="5" t="s">
        <v>199</v>
      </c>
      <c r="I68" s="5" t="s">
        <v>201</v>
      </c>
      <c r="J68" s="5" t="s">
        <v>201</v>
      </c>
      <c r="K68" s="5" t="s">
        <v>200</v>
      </c>
      <c r="L68" s="5" t="s">
        <v>198</v>
      </c>
      <c r="M68" s="5" t="s">
        <v>200</v>
      </c>
      <c r="N68" s="5" t="s">
        <v>201</v>
      </c>
      <c r="O68" s="5" t="s">
        <v>201</v>
      </c>
      <c r="P68" s="5" t="s">
        <v>201</v>
      </c>
      <c r="Q68" s="5" t="s">
        <v>203</v>
      </c>
      <c r="R68" s="5" t="s">
        <v>208</v>
      </c>
      <c r="S68" s="5" t="s">
        <v>201</v>
      </c>
      <c r="T68" s="5" t="s">
        <v>204</v>
      </c>
      <c r="U68" s="5" t="s">
        <v>506</v>
      </c>
      <c r="V68" s="5" t="s">
        <v>206</v>
      </c>
      <c r="W68" s="5" t="s">
        <v>201</v>
      </c>
      <c r="X68" s="5" t="s">
        <v>202</v>
      </c>
      <c r="Y68" s="5" t="s">
        <v>202</v>
      </c>
      <c r="Z68" s="5" t="s">
        <v>201</v>
      </c>
      <c r="AA68" s="5" t="s">
        <v>201</v>
      </c>
      <c r="AB68" s="5" t="s">
        <v>201</v>
      </c>
      <c r="AC68" s="5" t="s">
        <v>507</v>
      </c>
      <c r="AD68" s="5" t="s">
        <v>206</v>
      </c>
      <c r="AE68" s="5" t="s">
        <v>201</v>
      </c>
      <c r="AF68" s="5" t="s">
        <v>201</v>
      </c>
      <c r="AG68" s="5" t="s">
        <v>201</v>
      </c>
      <c r="AH68" s="5" t="s">
        <v>204</v>
      </c>
      <c r="AI68" s="5" t="s">
        <v>204</v>
      </c>
      <c r="AJ68" s="5" t="s">
        <v>204</v>
      </c>
      <c r="AK68" s="5" t="s">
        <v>204</v>
      </c>
      <c r="AL68" s="5" t="s">
        <v>508</v>
      </c>
    </row>
    <row r="69">
      <c r="A69" s="8">
        <v>729.0</v>
      </c>
      <c r="B69" s="7">
        <v>45868.30972222222</v>
      </c>
      <c r="C69" s="5" t="s">
        <v>509</v>
      </c>
      <c r="D69" s="5" t="s">
        <v>501</v>
      </c>
      <c r="E69" s="5" t="s">
        <v>263</v>
      </c>
      <c r="F69" s="5" t="s">
        <v>202</v>
      </c>
      <c r="G69" s="5" t="s">
        <v>202</v>
      </c>
      <c r="H69" s="5" t="s">
        <v>199</v>
      </c>
      <c r="I69" s="5" t="s">
        <v>201</v>
      </c>
      <c r="J69" s="5" t="s">
        <v>201</v>
      </c>
      <c r="K69" s="5" t="s">
        <v>202</v>
      </c>
      <c r="L69" s="5" t="s">
        <v>202</v>
      </c>
      <c r="M69" s="5" t="s">
        <v>201</v>
      </c>
      <c r="N69" s="5" t="s">
        <v>201</v>
      </c>
      <c r="O69" s="5" t="s">
        <v>201</v>
      </c>
      <c r="P69" s="5" t="s">
        <v>201</v>
      </c>
      <c r="Q69" s="5" t="s">
        <v>202</v>
      </c>
      <c r="R69" s="5" t="s">
        <v>202</v>
      </c>
      <c r="S69" s="5" t="s">
        <v>202</v>
      </c>
      <c r="T69" s="5" t="s">
        <v>203</v>
      </c>
      <c r="U69" s="5" t="s">
        <v>510</v>
      </c>
      <c r="V69" s="5" t="s">
        <v>206</v>
      </c>
      <c r="W69" s="5" t="s">
        <v>202</v>
      </c>
      <c r="X69" s="5" t="s">
        <v>201</v>
      </c>
      <c r="Y69" s="5" t="s">
        <v>201</v>
      </c>
      <c r="Z69" s="5" t="s">
        <v>201</v>
      </c>
      <c r="AA69" s="5" t="s">
        <v>201</v>
      </c>
      <c r="AB69" s="5" t="s">
        <v>201</v>
      </c>
      <c r="AC69" s="5" t="s">
        <v>511</v>
      </c>
      <c r="AD69" s="5" t="s">
        <v>206</v>
      </c>
      <c r="AE69" s="5" t="s">
        <v>201</v>
      </c>
      <c r="AF69" s="5" t="s">
        <v>202</v>
      </c>
      <c r="AG69" s="5" t="s">
        <v>201</v>
      </c>
      <c r="AH69" s="5" t="s">
        <v>204</v>
      </c>
      <c r="AI69" s="5" t="s">
        <v>204</v>
      </c>
      <c r="AJ69" s="5" t="s">
        <v>208</v>
      </c>
      <c r="AK69" s="5" t="s">
        <v>204</v>
      </c>
      <c r="AL69" s="5" t="s">
        <v>512</v>
      </c>
    </row>
    <row r="70">
      <c r="A70" s="8">
        <v>806.0</v>
      </c>
      <c r="B70" s="7">
        <v>45868.322222222225</v>
      </c>
      <c r="C70" s="5" t="s">
        <v>513</v>
      </c>
      <c r="D70" s="5" t="s">
        <v>496</v>
      </c>
      <c r="E70" s="5" t="s">
        <v>211</v>
      </c>
      <c r="F70" s="5" t="s">
        <v>203</v>
      </c>
      <c r="G70" s="5" t="s">
        <v>203</v>
      </c>
      <c r="H70" s="5" t="s">
        <v>199</v>
      </c>
      <c r="I70" s="5" t="s">
        <v>203</v>
      </c>
      <c r="J70" s="5" t="s">
        <v>201</v>
      </c>
      <c r="K70" s="5" t="s">
        <v>198</v>
      </c>
      <c r="L70" s="5" t="s">
        <v>203</v>
      </c>
      <c r="M70" s="5" t="s">
        <v>201</v>
      </c>
      <c r="N70" s="5" t="s">
        <v>201</v>
      </c>
      <c r="O70" s="5" t="s">
        <v>201</v>
      </c>
      <c r="P70" s="5" t="s">
        <v>201</v>
      </c>
      <c r="Q70" s="5" t="s">
        <v>208</v>
      </c>
      <c r="R70" s="5" t="s">
        <v>204</v>
      </c>
      <c r="S70" s="5" t="s">
        <v>201</v>
      </c>
      <c r="T70" s="5" t="s">
        <v>204</v>
      </c>
      <c r="U70" s="5" t="s">
        <v>514</v>
      </c>
      <c r="V70" s="5" t="s">
        <v>206</v>
      </c>
      <c r="W70" s="5" t="s">
        <v>202</v>
      </c>
      <c r="X70" s="5" t="s">
        <v>201</v>
      </c>
      <c r="Y70" s="5" t="s">
        <v>202</v>
      </c>
      <c r="Z70" s="5" t="s">
        <v>202</v>
      </c>
      <c r="AA70" s="5" t="s">
        <v>200</v>
      </c>
      <c r="AB70" s="5" t="s">
        <v>200</v>
      </c>
      <c r="AC70" s="5" t="s">
        <v>515</v>
      </c>
      <c r="AD70" s="5" t="s">
        <v>206</v>
      </c>
      <c r="AE70" s="5" t="s">
        <v>201</v>
      </c>
      <c r="AF70" s="5" t="s">
        <v>201</v>
      </c>
      <c r="AG70" s="5" t="s">
        <v>201</v>
      </c>
      <c r="AH70" s="5" t="s">
        <v>204</v>
      </c>
      <c r="AI70" s="5" t="s">
        <v>204</v>
      </c>
      <c r="AJ70" s="5" t="s">
        <v>204</v>
      </c>
      <c r="AK70" s="5" t="s">
        <v>204</v>
      </c>
      <c r="AL70" s="5" t="s">
        <v>516</v>
      </c>
    </row>
    <row r="71">
      <c r="A71" s="8">
        <v>612.0</v>
      </c>
      <c r="B71" s="7">
        <v>45868.32361111111</v>
      </c>
      <c r="C71" s="5" t="s">
        <v>517</v>
      </c>
      <c r="D71" s="5" t="s">
        <v>501</v>
      </c>
      <c r="E71" s="5" t="s">
        <v>197</v>
      </c>
      <c r="F71" s="5" t="s">
        <v>202</v>
      </c>
      <c r="G71" s="5" t="s">
        <v>202</v>
      </c>
      <c r="H71" s="5" t="s">
        <v>199</v>
      </c>
      <c r="I71" s="5" t="s">
        <v>201</v>
      </c>
      <c r="J71" s="5" t="s">
        <v>201</v>
      </c>
      <c r="K71" s="5" t="s">
        <v>201</v>
      </c>
      <c r="L71" s="5" t="s">
        <v>202</v>
      </c>
      <c r="M71" s="5" t="s">
        <v>201</v>
      </c>
      <c r="N71" s="5" t="s">
        <v>201</v>
      </c>
      <c r="O71" s="5" t="s">
        <v>201</v>
      </c>
      <c r="P71" s="5" t="s">
        <v>201</v>
      </c>
      <c r="Q71" s="5" t="s">
        <v>202</v>
      </c>
      <c r="R71" s="5" t="s">
        <v>202</v>
      </c>
      <c r="S71" s="5" t="s">
        <v>201</v>
      </c>
      <c r="T71" s="5" t="s">
        <v>208</v>
      </c>
      <c r="U71" s="5" t="s">
        <v>518</v>
      </c>
      <c r="V71" s="5" t="s">
        <v>206</v>
      </c>
      <c r="W71" s="5" t="s">
        <v>201</v>
      </c>
      <c r="X71" s="5" t="s">
        <v>201</v>
      </c>
      <c r="Y71" s="5" t="s">
        <v>201</v>
      </c>
      <c r="Z71" s="5" t="s">
        <v>201</v>
      </c>
      <c r="AA71" s="5" t="s">
        <v>201</v>
      </c>
      <c r="AB71" s="5" t="s">
        <v>201</v>
      </c>
      <c r="AC71" s="5" t="s">
        <v>519</v>
      </c>
      <c r="AD71" s="5" t="s">
        <v>206</v>
      </c>
      <c r="AE71" s="5" t="s">
        <v>201</v>
      </c>
      <c r="AF71" s="5" t="s">
        <v>202</v>
      </c>
      <c r="AG71" s="5" t="s">
        <v>201</v>
      </c>
      <c r="AH71" s="5" t="s">
        <v>204</v>
      </c>
      <c r="AI71" s="5" t="s">
        <v>204</v>
      </c>
      <c r="AJ71" s="5" t="s">
        <v>204</v>
      </c>
      <c r="AK71" s="5" t="s">
        <v>204</v>
      </c>
      <c r="AL71" s="5" t="s">
        <v>520</v>
      </c>
    </row>
    <row r="72">
      <c r="A72" s="8">
        <v>561.0</v>
      </c>
      <c r="B72" s="7">
        <v>45868.334027777775</v>
      </c>
      <c r="C72" s="5" t="s">
        <v>521</v>
      </c>
      <c r="D72" s="5" t="s">
        <v>496</v>
      </c>
      <c r="E72" s="5" t="s">
        <v>197</v>
      </c>
      <c r="F72" s="5" t="s">
        <v>208</v>
      </c>
      <c r="G72" s="5" t="s">
        <v>208</v>
      </c>
      <c r="H72" s="5" t="s">
        <v>199</v>
      </c>
      <c r="I72" s="5" t="s">
        <v>198</v>
      </c>
      <c r="J72" s="5" t="s">
        <v>203</v>
      </c>
      <c r="K72" s="5" t="s">
        <v>208</v>
      </c>
      <c r="L72" s="5" t="s">
        <v>203</v>
      </c>
      <c r="M72" s="5" t="s">
        <v>202</v>
      </c>
      <c r="N72" s="5" t="s">
        <v>203</v>
      </c>
      <c r="O72" s="5" t="s">
        <v>202</v>
      </c>
      <c r="P72" s="5" t="s">
        <v>208</v>
      </c>
      <c r="Q72" s="5" t="s">
        <v>202</v>
      </c>
      <c r="R72" s="5" t="s">
        <v>204</v>
      </c>
      <c r="S72" s="5" t="s">
        <v>203</v>
      </c>
      <c r="T72" s="5" t="s">
        <v>204</v>
      </c>
      <c r="U72" s="5" t="s">
        <v>522</v>
      </c>
      <c r="V72" s="5" t="s">
        <v>206</v>
      </c>
      <c r="W72" s="5" t="s">
        <v>208</v>
      </c>
      <c r="X72" s="5" t="s">
        <v>203</v>
      </c>
      <c r="Y72" s="5" t="s">
        <v>203</v>
      </c>
      <c r="Z72" s="5" t="s">
        <v>202</v>
      </c>
      <c r="AA72" s="5" t="s">
        <v>202</v>
      </c>
      <c r="AB72" s="5" t="s">
        <v>208</v>
      </c>
      <c r="AC72" s="5" t="s">
        <v>523</v>
      </c>
      <c r="AD72" s="5" t="s">
        <v>206</v>
      </c>
      <c r="AE72" s="5" t="s">
        <v>204</v>
      </c>
      <c r="AF72" s="5" t="s">
        <v>204</v>
      </c>
      <c r="AG72" s="5" t="s">
        <v>200</v>
      </c>
      <c r="AH72" s="5" t="s">
        <v>201</v>
      </c>
      <c r="AI72" s="5" t="s">
        <v>200</v>
      </c>
      <c r="AJ72" s="5" t="s">
        <v>201</v>
      </c>
      <c r="AK72" s="5" t="s">
        <v>201</v>
      </c>
      <c r="AL72" s="5" t="s">
        <v>524</v>
      </c>
    </row>
    <row r="73">
      <c r="A73" s="8">
        <v>862.0</v>
      </c>
      <c r="B73" s="7">
        <v>45868.33611111111</v>
      </c>
      <c r="C73" s="5" t="s">
        <v>525</v>
      </c>
      <c r="D73" s="5" t="s">
        <v>501</v>
      </c>
      <c r="E73" s="5" t="s">
        <v>216</v>
      </c>
      <c r="F73" s="5" t="s">
        <v>200</v>
      </c>
      <c r="G73" s="5" t="s">
        <v>202</v>
      </c>
      <c r="H73" s="5" t="s">
        <v>199</v>
      </c>
      <c r="I73" s="5" t="s">
        <v>201</v>
      </c>
      <c r="J73" s="5" t="s">
        <v>202</v>
      </c>
      <c r="K73" s="5" t="s">
        <v>202</v>
      </c>
      <c r="L73" s="5" t="s">
        <v>200</v>
      </c>
      <c r="M73" s="5" t="s">
        <v>201</v>
      </c>
      <c r="N73" s="5" t="s">
        <v>201</v>
      </c>
      <c r="O73" s="5" t="s">
        <v>201</v>
      </c>
      <c r="P73" s="5" t="s">
        <v>201</v>
      </c>
      <c r="Q73" s="5" t="s">
        <v>202</v>
      </c>
      <c r="R73" s="5" t="s">
        <v>202</v>
      </c>
      <c r="S73" s="5" t="s">
        <v>201</v>
      </c>
      <c r="T73" s="5" t="s">
        <v>208</v>
      </c>
      <c r="U73" s="5" t="s">
        <v>526</v>
      </c>
      <c r="V73" s="5" t="s">
        <v>206</v>
      </c>
      <c r="W73" s="5" t="s">
        <v>201</v>
      </c>
      <c r="X73" s="5" t="s">
        <v>201</v>
      </c>
      <c r="Y73" s="5" t="s">
        <v>201</v>
      </c>
      <c r="Z73" s="5" t="s">
        <v>201</v>
      </c>
      <c r="AA73" s="5" t="s">
        <v>202</v>
      </c>
      <c r="AB73" s="5" t="s">
        <v>201</v>
      </c>
      <c r="AC73" s="5" t="s">
        <v>527</v>
      </c>
      <c r="AD73" s="5" t="s">
        <v>206</v>
      </c>
      <c r="AE73" s="5" t="s">
        <v>201</v>
      </c>
      <c r="AF73" s="5" t="s">
        <v>202</v>
      </c>
      <c r="AG73" s="5" t="s">
        <v>201</v>
      </c>
      <c r="AH73" s="5" t="s">
        <v>204</v>
      </c>
      <c r="AI73" s="5" t="s">
        <v>204</v>
      </c>
      <c r="AJ73" s="5" t="s">
        <v>204</v>
      </c>
      <c r="AK73" s="5" t="s">
        <v>204</v>
      </c>
      <c r="AL73" s="5" t="s">
        <v>528</v>
      </c>
    </row>
    <row r="74">
      <c r="A74" s="8">
        <v>1029.0</v>
      </c>
      <c r="B74" s="7">
        <v>45869.02222222222</v>
      </c>
      <c r="C74" s="5" t="s">
        <v>530</v>
      </c>
      <c r="D74" s="5" t="s">
        <v>531</v>
      </c>
      <c r="E74" s="5" t="s">
        <v>216</v>
      </c>
      <c r="F74" s="5" t="s">
        <v>200</v>
      </c>
      <c r="G74" s="5" t="s">
        <v>198</v>
      </c>
      <c r="H74" s="5" t="s">
        <v>199</v>
      </c>
      <c r="I74" s="5" t="s">
        <v>208</v>
      </c>
      <c r="J74" s="5" t="s">
        <v>200</v>
      </c>
      <c r="K74" s="5" t="s">
        <v>200</v>
      </c>
      <c r="L74" s="5" t="s">
        <v>200</v>
      </c>
      <c r="M74" s="5" t="s">
        <v>202</v>
      </c>
      <c r="N74" s="5" t="s">
        <v>202</v>
      </c>
      <c r="O74" s="5" t="s">
        <v>202</v>
      </c>
      <c r="P74" s="5" t="s">
        <v>208</v>
      </c>
      <c r="Q74" s="5" t="s">
        <v>198</v>
      </c>
      <c r="R74" s="5" t="s">
        <v>208</v>
      </c>
      <c r="S74" s="5" t="s">
        <v>202</v>
      </c>
      <c r="T74" s="5" t="s">
        <v>202</v>
      </c>
      <c r="U74" s="5" t="s">
        <v>532</v>
      </c>
      <c r="V74" s="5" t="s">
        <v>206</v>
      </c>
      <c r="W74" s="5" t="s">
        <v>202</v>
      </c>
      <c r="X74" s="5" t="s">
        <v>200</v>
      </c>
      <c r="Y74" s="5" t="s">
        <v>200</v>
      </c>
      <c r="Z74" s="5" t="s">
        <v>200</v>
      </c>
      <c r="AA74" s="5" t="s">
        <v>202</v>
      </c>
      <c r="AB74" s="5" t="s">
        <v>208</v>
      </c>
      <c r="AC74" s="5" t="s">
        <v>533</v>
      </c>
      <c r="AD74" s="5" t="s">
        <v>206</v>
      </c>
      <c r="AE74" s="5" t="s">
        <v>208</v>
      </c>
      <c r="AF74" s="5" t="s">
        <v>201</v>
      </c>
      <c r="AG74" s="5" t="s">
        <v>200</v>
      </c>
      <c r="AH74" s="5" t="s">
        <v>198</v>
      </c>
      <c r="AI74" s="5" t="s">
        <v>204</v>
      </c>
      <c r="AJ74" s="5" t="s">
        <v>204</v>
      </c>
      <c r="AK74" s="5" t="s">
        <v>204</v>
      </c>
      <c r="AL74" s="5" t="s">
        <v>534</v>
      </c>
    </row>
    <row r="75">
      <c r="A75" s="8">
        <v>1118.0</v>
      </c>
      <c r="B75" s="7">
        <v>45869.02847222222</v>
      </c>
      <c r="C75" s="5" t="s">
        <v>535</v>
      </c>
      <c r="D75" s="5" t="s">
        <v>536</v>
      </c>
      <c r="E75" s="5" t="s">
        <v>197</v>
      </c>
      <c r="F75" s="5" t="s">
        <v>200</v>
      </c>
      <c r="G75" s="5" t="s">
        <v>198</v>
      </c>
      <c r="H75" s="5" t="s">
        <v>199</v>
      </c>
      <c r="I75" s="5" t="s">
        <v>201</v>
      </c>
      <c r="J75" s="5" t="s">
        <v>201</v>
      </c>
      <c r="K75" s="5" t="s">
        <v>200</v>
      </c>
      <c r="L75" s="5" t="s">
        <v>200</v>
      </c>
      <c r="M75" s="5" t="s">
        <v>202</v>
      </c>
      <c r="N75" s="5" t="s">
        <v>202</v>
      </c>
      <c r="O75" s="5" t="s">
        <v>201</v>
      </c>
      <c r="P75" s="5" t="s">
        <v>201</v>
      </c>
      <c r="Q75" s="5" t="s">
        <v>202</v>
      </c>
      <c r="R75" s="5" t="s">
        <v>208</v>
      </c>
      <c r="S75" s="5" t="s">
        <v>201</v>
      </c>
      <c r="T75" s="5" t="s">
        <v>202</v>
      </c>
      <c r="U75" s="5" t="s">
        <v>537</v>
      </c>
      <c r="V75" s="5" t="s">
        <v>206</v>
      </c>
      <c r="W75" s="5" t="s">
        <v>203</v>
      </c>
      <c r="X75" s="5" t="s">
        <v>201</v>
      </c>
      <c r="Y75" s="5" t="s">
        <v>201</v>
      </c>
      <c r="Z75" s="5" t="s">
        <v>198</v>
      </c>
      <c r="AA75" s="5" t="s">
        <v>200</v>
      </c>
      <c r="AB75" s="5" t="s">
        <v>203</v>
      </c>
      <c r="AC75" s="5" t="s">
        <v>538</v>
      </c>
      <c r="AE75" s="5" t="s">
        <v>201</v>
      </c>
      <c r="AF75" s="5" t="s">
        <v>201</v>
      </c>
      <c r="AG75" s="5" t="s">
        <v>201</v>
      </c>
      <c r="AH75" s="5" t="s">
        <v>204</v>
      </c>
      <c r="AI75" s="5" t="s">
        <v>204</v>
      </c>
      <c r="AJ75" s="5" t="s">
        <v>204</v>
      </c>
      <c r="AK75" s="5" t="s">
        <v>204</v>
      </c>
      <c r="AL75" s="11" t="s">
        <v>539</v>
      </c>
    </row>
    <row r="76">
      <c r="A76" s="8">
        <v>497.0</v>
      </c>
      <c r="B76" s="7">
        <v>45869.041666666664</v>
      </c>
      <c r="C76" s="5" t="s">
        <v>540</v>
      </c>
      <c r="D76" s="5" t="s">
        <v>531</v>
      </c>
      <c r="E76" s="5" t="s">
        <v>197</v>
      </c>
      <c r="F76" s="5" t="s">
        <v>202</v>
      </c>
      <c r="G76" s="5" t="s">
        <v>208</v>
      </c>
      <c r="H76" s="5" t="s">
        <v>199</v>
      </c>
      <c r="I76" s="5" t="s">
        <v>198</v>
      </c>
      <c r="J76" s="5" t="s">
        <v>200</v>
      </c>
      <c r="K76" s="5" t="s">
        <v>202</v>
      </c>
      <c r="L76" s="5" t="s">
        <v>198</v>
      </c>
      <c r="M76" s="5" t="s">
        <v>200</v>
      </c>
      <c r="N76" s="5" t="s">
        <v>202</v>
      </c>
      <c r="O76" s="5" t="s">
        <v>200</v>
      </c>
      <c r="P76" s="5" t="s">
        <v>208</v>
      </c>
      <c r="Q76" s="5" t="s">
        <v>208</v>
      </c>
      <c r="R76" s="5" t="s">
        <v>208</v>
      </c>
      <c r="S76" s="5" t="s">
        <v>200</v>
      </c>
      <c r="T76" s="5" t="s">
        <v>200</v>
      </c>
      <c r="U76" s="5" t="s">
        <v>541</v>
      </c>
      <c r="V76" s="5" t="s">
        <v>206</v>
      </c>
      <c r="W76" s="5" t="s">
        <v>200</v>
      </c>
      <c r="X76" s="5" t="s">
        <v>202</v>
      </c>
      <c r="Y76" s="5" t="s">
        <v>200</v>
      </c>
      <c r="Z76" s="5" t="s">
        <v>198</v>
      </c>
      <c r="AA76" s="5" t="s">
        <v>200</v>
      </c>
      <c r="AB76" s="5" t="s">
        <v>202</v>
      </c>
      <c r="AC76" s="5" t="s">
        <v>542</v>
      </c>
      <c r="AE76" s="5" t="s">
        <v>200</v>
      </c>
      <c r="AF76" s="5" t="s">
        <v>208</v>
      </c>
      <c r="AG76" s="5" t="s">
        <v>202</v>
      </c>
      <c r="AH76" s="5" t="s">
        <v>208</v>
      </c>
      <c r="AI76" s="5" t="s">
        <v>208</v>
      </c>
      <c r="AJ76" s="5" t="s">
        <v>200</v>
      </c>
      <c r="AK76" s="5" t="s">
        <v>200</v>
      </c>
      <c r="AL76" s="5" t="s">
        <v>543</v>
      </c>
    </row>
    <row r="77">
      <c r="A77" s="8">
        <v>1473.0</v>
      </c>
      <c r="B77" s="7">
        <v>45869.04722222222</v>
      </c>
      <c r="C77" s="5" t="s">
        <v>544</v>
      </c>
      <c r="D77" s="5" t="s">
        <v>536</v>
      </c>
      <c r="E77" s="5" t="s">
        <v>211</v>
      </c>
      <c r="F77" s="5" t="s">
        <v>200</v>
      </c>
      <c r="G77" s="5" t="s">
        <v>200</v>
      </c>
      <c r="H77" s="5" t="s">
        <v>199</v>
      </c>
      <c r="I77" s="5" t="s">
        <v>201</v>
      </c>
      <c r="J77" s="5" t="s">
        <v>201</v>
      </c>
      <c r="K77" s="5" t="s">
        <v>200</v>
      </c>
      <c r="L77" s="5" t="s">
        <v>200</v>
      </c>
      <c r="M77" s="5" t="s">
        <v>202</v>
      </c>
      <c r="N77" s="5" t="s">
        <v>202</v>
      </c>
      <c r="O77" s="5" t="s">
        <v>201</v>
      </c>
      <c r="P77" s="5" t="s">
        <v>201</v>
      </c>
      <c r="Q77" s="5" t="s">
        <v>202</v>
      </c>
      <c r="R77" s="5" t="s">
        <v>208</v>
      </c>
      <c r="S77" s="5" t="s">
        <v>202</v>
      </c>
      <c r="T77" s="5" t="s">
        <v>203</v>
      </c>
      <c r="U77" s="5" t="s">
        <v>545</v>
      </c>
      <c r="V77" s="5" t="s">
        <v>206</v>
      </c>
      <c r="W77" s="5" t="s">
        <v>203</v>
      </c>
      <c r="X77" s="5" t="s">
        <v>198</v>
      </c>
      <c r="Y77" s="5" t="s">
        <v>202</v>
      </c>
      <c r="Z77" s="5" t="s">
        <v>202</v>
      </c>
      <c r="AA77" s="5" t="s">
        <v>200</v>
      </c>
      <c r="AB77" s="5" t="s">
        <v>203</v>
      </c>
      <c r="AC77" s="5" t="s">
        <v>546</v>
      </c>
      <c r="AD77" s="5" t="s">
        <v>206</v>
      </c>
      <c r="AE77" s="5" t="s">
        <v>202</v>
      </c>
      <c r="AF77" s="5" t="s">
        <v>201</v>
      </c>
      <c r="AG77" s="5" t="s">
        <v>201</v>
      </c>
      <c r="AH77" s="5" t="s">
        <v>204</v>
      </c>
      <c r="AI77" s="5" t="s">
        <v>204</v>
      </c>
      <c r="AJ77" s="5" t="s">
        <v>204</v>
      </c>
      <c r="AK77" s="5" t="s">
        <v>204</v>
      </c>
      <c r="AL77" s="5" t="s">
        <v>547</v>
      </c>
    </row>
    <row r="78">
      <c r="A78" s="8">
        <v>554.0</v>
      </c>
      <c r="B78" s="7">
        <v>45869.052777777775</v>
      </c>
      <c r="C78" s="5" t="s">
        <v>548</v>
      </c>
      <c r="D78" s="5" t="s">
        <v>531</v>
      </c>
      <c r="E78" s="5" t="s">
        <v>263</v>
      </c>
      <c r="F78" s="5" t="s">
        <v>200</v>
      </c>
      <c r="G78" s="5" t="s">
        <v>208</v>
      </c>
      <c r="H78" s="5" t="s">
        <v>199</v>
      </c>
      <c r="I78" s="5" t="s">
        <v>203</v>
      </c>
      <c r="J78" s="5" t="s">
        <v>198</v>
      </c>
      <c r="K78" s="5" t="s">
        <v>203</v>
      </c>
      <c r="L78" s="5" t="s">
        <v>198</v>
      </c>
      <c r="M78" s="5" t="s">
        <v>200</v>
      </c>
      <c r="N78" s="5" t="s">
        <v>200</v>
      </c>
      <c r="O78" s="5" t="s">
        <v>202</v>
      </c>
      <c r="P78" s="5" t="s">
        <v>198</v>
      </c>
      <c r="Q78" s="5" t="s">
        <v>198</v>
      </c>
      <c r="R78" s="5" t="s">
        <v>203</v>
      </c>
      <c r="S78" s="5" t="s">
        <v>200</v>
      </c>
      <c r="T78" s="5" t="s">
        <v>200</v>
      </c>
      <c r="U78" s="5" t="s">
        <v>549</v>
      </c>
      <c r="V78" s="5" t="s">
        <v>206</v>
      </c>
      <c r="W78" s="5" t="s">
        <v>198</v>
      </c>
      <c r="X78" s="5" t="s">
        <v>200</v>
      </c>
      <c r="Y78" s="5" t="s">
        <v>198</v>
      </c>
      <c r="Z78" s="5" t="s">
        <v>198</v>
      </c>
      <c r="AA78" s="5" t="s">
        <v>198</v>
      </c>
      <c r="AB78" s="5" t="s">
        <v>198</v>
      </c>
      <c r="AC78" s="5" t="s">
        <v>550</v>
      </c>
      <c r="AE78" s="5" t="s">
        <v>200</v>
      </c>
      <c r="AF78" s="5" t="s">
        <v>208</v>
      </c>
      <c r="AG78" s="5" t="s">
        <v>198</v>
      </c>
      <c r="AH78" s="5" t="s">
        <v>208</v>
      </c>
      <c r="AI78" s="5" t="s">
        <v>198</v>
      </c>
      <c r="AJ78" s="5" t="s">
        <v>200</v>
      </c>
      <c r="AK78" s="5" t="s">
        <v>198</v>
      </c>
      <c r="AL78" s="5" t="s">
        <v>551</v>
      </c>
    </row>
    <row r="79">
      <c r="A79" s="8">
        <v>794.0</v>
      </c>
      <c r="B79" s="7">
        <v>45869.0625</v>
      </c>
      <c r="C79" s="5" t="s">
        <v>552</v>
      </c>
      <c r="D79" s="5" t="s">
        <v>244</v>
      </c>
      <c r="E79" s="5" t="s">
        <v>197</v>
      </c>
      <c r="F79" s="5" t="s">
        <v>200</v>
      </c>
      <c r="G79" s="5" t="s">
        <v>208</v>
      </c>
      <c r="H79" s="5" t="s">
        <v>199</v>
      </c>
      <c r="I79" s="5" t="s">
        <v>202</v>
      </c>
      <c r="J79" s="5" t="s">
        <v>204</v>
      </c>
      <c r="K79" s="5" t="s">
        <v>201</v>
      </c>
      <c r="L79" s="5" t="s">
        <v>204</v>
      </c>
      <c r="M79" s="5" t="s">
        <v>208</v>
      </c>
      <c r="N79" s="5" t="s">
        <v>200</v>
      </c>
      <c r="O79" s="5" t="s">
        <v>200</v>
      </c>
      <c r="P79" s="5" t="s">
        <v>208</v>
      </c>
      <c r="Q79" s="5" t="s">
        <v>204</v>
      </c>
      <c r="R79" s="5" t="s">
        <v>200</v>
      </c>
      <c r="S79" s="5" t="s">
        <v>203</v>
      </c>
      <c r="T79" s="5" t="s">
        <v>201</v>
      </c>
      <c r="U79" s="5" t="s">
        <v>553</v>
      </c>
      <c r="V79" s="5" t="s">
        <v>206</v>
      </c>
      <c r="W79" s="5" t="s">
        <v>202</v>
      </c>
      <c r="X79" s="5" t="s">
        <v>202</v>
      </c>
      <c r="Y79" s="5" t="s">
        <v>201</v>
      </c>
      <c r="Z79" s="5" t="s">
        <v>201</v>
      </c>
      <c r="AA79" s="5" t="s">
        <v>200</v>
      </c>
      <c r="AB79" s="5" t="s">
        <v>202</v>
      </c>
      <c r="AC79" s="5" t="s">
        <v>554</v>
      </c>
      <c r="AD79" s="5" t="s">
        <v>206</v>
      </c>
      <c r="AE79" s="5" t="s">
        <v>201</v>
      </c>
      <c r="AF79" s="5" t="s">
        <v>202</v>
      </c>
      <c r="AG79" s="5" t="s">
        <v>201</v>
      </c>
      <c r="AH79" s="5" t="s">
        <v>204</v>
      </c>
      <c r="AI79" s="5" t="s">
        <v>204</v>
      </c>
      <c r="AJ79" s="5" t="s">
        <v>200</v>
      </c>
      <c r="AK79" s="5" t="s">
        <v>204</v>
      </c>
      <c r="AL79" s="5" t="s">
        <v>555</v>
      </c>
    </row>
    <row r="80">
      <c r="A80" s="8">
        <v>680.0</v>
      </c>
      <c r="B80" s="7">
        <v>45869.06458333333</v>
      </c>
      <c r="C80" s="5" t="s">
        <v>556</v>
      </c>
      <c r="D80" s="5" t="s">
        <v>531</v>
      </c>
      <c r="E80" s="5" t="s">
        <v>211</v>
      </c>
      <c r="F80" s="5" t="s">
        <v>198</v>
      </c>
      <c r="G80" s="5" t="s">
        <v>198</v>
      </c>
      <c r="H80" s="5" t="s">
        <v>199</v>
      </c>
      <c r="I80" s="5" t="s">
        <v>198</v>
      </c>
      <c r="J80" s="5" t="s">
        <v>200</v>
      </c>
      <c r="K80" s="5" t="s">
        <v>200</v>
      </c>
      <c r="L80" s="5" t="s">
        <v>198</v>
      </c>
      <c r="M80" s="5" t="s">
        <v>200</v>
      </c>
      <c r="N80" s="5" t="s">
        <v>202</v>
      </c>
      <c r="O80" s="5" t="s">
        <v>200</v>
      </c>
      <c r="P80" s="5" t="s">
        <v>202</v>
      </c>
      <c r="Q80" s="5" t="s">
        <v>208</v>
      </c>
      <c r="R80" s="5" t="s">
        <v>200</v>
      </c>
      <c r="S80" s="5" t="s">
        <v>202</v>
      </c>
      <c r="T80" s="5" t="s">
        <v>200</v>
      </c>
      <c r="U80" s="5" t="s">
        <v>557</v>
      </c>
      <c r="V80" s="5" t="s">
        <v>206</v>
      </c>
      <c r="W80" s="5" t="s">
        <v>203</v>
      </c>
      <c r="X80" s="5" t="s">
        <v>200</v>
      </c>
      <c r="Y80" s="5" t="s">
        <v>200</v>
      </c>
      <c r="Z80" s="5" t="s">
        <v>202</v>
      </c>
      <c r="AA80" s="5" t="s">
        <v>200</v>
      </c>
      <c r="AB80" s="5" t="s">
        <v>200</v>
      </c>
      <c r="AC80" s="5" t="s">
        <v>558</v>
      </c>
      <c r="AD80" s="5" t="s">
        <v>206</v>
      </c>
      <c r="AE80" s="5" t="s">
        <v>198</v>
      </c>
      <c r="AF80" s="5" t="s">
        <v>200</v>
      </c>
      <c r="AG80" s="5" t="s">
        <v>200</v>
      </c>
      <c r="AH80" s="5" t="s">
        <v>204</v>
      </c>
      <c r="AI80" s="5" t="s">
        <v>204</v>
      </c>
      <c r="AJ80" s="5" t="s">
        <v>208</v>
      </c>
      <c r="AK80" s="5" t="s">
        <v>204</v>
      </c>
      <c r="AL80" s="5" t="s">
        <v>559</v>
      </c>
    </row>
    <row r="81">
      <c r="A81" s="8">
        <v>1077.0</v>
      </c>
      <c r="B81" s="7">
        <v>45869.06875</v>
      </c>
      <c r="C81" s="5" t="s">
        <v>560</v>
      </c>
      <c r="D81" s="5" t="s">
        <v>536</v>
      </c>
      <c r="E81" s="5" t="s">
        <v>216</v>
      </c>
      <c r="F81" s="5" t="s">
        <v>200</v>
      </c>
      <c r="G81" s="5" t="s">
        <v>200</v>
      </c>
      <c r="H81" s="5" t="s">
        <v>199</v>
      </c>
      <c r="I81" s="5" t="s">
        <v>201</v>
      </c>
      <c r="J81" s="5" t="s">
        <v>201</v>
      </c>
      <c r="K81" s="5" t="s">
        <v>200</v>
      </c>
      <c r="L81" s="5" t="s">
        <v>200</v>
      </c>
      <c r="M81" s="5" t="s">
        <v>202</v>
      </c>
      <c r="N81" s="5" t="s">
        <v>202</v>
      </c>
      <c r="O81" s="5" t="s">
        <v>201</v>
      </c>
      <c r="P81" s="5" t="s">
        <v>201</v>
      </c>
      <c r="Q81" s="5" t="s">
        <v>200</v>
      </c>
      <c r="R81" s="5" t="s">
        <v>198</v>
      </c>
      <c r="S81" s="5" t="s">
        <v>202</v>
      </c>
      <c r="T81" s="5" t="s">
        <v>198</v>
      </c>
      <c r="U81" s="5" t="s">
        <v>561</v>
      </c>
      <c r="V81" s="5" t="s">
        <v>206</v>
      </c>
      <c r="W81" s="5" t="s">
        <v>202</v>
      </c>
      <c r="X81" s="5" t="s">
        <v>201</v>
      </c>
      <c r="Y81" s="5" t="s">
        <v>201</v>
      </c>
      <c r="Z81" s="5" t="s">
        <v>201</v>
      </c>
      <c r="AA81" s="5" t="s">
        <v>200</v>
      </c>
      <c r="AB81" s="5" t="s">
        <v>203</v>
      </c>
      <c r="AC81" s="5" t="s">
        <v>562</v>
      </c>
      <c r="AD81" s="5" t="s">
        <v>206</v>
      </c>
      <c r="AE81" s="5" t="s">
        <v>202</v>
      </c>
      <c r="AF81" s="5" t="s">
        <v>201</v>
      </c>
      <c r="AG81" s="5" t="s">
        <v>201</v>
      </c>
      <c r="AH81" s="5" t="s">
        <v>204</v>
      </c>
      <c r="AI81" s="5" t="s">
        <v>204</v>
      </c>
      <c r="AJ81" s="5" t="s">
        <v>204</v>
      </c>
      <c r="AK81" s="5" t="s">
        <v>204</v>
      </c>
      <c r="AL81" s="5" t="s">
        <v>563</v>
      </c>
    </row>
    <row r="82">
      <c r="A82" s="8">
        <v>1145.0</v>
      </c>
      <c r="B82" s="7">
        <v>45869.07986111111</v>
      </c>
      <c r="C82" s="5" t="s">
        <v>564</v>
      </c>
      <c r="D82" s="5" t="s">
        <v>244</v>
      </c>
      <c r="E82" s="5" t="s">
        <v>211</v>
      </c>
      <c r="F82" s="5" t="s">
        <v>203</v>
      </c>
      <c r="G82" s="5" t="s">
        <v>208</v>
      </c>
      <c r="H82" s="5" t="s">
        <v>199</v>
      </c>
      <c r="I82" s="5" t="s">
        <v>202</v>
      </c>
      <c r="J82" s="5" t="s">
        <v>208</v>
      </c>
      <c r="K82" s="5" t="s">
        <v>208</v>
      </c>
      <c r="L82" s="5" t="s">
        <v>208</v>
      </c>
      <c r="M82" s="5" t="s">
        <v>204</v>
      </c>
      <c r="N82" s="5" t="s">
        <v>208</v>
      </c>
      <c r="O82" s="5" t="s">
        <v>208</v>
      </c>
      <c r="P82" s="5" t="s">
        <v>198</v>
      </c>
      <c r="Q82" s="5" t="s">
        <v>204</v>
      </c>
      <c r="R82" s="5" t="s">
        <v>208</v>
      </c>
      <c r="S82" s="5" t="s">
        <v>208</v>
      </c>
      <c r="T82" s="5" t="s">
        <v>201</v>
      </c>
      <c r="U82" s="5" t="s">
        <v>565</v>
      </c>
      <c r="V82" s="5" t="s">
        <v>206</v>
      </c>
      <c r="W82" s="5" t="s">
        <v>200</v>
      </c>
      <c r="X82" s="5" t="s">
        <v>208</v>
      </c>
      <c r="Y82" s="5" t="s">
        <v>208</v>
      </c>
      <c r="Z82" s="5" t="s">
        <v>208</v>
      </c>
      <c r="AA82" s="5" t="s">
        <v>208</v>
      </c>
      <c r="AB82" s="5" t="s">
        <v>203</v>
      </c>
      <c r="AC82" s="5" t="s">
        <v>566</v>
      </c>
      <c r="AD82" s="5" t="s">
        <v>206</v>
      </c>
      <c r="AE82" s="5" t="s">
        <v>202</v>
      </c>
      <c r="AF82" s="5" t="s">
        <v>202</v>
      </c>
      <c r="AG82" s="5" t="s">
        <v>204</v>
      </c>
      <c r="AH82" s="5" t="s">
        <v>204</v>
      </c>
      <c r="AI82" s="5" t="s">
        <v>204</v>
      </c>
      <c r="AJ82" s="5" t="s">
        <v>204</v>
      </c>
      <c r="AK82" s="5" t="s">
        <v>204</v>
      </c>
      <c r="AL82" s="5" t="s">
        <v>567</v>
      </c>
    </row>
    <row r="83">
      <c r="A83" s="8">
        <v>1139.0</v>
      </c>
      <c r="B83" s="7">
        <v>45869.08611111111</v>
      </c>
      <c r="C83" s="5" t="s">
        <v>568</v>
      </c>
      <c r="D83" s="5" t="s">
        <v>536</v>
      </c>
      <c r="E83" s="5" t="s">
        <v>263</v>
      </c>
      <c r="F83" s="5" t="s">
        <v>202</v>
      </c>
      <c r="G83" s="5" t="s">
        <v>198</v>
      </c>
      <c r="H83" s="5" t="s">
        <v>199</v>
      </c>
      <c r="I83" s="5" t="s">
        <v>201</v>
      </c>
      <c r="J83" s="5" t="s">
        <v>201</v>
      </c>
      <c r="K83" s="5" t="s">
        <v>202</v>
      </c>
      <c r="L83" s="5" t="s">
        <v>200</v>
      </c>
      <c r="M83" s="5" t="s">
        <v>202</v>
      </c>
      <c r="N83" s="5" t="s">
        <v>200</v>
      </c>
      <c r="O83" s="5" t="s">
        <v>200</v>
      </c>
      <c r="P83" s="5" t="s">
        <v>201</v>
      </c>
      <c r="Q83" s="5" t="s">
        <v>200</v>
      </c>
      <c r="R83" s="5" t="s">
        <v>198</v>
      </c>
      <c r="S83" s="5" t="s">
        <v>200</v>
      </c>
      <c r="T83" s="5" t="s">
        <v>203</v>
      </c>
      <c r="U83" s="5" t="s">
        <v>569</v>
      </c>
      <c r="V83" s="5" t="s">
        <v>206</v>
      </c>
      <c r="W83" s="5" t="s">
        <v>202</v>
      </c>
      <c r="X83" s="5" t="s">
        <v>202</v>
      </c>
      <c r="Y83" s="5" t="s">
        <v>201</v>
      </c>
      <c r="Z83" s="5" t="s">
        <v>201</v>
      </c>
      <c r="AA83" s="5" t="s">
        <v>202</v>
      </c>
      <c r="AB83" s="5" t="s">
        <v>203</v>
      </c>
      <c r="AC83" s="5" t="s">
        <v>570</v>
      </c>
      <c r="AD83" s="5" t="s">
        <v>206</v>
      </c>
      <c r="AE83" s="5" t="s">
        <v>201</v>
      </c>
      <c r="AF83" s="5" t="s">
        <v>201</v>
      </c>
      <c r="AG83" s="5" t="s">
        <v>201</v>
      </c>
      <c r="AH83" s="5" t="s">
        <v>204</v>
      </c>
      <c r="AI83" s="5" t="s">
        <v>204</v>
      </c>
      <c r="AJ83" s="5" t="s">
        <v>204</v>
      </c>
      <c r="AK83" s="5" t="s">
        <v>204</v>
      </c>
      <c r="AL83" s="5" t="s">
        <v>571</v>
      </c>
    </row>
    <row r="84">
      <c r="A84" s="8">
        <v>1024.0</v>
      </c>
      <c r="B84" s="7">
        <v>45869.092361111114</v>
      </c>
      <c r="C84" s="5" t="s">
        <v>572</v>
      </c>
      <c r="D84" s="5" t="s">
        <v>573</v>
      </c>
      <c r="E84" s="5" t="s">
        <v>211</v>
      </c>
      <c r="F84" s="5" t="s">
        <v>202</v>
      </c>
      <c r="G84" s="5" t="s">
        <v>200</v>
      </c>
      <c r="H84" s="5" t="s">
        <v>199</v>
      </c>
      <c r="I84" s="5" t="s">
        <v>203</v>
      </c>
      <c r="J84" s="5" t="s">
        <v>201</v>
      </c>
      <c r="K84" s="5" t="s">
        <v>202</v>
      </c>
      <c r="L84" s="5" t="s">
        <v>202</v>
      </c>
      <c r="M84" s="5" t="s">
        <v>201</v>
      </c>
      <c r="N84" s="5" t="s">
        <v>201</v>
      </c>
      <c r="O84" s="5" t="s">
        <v>200</v>
      </c>
      <c r="P84" s="5" t="s">
        <v>202</v>
      </c>
      <c r="Q84" s="5" t="s">
        <v>203</v>
      </c>
      <c r="R84" s="5" t="s">
        <v>198</v>
      </c>
      <c r="S84" s="5" t="s">
        <v>201</v>
      </c>
      <c r="T84" s="5" t="s">
        <v>200</v>
      </c>
      <c r="U84" s="5" t="s">
        <v>574</v>
      </c>
      <c r="V84" s="5" t="s">
        <v>206</v>
      </c>
      <c r="W84" s="5" t="s">
        <v>198</v>
      </c>
      <c r="X84" s="5" t="s">
        <v>201</v>
      </c>
      <c r="Y84" s="5" t="s">
        <v>201</v>
      </c>
      <c r="Z84" s="5" t="s">
        <v>198</v>
      </c>
      <c r="AA84" s="5" t="s">
        <v>202</v>
      </c>
      <c r="AB84" s="5" t="s">
        <v>201</v>
      </c>
      <c r="AC84" s="5" t="s">
        <v>575</v>
      </c>
      <c r="AD84" s="5" t="s">
        <v>206</v>
      </c>
      <c r="AE84" s="5" t="s">
        <v>200</v>
      </c>
      <c r="AF84" s="5" t="s">
        <v>200</v>
      </c>
      <c r="AG84" s="5" t="s">
        <v>201</v>
      </c>
      <c r="AH84" s="5" t="s">
        <v>204</v>
      </c>
      <c r="AI84" s="5" t="s">
        <v>204</v>
      </c>
      <c r="AJ84" s="5" t="s">
        <v>204</v>
      </c>
      <c r="AK84" s="5" t="s">
        <v>204</v>
      </c>
      <c r="AL84" s="5" t="s">
        <v>576</v>
      </c>
    </row>
    <row r="85">
      <c r="A85" s="8">
        <v>646.0</v>
      </c>
      <c r="B85" s="7">
        <v>45869.10486111111</v>
      </c>
      <c r="C85" s="5" t="s">
        <v>577</v>
      </c>
      <c r="D85" s="5" t="s">
        <v>573</v>
      </c>
      <c r="E85" s="5" t="s">
        <v>263</v>
      </c>
      <c r="F85" s="5" t="s">
        <v>201</v>
      </c>
      <c r="G85" s="5" t="s">
        <v>202</v>
      </c>
      <c r="H85" s="5" t="s">
        <v>199</v>
      </c>
      <c r="I85" s="5" t="s">
        <v>202</v>
      </c>
      <c r="J85" s="5" t="s">
        <v>201</v>
      </c>
      <c r="K85" s="5" t="s">
        <v>201</v>
      </c>
      <c r="L85" s="5" t="s">
        <v>198</v>
      </c>
      <c r="M85" s="5" t="s">
        <v>201</v>
      </c>
      <c r="N85" s="5" t="s">
        <v>201</v>
      </c>
      <c r="O85" s="5" t="s">
        <v>201</v>
      </c>
      <c r="P85" s="5" t="s">
        <v>202</v>
      </c>
      <c r="Q85" s="5" t="s">
        <v>202</v>
      </c>
      <c r="R85" s="5" t="s">
        <v>202</v>
      </c>
      <c r="S85" s="5" t="s">
        <v>201</v>
      </c>
      <c r="T85" s="5" t="s">
        <v>198</v>
      </c>
      <c r="U85" s="5" t="s">
        <v>578</v>
      </c>
      <c r="V85" s="5" t="s">
        <v>206</v>
      </c>
      <c r="W85" s="5" t="s">
        <v>200</v>
      </c>
      <c r="X85" s="5" t="s">
        <v>201</v>
      </c>
      <c r="Y85" s="5" t="s">
        <v>201</v>
      </c>
      <c r="Z85" s="5" t="s">
        <v>201</v>
      </c>
      <c r="AA85" s="5" t="s">
        <v>201</v>
      </c>
      <c r="AB85" s="5" t="s">
        <v>201</v>
      </c>
      <c r="AC85" s="5" t="s">
        <v>579</v>
      </c>
      <c r="AD85" s="5" t="s">
        <v>206</v>
      </c>
      <c r="AE85" s="5" t="s">
        <v>201</v>
      </c>
      <c r="AF85" s="5" t="s">
        <v>198</v>
      </c>
      <c r="AG85" s="5" t="s">
        <v>201</v>
      </c>
      <c r="AH85" s="5" t="s">
        <v>200</v>
      </c>
      <c r="AI85" s="5" t="s">
        <v>202</v>
      </c>
      <c r="AJ85" s="5" t="s">
        <v>204</v>
      </c>
      <c r="AK85" s="5" t="s">
        <v>204</v>
      </c>
      <c r="AL85" s="5" t="s">
        <v>580</v>
      </c>
    </row>
    <row r="86">
      <c r="A86" s="8">
        <v>1424.0</v>
      </c>
      <c r="B86" s="7">
        <v>45869.10902777778</v>
      </c>
      <c r="C86" s="5" t="s">
        <v>581</v>
      </c>
      <c r="D86" s="5" t="s">
        <v>582</v>
      </c>
      <c r="E86" s="5" t="s">
        <v>197</v>
      </c>
      <c r="F86" s="5" t="s">
        <v>202</v>
      </c>
      <c r="G86" s="5" t="s">
        <v>202</v>
      </c>
      <c r="H86" s="5" t="s">
        <v>199</v>
      </c>
      <c r="I86" s="5" t="s">
        <v>201</v>
      </c>
      <c r="J86" s="5" t="s">
        <v>201</v>
      </c>
      <c r="K86" s="5" t="s">
        <v>200</v>
      </c>
      <c r="L86" s="5" t="s">
        <v>202</v>
      </c>
      <c r="M86" s="5" t="s">
        <v>201</v>
      </c>
      <c r="N86" s="5" t="s">
        <v>202</v>
      </c>
      <c r="O86" s="5" t="s">
        <v>202</v>
      </c>
      <c r="P86" s="5" t="s">
        <v>201</v>
      </c>
      <c r="Q86" s="5" t="s">
        <v>202</v>
      </c>
      <c r="R86" s="5" t="s">
        <v>200</v>
      </c>
      <c r="S86" s="5" t="s">
        <v>201</v>
      </c>
      <c r="T86" s="5" t="s">
        <v>202</v>
      </c>
      <c r="U86" s="5" t="s">
        <v>583</v>
      </c>
      <c r="V86" s="5" t="s">
        <v>206</v>
      </c>
      <c r="W86" s="5" t="s">
        <v>202</v>
      </c>
      <c r="X86" s="5" t="s">
        <v>202</v>
      </c>
      <c r="Y86" s="5" t="s">
        <v>201</v>
      </c>
      <c r="Z86" s="5" t="s">
        <v>202</v>
      </c>
      <c r="AA86" s="5" t="s">
        <v>201</v>
      </c>
      <c r="AB86" s="5" t="s">
        <v>201</v>
      </c>
      <c r="AC86" s="11" t="s">
        <v>584</v>
      </c>
      <c r="AD86" s="5" t="s">
        <v>206</v>
      </c>
      <c r="AE86" s="5" t="s">
        <v>202</v>
      </c>
      <c r="AF86" s="5" t="s">
        <v>202</v>
      </c>
      <c r="AG86" s="5" t="s">
        <v>201</v>
      </c>
      <c r="AH86" s="5" t="s">
        <v>204</v>
      </c>
      <c r="AI86" s="5" t="s">
        <v>204</v>
      </c>
      <c r="AJ86" s="5" t="s">
        <v>204</v>
      </c>
      <c r="AK86" s="5" t="s">
        <v>204</v>
      </c>
      <c r="AL86" s="5" t="s">
        <v>585</v>
      </c>
    </row>
    <row r="87">
      <c r="A87" s="8">
        <v>484.0</v>
      </c>
      <c r="B87" s="7">
        <v>45869.114583333336</v>
      </c>
      <c r="C87" s="5" t="s">
        <v>586</v>
      </c>
      <c r="D87" s="5" t="s">
        <v>573</v>
      </c>
      <c r="E87" s="5" t="s">
        <v>197</v>
      </c>
      <c r="F87" s="5" t="s">
        <v>201</v>
      </c>
      <c r="G87" s="5" t="s">
        <v>202</v>
      </c>
      <c r="H87" s="5" t="s">
        <v>199</v>
      </c>
      <c r="I87" s="5" t="s">
        <v>202</v>
      </c>
      <c r="J87" s="5" t="s">
        <v>201</v>
      </c>
      <c r="K87" s="5" t="s">
        <v>201</v>
      </c>
      <c r="L87" s="5" t="s">
        <v>202</v>
      </c>
      <c r="M87" s="5" t="s">
        <v>201</v>
      </c>
      <c r="N87" s="5" t="s">
        <v>201</v>
      </c>
      <c r="O87" s="5" t="s">
        <v>201</v>
      </c>
      <c r="P87" s="5" t="s">
        <v>201</v>
      </c>
      <c r="Q87" s="5" t="s">
        <v>198</v>
      </c>
      <c r="R87" s="5" t="s">
        <v>198</v>
      </c>
      <c r="S87" s="5" t="s">
        <v>201</v>
      </c>
      <c r="T87" s="5" t="s">
        <v>198</v>
      </c>
      <c r="U87" s="5" t="s">
        <v>587</v>
      </c>
      <c r="V87" s="5" t="s">
        <v>206</v>
      </c>
      <c r="W87" s="5" t="s">
        <v>202</v>
      </c>
      <c r="X87" s="5" t="s">
        <v>201</v>
      </c>
      <c r="Y87" s="5" t="s">
        <v>201</v>
      </c>
      <c r="Z87" s="5" t="s">
        <v>201</v>
      </c>
      <c r="AA87" s="5" t="s">
        <v>201</v>
      </c>
      <c r="AB87" s="5" t="s">
        <v>201</v>
      </c>
      <c r="AC87" s="5" t="s">
        <v>588</v>
      </c>
      <c r="AD87" s="5" t="s">
        <v>206</v>
      </c>
      <c r="AE87" s="5" t="s">
        <v>201</v>
      </c>
      <c r="AF87" s="5" t="s">
        <v>201</v>
      </c>
      <c r="AG87" s="5" t="s">
        <v>201</v>
      </c>
      <c r="AH87" s="5" t="s">
        <v>201</v>
      </c>
      <c r="AI87" s="5" t="s">
        <v>201</v>
      </c>
      <c r="AJ87" s="5" t="s">
        <v>200</v>
      </c>
      <c r="AK87" s="5" t="s">
        <v>208</v>
      </c>
      <c r="AL87" s="5" t="s">
        <v>589</v>
      </c>
    </row>
    <row r="88">
      <c r="A88" s="8">
        <v>768.0</v>
      </c>
      <c r="B88" s="7">
        <v>45869.12569444445</v>
      </c>
      <c r="C88" s="5" t="s">
        <v>590</v>
      </c>
      <c r="D88" s="5" t="s">
        <v>573</v>
      </c>
      <c r="E88" s="5" t="s">
        <v>216</v>
      </c>
      <c r="F88" s="5" t="s">
        <v>201</v>
      </c>
      <c r="G88" s="5" t="s">
        <v>200</v>
      </c>
      <c r="H88" s="5" t="s">
        <v>199</v>
      </c>
      <c r="I88" s="5" t="s">
        <v>200</v>
      </c>
      <c r="J88" s="5" t="s">
        <v>201</v>
      </c>
      <c r="K88" s="5" t="s">
        <v>202</v>
      </c>
      <c r="L88" s="5" t="s">
        <v>203</v>
      </c>
      <c r="M88" s="5" t="s">
        <v>200</v>
      </c>
      <c r="N88" s="5" t="s">
        <v>200</v>
      </c>
      <c r="O88" s="5" t="s">
        <v>203</v>
      </c>
      <c r="P88" s="5" t="s">
        <v>200</v>
      </c>
      <c r="Q88" s="5" t="s">
        <v>200</v>
      </c>
      <c r="R88" s="5" t="s">
        <v>200</v>
      </c>
      <c r="S88" s="5" t="s">
        <v>200</v>
      </c>
      <c r="T88" s="5" t="s">
        <v>200</v>
      </c>
      <c r="U88" s="5" t="s">
        <v>591</v>
      </c>
      <c r="V88" s="5" t="s">
        <v>206</v>
      </c>
      <c r="W88" s="5" t="s">
        <v>202</v>
      </c>
      <c r="X88" s="5" t="s">
        <v>201</v>
      </c>
      <c r="Y88" s="5" t="s">
        <v>201</v>
      </c>
      <c r="Z88" s="5" t="s">
        <v>200</v>
      </c>
      <c r="AA88" s="5" t="s">
        <v>202</v>
      </c>
      <c r="AB88" s="5" t="s">
        <v>201</v>
      </c>
      <c r="AC88" s="5" t="s">
        <v>592</v>
      </c>
      <c r="AD88" s="5" t="s">
        <v>206</v>
      </c>
      <c r="AE88" s="5" t="s">
        <v>201</v>
      </c>
      <c r="AF88" s="5" t="s">
        <v>200</v>
      </c>
      <c r="AG88" s="5" t="s">
        <v>201</v>
      </c>
      <c r="AH88" s="5" t="s">
        <v>204</v>
      </c>
      <c r="AI88" s="5" t="s">
        <v>204</v>
      </c>
      <c r="AJ88" s="5" t="s">
        <v>204</v>
      </c>
      <c r="AK88" s="5" t="s">
        <v>204</v>
      </c>
      <c r="AL88" s="5" t="s">
        <v>593</v>
      </c>
    </row>
    <row r="89">
      <c r="A89" s="8">
        <v>644.0</v>
      </c>
      <c r="B89" s="7">
        <v>45869.165972222225</v>
      </c>
      <c r="C89" s="5" t="s">
        <v>594</v>
      </c>
      <c r="D89" s="5" t="s">
        <v>595</v>
      </c>
      <c r="E89" s="5" t="s">
        <v>216</v>
      </c>
      <c r="F89" s="5" t="s">
        <v>202</v>
      </c>
      <c r="G89" s="5" t="s">
        <v>200</v>
      </c>
      <c r="H89" s="5" t="s">
        <v>199</v>
      </c>
      <c r="I89" s="5" t="s">
        <v>202</v>
      </c>
      <c r="J89" s="5" t="s">
        <v>203</v>
      </c>
      <c r="K89" s="5" t="s">
        <v>202</v>
      </c>
      <c r="L89" s="5" t="s">
        <v>200</v>
      </c>
      <c r="M89" s="5" t="s">
        <v>200</v>
      </c>
      <c r="N89" s="5" t="s">
        <v>203</v>
      </c>
      <c r="O89" s="5" t="s">
        <v>200</v>
      </c>
      <c r="P89" s="5" t="s">
        <v>200</v>
      </c>
      <c r="Q89" s="5" t="s">
        <v>200</v>
      </c>
      <c r="R89" s="5" t="s">
        <v>198</v>
      </c>
      <c r="S89" s="5" t="s">
        <v>200</v>
      </c>
      <c r="T89" s="5" t="s">
        <v>203</v>
      </c>
      <c r="U89" s="5" t="s">
        <v>413</v>
      </c>
      <c r="V89" s="5" t="s">
        <v>206</v>
      </c>
      <c r="W89" s="5" t="s">
        <v>200</v>
      </c>
      <c r="X89" s="5" t="s">
        <v>198</v>
      </c>
      <c r="Y89" s="5" t="s">
        <v>203</v>
      </c>
      <c r="Z89" s="5" t="s">
        <v>198</v>
      </c>
      <c r="AA89" s="5" t="s">
        <v>198</v>
      </c>
      <c r="AB89" s="5" t="s">
        <v>198</v>
      </c>
      <c r="AC89" s="5" t="s">
        <v>413</v>
      </c>
      <c r="AD89" s="5" t="s">
        <v>206</v>
      </c>
      <c r="AE89" s="5" t="s">
        <v>200</v>
      </c>
      <c r="AF89" s="5" t="s">
        <v>202</v>
      </c>
      <c r="AG89" s="5" t="s">
        <v>200</v>
      </c>
      <c r="AH89" s="5" t="s">
        <v>198</v>
      </c>
      <c r="AI89" s="5" t="s">
        <v>198</v>
      </c>
      <c r="AJ89" s="5" t="s">
        <v>198</v>
      </c>
      <c r="AK89" s="5" t="s">
        <v>198</v>
      </c>
      <c r="AL89" s="5" t="s">
        <v>413</v>
      </c>
    </row>
    <row r="90">
      <c r="A90" s="8">
        <v>1117.0</v>
      </c>
      <c r="B90" s="7">
        <v>45869.17638888889</v>
      </c>
      <c r="C90" s="5" t="s">
        <v>596</v>
      </c>
      <c r="D90" s="5" t="s">
        <v>582</v>
      </c>
      <c r="E90" s="5" t="s">
        <v>211</v>
      </c>
      <c r="F90" s="5" t="s">
        <v>202</v>
      </c>
      <c r="G90" s="5" t="s">
        <v>200</v>
      </c>
      <c r="H90" s="5" t="s">
        <v>199</v>
      </c>
      <c r="I90" s="5" t="s">
        <v>201</v>
      </c>
      <c r="J90" s="5" t="s">
        <v>201</v>
      </c>
      <c r="K90" s="5" t="s">
        <v>200</v>
      </c>
      <c r="L90" s="5" t="s">
        <v>200</v>
      </c>
      <c r="M90" s="5" t="s">
        <v>202</v>
      </c>
      <c r="N90" s="5" t="s">
        <v>202</v>
      </c>
      <c r="O90" s="5" t="s">
        <v>202</v>
      </c>
      <c r="P90" s="5" t="s">
        <v>201</v>
      </c>
      <c r="Q90" s="5" t="s">
        <v>200</v>
      </c>
      <c r="R90" s="5" t="s">
        <v>203</v>
      </c>
      <c r="S90" s="5" t="s">
        <v>202</v>
      </c>
      <c r="T90" s="5" t="s">
        <v>203</v>
      </c>
      <c r="U90" s="5" t="s">
        <v>597</v>
      </c>
      <c r="V90" s="5" t="s">
        <v>206</v>
      </c>
      <c r="W90" s="5" t="s">
        <v>202</v>
      </c>
      <c r="X90" s="5" t="s">
        <v>201</v>
      </c>
      <c r="Y90" s="5" t="s">
        <v>201</v>
      </c>
      <c r="Z90" s="5" t="s">
        <v>201</v>
      </c>
      <c r="AA90" s="5" t="s">
        <v>201</v>
      </c>
      <c r="AB90" s="5" t="s">
        <v>201</v>
      </c>
      <c r="AC90" s="5" t="s">
        <v>598</v>
      </c>
      <c r="AD90" s="5" t="s">
        <v>206</v>
      </c>
      <c r="AE90" s="5" t="s">
        <v>202</v>
      </c>
      <c r="AF90" s="5" t="s">
        <v>202</v>
      </c>
      <c r="AG90" s="5" t="s">
        <v>201</v>
      </c>
      <c r="AH90" s="5" t="s">
        <v>204</v>
      </c>
      <c r="AI90" s="5" t="s">
        <v>204</v>
      </c>
      <c r="AJ90" s="5" t="s">
        <v>204</v>
      </c>
      <c r="AK90" s="5" t="s">
        <v>204</v>
      </c>
      <c r="AL90" s="5" t="s">
        <v>599</v>
      </c>
    </row>
    <row r="91">
      <c r="A91" s="8">
        <v>447.0</v>
      </c>
      <c r="B91" s="7">
        <v>45869.18194444444</v>
      </c>
      <c r="C91" s="5" t="s">
        <v>600</v>
      </c>
      <c r="D91" s="5" t="s">
        <v>595</v>
      </c>
      <c r="E91" s="5" t="s">
        <v>263</v>
      </c>
      <c r="F91" s="5" t="s">
        <v>202</v>
      </c>
      <c r="G91" s="5" t="s">
        <v>200</v>
      </c>
      <c r="H91" s="5" t="s">
        <v>199</v>
      </c>
      <c r="I91" s="5" t="s">
        <v>202</v>
      </c>
      <c r="J91" s="5" t="s">
        <v>200</v>
      </c>
      <c r="K91" s="5" t="s">
        <v>202</v>
      </c>
      <c r="L91" s="5" t="s">
        <v>202</v>
      </c>
      <c r="M91" s="5" t="s">
        <v>202</v>
      </c>
      <c r="N91" s="5" t="s">
        <v>202</v>
      </c>
      <c r="O91" s="5" t="s">
        <v>202</v>
      </c>
      <c r="P91" s="5" t="s">
        <v>202</v>
      </c>
      <c r="Q91" s="5" t="s">
        <v>202</v>
      </c>
      <c r="R91" s="5" t="s">
        <v>198</v>
      </c>
      <c r="S91" s="5" t="s">
        <v>202</v>
      </c>
      <c r="T91" s="5" t="s">
        <v>200</v>
      </c>
      <c r="U91" s="5" t="s">
        <v>413</v>
      </c>
      <c r="V91" s="5" t="s">
        <v>206</v>
      </c>
      <c r="W91" s="5" t="s">
        <v>202</v>
      </c>
      <c r="X91" s="5" t="s">
        <v>202</v>
      </c>
      <c r="Y91" s="5" t="s">
        <v>202</v>
      </c>
      <c r="Z91" s="5" t="s">
        <v>202</v>
      </c>
      <c r="AA91" s="5" t="s">
        <v>202</v>
      </c>
      <c r="AB91" s="5" t="s">
        <v>200</v>
      </c>
      <c r="AC91" s="5" t="s">
        <v>413</v>
      </c>
      <c r="AD91" s="5" t="s">
        <v>206</v>
      </c>
      <c r="AE91" s="5" t="s">
        <v>202</v>
      </c>
      <c r="AF91" s="5" t="s">
        <v>202</v>
      </c>
      <c r="AG91" s="5" t="s">
        <v>200</v>
      </c>
      <c r="AH91" s="5" t="s">
        <v>198</v>
      </c>
      <c r="AI91" s="5" t="s">
        <v>208</v>
      </c>
      <c r="AJ91" s="5" t="s">
        <v>198</v>
      </c>
      <c r="AK91" s="5" t="s">
        <v>208</v>
      </c>
      <c r="AL91" s="5" t="s">
        <v>413</v>
      </c>
    </row>
    <row r="92">
      <c r="A92" s="8">
        <v>1215.0</v>
      </c>
      <c r="B92" s="7">
        <v>45869.18402777778</v>
      </c>
      <c r="C92" s="5" t="s">
        <v>601</v>
      </c>
      <c r="D92" s="5" t="s">
        <v>602</v>
      </c>
      <c r="E92" s="5" t="s">
        <v>197</v>
      </c>
      <c r="F92" s="5" t="s">
        <v>202</v>
      </c>
      <c r="G92" s="5" t="s">
        <v>200</v>
      </c>
      <c r="H92" s="5" t="s">
        <v>199</v>
      </c>
      <c r="I92" s="5" t="s">
        <v>202</v>
      </c>
      <c r="J92" s="5" t="s">
        <v>202</v>
      </c>
      <c r="K92" s="5" t="s">
        <v>201</v>
      </c>
      <c r="L92" s="5" t="s">
        <v>200</v>
      </c>
      <c r="M92" s="5" t="s">
        <v>200</v>
      </c>
      <c r="N92" s="5" t="s">
        <v>202</v>
      </c>
      <c r="O92" s="5" t="s">
        <v>202</v>
      </c>
      <c r="P92" s="5" t="s">
        <v>201</v>
      </c>
      <c r="Q92" s="5" t="s">
        <v>200</v>
      </c>
      <c r="R92" s="5" t="s">
        <v>202</v>
      </c>
      <c r="S92" s="5" t="s">
        <v>202</v>
      </c>
      <c r="T92" s="5" t="s">
        <v>200</v>
      </c>
      <c r="U92" s="5" t="s">
        <v>603</v>
      </c>
      <c r="V92" s="5" t="s">
        <v>206</v>
      </c>
      <c r="W92" s="5" t="s">
        <v>202</v>
      </c>
      <c r="X92" s="5" t="s">
        <v>202</v>
      </c>
      <c r="Y92" s="5" t="s">
        <v>202</v>
      </c>
      <c r="Z92" s="5" t="s">
        <v>201</v>
      </c>
      <c r="AA92" s="5" t="s">
        <v>202</v>
      </c>
      <c r="AB92" s="5" t="s">
        <v>202</v>
      </c>
      <c r="AC92" s="5" t="s">
        <v>604</v>
      </c>
      <c r="AD92" s="5" t="s">
        <v>206</v>
      </c>
      <c r="AE92" s="5" t="s">
        <v>202</v>
      </c>
      <c r="AF92" s="5" t="s">
        <v>202</v>
      </c>
      <c r="AG92" s="5" t="s">
        <v>201</v>
      </c>
      <c r="AH92" s="5" t="s">
        <v>204</v>
      </c>
      <c r="AI92" s="5" t="s">
        <v>204</v>
      </c>
      <c r="AJ92" s="5" t="s">
        <v>204</v>
      </c>
      <c r="AK92" s="5" t="s">
        <v>204</v>
      </c>
      <c r="AL92" s="5" t="s">
        <v>605</v>
      </c>
    </row>
    <row r="93">
      <c r="A93" s="8">
        <v>973.0</v>
      </c>
      <c r="B93" s="7">
        <v>45869.18819444445</v>
      </c>
      <c r="C93" s="5" t="s">
        <v>606</v>
      </c>
      <c r="D93" s="5" t="s">
        <v>607</v>
      </c>
      <c r="E93" s="5" t="s">
        <v>211</v>
      </c>
      <c r="F93" s="5" t="s">
        <v>208</v>
      </c>
      <c r="G93" s="5" t="s">
        <v>204</v>
      </c>
      <c r="H93" s="5" t="s">
        <v>199</v>
      </c>
      <c r="I93" s="5" t="s">
        <v>204</v>
      </c>
      <c r="J93" s="5" t="s">
        <v>204</v>
      </c>
      <c r="K93" s="5" t="s">
        <v>204</v>
      </c>
      <c r="L93" s="5" t="s">
        <v>208</v>
      </c>
      <c r="M93" s="5" t="s">
        <v>204</v>
      </c>
      <c r="N93" s="5" t="s">
        <v>200</v>
      </c>
      <c r="O93" s="5" t="s">
        <v>203</v>
      </c>
      <c r="P93" s="5" t="s">
        <v>198</v>
      </c>
      <c r="Q93" s="5" t="s">
        <v>204</v>
      </c>
      <c r="R93" s="5" t="s">
        <v>204</v>
      </c>
      <c r="S93" s="5" t="s">
        <v>204</v>
      </c>
      <c r="T93" s="5" t="s">
        <v>201</v>
      </c>
      <c r="U93" s="5" t="s">
        <v>608</v>
      </c>
      <c r="V93" s="5" t="s">
        <v>206</v>
      </c>
      <c r="W93" s="5" t="s">
        <v>208</v>
      </c>
      <c r="X93" s="5" t="s">
        <v>203</v>
      </c>
      <c r="Y93" s="5" t="s">
        <v>208</v>
      </c>
      <c r="Z93" s="5" t="s">
        <v>202</v>
      </c>
      <c r="AA93" s="5" t="s">
        <v>202</v>
      </c>
      <c r="AB93" s="5" t="s">
        <v>203</v>
      </c>
      <c r="AC93" s="5" t="s">
        <v>609</v>
      </c>
      <c r="AD93" s="5" t="s">
        <v>206</v>
      </c>
      <c r="AE93" s="5" t="s">
        <v>204</v>
      </c>
      <c r="AF93" s="5" t="s">
        <v>200</v>
      </c>
      <c r="AG93" s="5" t="s">
        <v>202</v>
      </c>
      <c r="AH93" s="5" t="s">
        <v>204</v>
      </c>
      <c r="AI93" s="5" t="s">
        <v>204</v>
      </c>
      <c r="AJ93" s="5" t="s">
        <v>208</v>
      </c>
      <c r="AK93" s="5" t="s">
        <v>204</v>
      </c>
      <c r="AL93" s="5" t="s">
        <v>610</v>
      </c>
    </row>
    <row r="94">
      <c r="A94" s="8">
        <v>300.0</v>
      </c>
      <c r="B94" s="7">
        <v>45869.19097222222</v>
      </c>
      <c r="C94" s="5" t="s">
        <v>611</v>
      </c>
      <c r="D94" s="5" t="s">
        <v>595</v>
      </c>
      <c r="E94" s="5" t="s">
        <v>211</v>
      </c>
      <c r="F94" s="5" t="s">
        <v>200</v>
      </c>
      <c r="G94" s="5" t="s">
        <v>202</v>
      </c>
      <c r="H94" s="5" t="s">
        <v>199</v>
      </c>
      <c r="I94" s="5" t="s">
        <v>202</v>
      </c>
      <c r="J94" s="5" t="s">
        <v>202</v>
      </c>
      <c r="K94" s="5" t="s">
        <v>202</v>
      </c>
      <c r="L94" s="5" t="s">
        <v>202</v>
      </c>
      <c r="M94" s="5" t="s">
        <v>202</v>
      </c>
      <c r="N94" s="5" t="s">
        <v>202</v>
      </c>
      <c r="O94" s="5" t="s">
        <v>202</v>
      </c>
      <c r="P94" s="5" t="s">
        <v>202</v>
      </c>
      <c r="Q94" s="5" t="s">
        <v>202</v>
      </c>
      <c r="R94" s="5" t="s">
        <v>198</v>
      </c>
      <c r="S94" s="5" t="s">
        <v>202</v>
      </c>
      <c r="T94" s="5" t="s">
        <v>200</v>
      </c>
      <c r="U94" s="5" t="s">
        <v>413</v>
      </c>
      <c r="V94" s="5" t="s">
        <v>206</v>
      </c>
      <c r="W94" s="5" t="s">
        <v>202</v>
      </c>
      <c r="X94" s="5" t="s">
        <v>202</v>
      </c>
      <c r="Y94" s="5" t="s">
        <v>202</v>
      </c>
      <c r="Z94" s="5" t="s">
        <v>202</v>
      </c>
      <c r="AA94" s="5" t="s">
        <v>202</v>
      </c>
      <c r="AB94" s="5" t="s">
        <v>202</v>
      </c>
      <c r="AC94" s="5" t="s">
        <v>413</v>
      </c>
      <c r="AD94" s="5" t="s">
        <v>206</v>
      </c>
      <c r="AE94" s="5" t="s">
        <v>202</v>
      </c>
      <c r="AF94" s="5" t="s">
        <v>202</v>
      </c>
      <c r="AG94" s="5" t="s">
        <v>200</v>
      </c>
      <c r="AH94" s="5" t="s">
        <v>208</v>
      </c>
      <c r="AI94" s="5" t="s">
        <v>208</v>
      </c>
      <c r="AJ94" s="5" t="s">
        <v>208</v>
      </c>
      <c r="AK94" s="5" t="s">
        <v>208</v>
      </c>
      <c r="AL94" s="5" t="s">
        <v>413</v>
      </c>
    </row>
    <row r="95">
      <c r="A95" s="8">
        <v>808.0</v>
      </c>
      <c r="B95" s="7">
        <v>45869.19236111111</v>
      </c>
      <c r="C95" s="5" t="s">
        <v>612</v>
      </c>
      <c r="D95" s="5" t="s">
        <v>582</v>
      </c>
      <c r="E95" s="5" t="s">
        <v>263</v>
      </c>
      <c r="F95" s="5" t="s">
        <v>201</v>
      </c>
      <c r="G95" s="5" t="s">
        <v>200</v>
      </c>
      <c r="H95" s="5" t="s">
        <v>199</v>
      </c>
      <c r="I95" s="5" t="s">
        <v>201</v>
      </c>
      <c r="J95" s="5" t="s">
        <v>201</v>
      </c>
      <c r="K95" s="5" t="s">
        <v>200</v>
      </c>
      <c r="L95" s="5" t="s">
        <v>200</v>
      </c>
      <c r="M95" s="5" t="s">
        <v>202</v>
      </c>
      <c r="N95" s="5" t="s">
        <v>202</v>
      </c>
      <c r="O95" s="5" t="s">
        <v>200</v>
      </c>
      <c r="P95" s="5" t="s">
        <v>202</v>
      </c>
      <c r="Q95" s="5" t="s">
        <v>200</v>
      </c>
      <c r="R95" s="5" t="s">
        <v>208</v>
      </c>
      <c r="S95" s="5" t="s">
        <v>202</v>
      </c>
      <c r="T95" s="5" t="s">
        <v>200</v>
      </c>
      <c r="U95" s="5" t="s">
        <v>613</v>
      </c>
      <c r="V95" s="5" t="s">
        <v>206</v>
      </c>
      <c r="W95" s="5" t="s">
        <v>201</v>
      </c>
      <c r="X95" s="5" t="s">
        <v>201</v>
      </c>
      <c r="Y95" s="5" t="s">
        <v>201</v>
      </c>
      <c r="Z95" s="5" t="s">
        <v>201</v>
      </c>
      <c r="AA95" s="5" t="s">
        <v>201</v>
      </c>
      <c r="AB95" s="5" t="s">
        <v>201</v>
      </c>
      <c r="AC95" s="5" t="s">
        <v>614</v>
      </c>
      <c r="AD95" s="5" t="s">
        <v>206</v>
      </c>
      <c r="AE95" s="5" t="s">
        <v>201</v>
      </c>
      <c r="AF95" s="5" t="s">
        <v>202</v>
      </c>
      <c r="AG95" s="5" t="s">
        <v>201</v>
      </c>
      <c r="AH95" s="5" t="s">
        <v>204</v>
      </c>
      <c r="AI95" s="5" t="s">
        <v>204</v>
      </c>
      <c r="AJ95" s="5" t="s">
        <v>204</v>
      </c>
      <c r="AK95" s="5" t="s">
        <v>204</v>
      </c>
      <c r="AL95" s="5" t="s">
        <v>615</v>
      </c>
    </row>
    <row r="96">
      <c r="A96" s="8">
        <v>1307.0</v>
      </c>
      <c r="B96" s="7">
        <v>45869.20347222222</v>
      </c>
      <c r="C96" s="5" t="s">
        <v>616</v>
      </c>
      <c r="D96" s="5" t="s">
        <v>602</v>
      </c>
      <c r="E96" s="5" t="s">
        <v>211</v>
      </c>
      <c r="F96" s="5" t="s">
        <v>198</v>
      </c>
      <c r="G96" s="5" t="s">
        <v>198</v>
      </c>
      <c r="H96" s="5" t="s">
        <v>199</v>
      </c>
      <c r="I96" s="5" t="s">
        <v>202</v>
      </c>
      <c r="J96" s="5" t="s">
        <v>200</v>
      </c>
      <c r="K96" s="5" t="s">
        <v>198</v>
      </c>
      <c r="L96" s="5" t="s">
        <v>198</v>
      </c>
      <c r="M96" s="5" t="s">
        <v>198</v>
      </c>
      <c r="N96" s="5" t="s">
        <v>200</v>
      </c>
      <c r="O96" s="5" t="s">
        <v>200</v>
      </c>
      <c r="P96" s="5" t="s">
        <v>202</v>
      </c>
      <c r="Q96" s="5" t="s">
        <v>198</v>
      </c>
      <c r="R96" s="5" t="s">
        <v>198</v>
      </c>
      <c r="S96" s="5" t="s">
        <v>200</v>
      </c>
      <c r="T96" s="5" t="s">
        <v>202</v>
      </c>
      <c r="U96" s="5" t="s">
        <v>617</v>
      </c>
      <c r="V96" s="5" t="s">
        <v>206</v>
      </c>
      <c r="W96" s="5" t="s">
        <v>202</v>
      </c>
      <c r="X96" s="5" t="s">
        <v>200</v>
      </c>
      <c r="Y96" s="5" t="s">
        <v>198</v>
      </c>
      <c r="Z96" s="5" t="s">
        <v>198</v>
      </c>
      <c r="AA96" s="5" t="s">
        <v>198</v>
      </c>
      <c r="AB96" s="5" t="s">
        <v>198</v>
      </c>
      <c r="AC96" s="5" t="s">
        <v>618</v>
      </c>
      <c r="AD96" s="5" t="s">
        <v>206</v>
      </c>
      <c r="AE96" s="5" t="s">
        <v>200</v>
      </c>
      <c r="AF96" s="5" t="s">
        <v>202</v>
      </c>
      <c r="AG96" s="5" t="s">
        <v>200</v>
      </c>
      <c r="AH96" s="5" t="s">
        <v>204</v>
      </c>
      <c r="AI96" s="5" t="s">
        <v>204</v>
      </c>
      <c r="AJ96" s="5" t="s">
        <v>204</v>
      </c>
      <c r="AK96" s="5" t="s">
        <v>204</v>
      </c>
      <c r="AL96" s="5" t="s">
        <v>619</v>
      </c>
    </row>
    <row r="97">
      <c r="A97" s="8">
        <v>677.0</v>
      </c>
      <c r="B97" s="7">
        <v>45869.20416666667</v>
      </c>
      <c r="C97" s="5" t="s">
        <v>620</v>
      </c>
      <c r="D97" s="5" t="s">
        <v>582</v>
      </c>
      <c r="E97" s="5" t="s">
        <v>216</v>
      </c>
      <c r="F97" s="5" t="s">
        <v>201</v>
      </c>
      <c r="G97" s="5" t="s">
        <v>203</v>
      </c>
      <c r="H97" s="5" t="s">
        <v>199</v>
      </c>
      <c r="I97" s="5" t="s">
        <v>201</v>
      </c>
      <c r="J97" s="5" t="s">
        <v>201</v>
      </c>
      <c r="K97" s="5" t="s">
        <v>198</v>
      </c>
      <c r="L97" s="5" t="s">
        <v>202</v>
      </c>
      <c r="M97" s="5" t="s">
        <v>202</v>
      </c>
      <c r="N97" s="5" t="s">
        <v>202</v>
      </c>
      <c r="O97" s="5" t="s">
        <v>202</v>
      </c>
      <c r="P97" s="5" t="s">
        <v>202</v>
      </c>
      <c r="Q97" s="5" t="s">
        <v>198</v>
      </c>
      <c r="R97" s="5" t="s">
        <v>204</v>
      </c>
      <c r="S97" s="5" t="s">
        <v>202</v>
      </c>
      <c r="T97" s="5" t="s">
        <v>203</v>
      </c>
      <c r="U97" s="5" t="s">
        <v>621</v>
      </c>
      <c r="V97" s="5" t="s">
        <v>206</v>
      </c>
      <c r="W97" s="5" t="s">
        <v>202</v>
      </c>
      <c r="X97" s="5" t="s">
        <v>202</v>
      </c>
      <c r="Y97" s="5" t="s">
        <v>201</v>
      </c>
      <c r="Z97" s="5" t="s">
        <v>202</v>
      </c>
      <c r="AA97" s="5" t="s">
        <v>201</v>
      </c>
      <c r="AB97" s="5" t="s">
        <v>201</v>
      </c>
      <c r="AC97" s="5" t="s">
        <v>622</v>
      </c>
      <c r="AD97" s="5" t="s">
        <v>206</v>
      </c>
      <c r="AE97" s="5" t="s">
        <v>201</v>
      </c>
      <c r="AF97" s="5" t="s">
        <v>201</v>
      </c>
      <c r="AG97" s="5" t="s">
        <v>201</v>
      </c>
      <c r="AH97" s="5" t="s">
        <v>204</v>
      </c>
      <c r="AI97" s="5" t="s">
        <v>204</v>
      </c>
      <c r="AJ97" s="5" t="s">
        <v>204</v>
      </c>
      <c r="AK97" s="5" t="s">
        <v>204</v>
      </c>
      <c r="AL97" s="5" t="s">
        <v>623</v>
      </c>
    </row>
    <row r="98">
      <c r="A98" s="8">
        <v>726.0</v>
      </c>
      <c r="B98" s="7">
        <v>45869.20763888889</v>
      </c>
      <c r="C98" s="5" t="s">
        <v>624</v>
      </c>
      <c r="D98" s="5" t="s">
        <v>607</v>
      </c>
      <c r="E98" s="5" t="s">
        <v>263</v>
      </c>
      <c r="F98" s="5" t="s">
        <v>200</v>
      </c>
      <c r="G98" s="5" t="s">
        <v>200</v>
      </c>
      <c r="H98" s="5" t="s">
        <v>199</v>
      </c>
      <c r="I98" s="5" t="s">
        <v>208</v>
      </c>
      <c r="J98" s="5" t="s">
        <v>200</v>
      </c>
      <c r="K98" s="5" t="s">
        <v>203</v>
      </c>
      <c r="L98" s="5" t="s">
        <v>200</v>
      </c>
      <c r="M98" s="5" t="s">
        <v>200</v>
      </c>
      <c r="N98" s="5" t="s">
        <v>200</v>
      </c>
      <c r="O98" s="5" t="s">
        <v>200</v>
      </c>
      <c r="P98" s="5" t="s">
        <v>208</v>
      </c>
      <c r="Q98" s="5" t="s">
        <v>200</v>
      </c>
      <c r="R98" s="5" t="s">
        <v>200</v>
      </c>
      <c r="S98" s="5" t="s">
        <v>200</v>
      </c>
      <c r="T98" s="5" t="s">
        <v>201</v>
      </c>
      <c r="U98" s="5" t="s">
        <v>625</v>
      </c>
      <c r="V98" s="5" t="s">
        <v>206</v>
      </c>
      <c r="W98" s="5" t="s">
        <v>198</v>
      </c>
      <c r="X98" s="5" t="s">
        <v>200</v>
      </c>
      <c r="Y98" s="5" t="s">
        <v>198</v>
      </c>
      <c r="Z98" s="5" t="s">
        <v>201</v>
      </c>
      <c r="AA98" s="5" t="s">
        <v>202</v>
      </c>
      <c r="AB98" s="5" t="s">
        <v>202</v>
      </c>
      <c r="AC98" s="5" t="s">
        <v>626</v>
      </c>
      <c r="AD98" s="5" t="s">
        <v>206</v>
      </c>
      <c r="AE98" s="5" t="s">
        <v>200</v>
      </c>
      <c r="AF98" s="5" t="s">
        <v>200</v>
      </c>
      <c r="AG98" s="5" t="s">
        <v>208</v>
      </c>
      <c r="AH98" s="5" t="s">
        <v>202</v>
      </c>
      <c r="AI98" s="5" t="s">
        <v>208</v>
      </c>
      <c r="AJ98" s="5" t="s">
        <v>201</v>
      </c>
      <c r="AK98" s="5" t="s">
        <v>198</v>
      </c>
      <c r="AL98" s="5" t="s">
        <v>627</v>
      </c>
    </row>
    <row r="99">
      <c r="A99" s="8">
        <v>417.0</v>
      </c>
      <c r="B99" s="7">
        <v>45869.21388888889</v>
      </c>
      <c r="C99" s="5" t="s">
        <v>628</v>
      </c>
      <c r="D99" s="5" t="s">
        <v>595</v>
      </c>
      <c r="E99" s="5" t="s">
        <v>197</v>
      </c>
      <c r="F99" s="5" t="s">
        <v>202</v>
      </c>
      <c r="G99" s="5" t="s">
        <v>202</v>
      </c>
      <c r="H99" s="5" t="s">
        <v>199</v>
      </c>
      <c r="I99" s="5" t="s">
        <v>200</v>
      </c>
      <c r="J99" s="5" t="s">
        <v>200</v>
      </c>
      <c r="K99" s="5" t="s">
        <v>198</v>
      </c>
      <c r="L99" s="5" t="s">
        <v>202</v>
      </c>
      <c r="M99" s="5" t="s">
        <v>202</v>
      </c>
      <c r="N99" s="5" t="s">
        <v>202</v>
      </c>
      <c r="O99" s="5" t="s">
        <v>198</v>
      </c>
      <c r="P99" s="5" t="s">
        <v>202</v>
      </c>
      <c r="Q99" s="5" t="s">
        <v>202</v>
      </c>
      <c r="R99" s="5" t="s">
        <v>198</v>
      </c>
      <c r="S99" s="5" t="s">
        <v>200</v>
      </c>
      <c r="T99" s="5" t="s">
        <v>198</v>
      </c>
      <c r="U99" s="5" t="s">
        <v>413</v>
      </c>
      <c r="V99" s="5" t="s">
        <v>206</v>
      </c>
      <c r="W99" s="5" t="s">
        <v>202</v>
      </c>
      <c r="X99" s="5" t="s">
        <v>202</v>
      </c>
      <c r="Y99" s="5" t="s">
        <v>202</v>
      </c>
      <c r="Z99" s="5" t="s">
        <v>202</v>
      </c>
      <c r="AA99" s="5" t="s">
        <v>202</v>
      </c>
      <c r="AB99" s="5" t="s">
        <v>202</v>
      </c>
      <c r="AC99" s="5" t="s">
        <v>413</v>
      </c>
      <c r="AD99" s="5" t="s">
        <v>206</v>
      </c>
      <c r="AE99" s="5" t="s">
        <v>202</v>
      </c>
      <c r="AF99" s="5" t="s">
        <v>200</v>
      </c>
      <c r="AG99" s="5" t="s">
        <v>200</v>
      </c>
      <c r="AH99" s="5" t="s">
        <v>198</v>
      </c>
      <c r="AI99" s="5" t="s">
        <v>198</v>
      </c>
      <c r="AJ99" s="5" t="s">
        <v>200</v>
      </c>
      <c r="AK99" s="5" t="s">
        <v>203</v>
      </c>
      <c r="AL99" s="5" t="s">
        <v>413</v>
      </c>
    </row>
    <row r="100">
      <c r="A100" s="8">
        <v>1053.0</v>
      </c>
      <c r="B100" s="7">
        <v>45869.217361111114</v>
      </c>
      <c r="C100" s="5" t="s">
        <v>629</v>
      </c>
      <c r="D100" s="5" t="s">
        <v>602</v>
      </c>
      <c r="E100" s="5" t="s">
        <v>216</v>
      </c>
      <c r="F100" s="5" t="s">
        <v>198</v>
      </c>
      <c r="G100" s="5" t="s">
        <v>208</v>
      </c>
      <c r="H100" s="5" t="s">
        <v>199</v>
      </c>
      <c r="I100" s="5" t="s">
        <v>202</v>
      </c>
      <c r="J100" s="5" t="s">
        <v>200</v>
      </c>
      <c r="K100" s="5" t="s">
        <v>208</v>
      </c>
      <c r="L100" s="5" t="s">
        <v>208</v>
      </c>
      <c r="M100" s="5" t="s">
        <v>200</v>
      </c>
      <c r="N100" s="5" t="s">
        <v>200</v>
      </c>
      <c r="O100" s="5" t="s">
        <v>200</v>
      </c>
      <c r="P100" s="5" t="s">
        <v>202</v>
      </c>
      <c r="Q100" s="5" t="s">
        <v>208</v>
      </c>
      <c r="R100" s="5" t="s">
        <v>208</v>
      </c>
      <c r="S100" s="5" t="s">
        <v>198</v>
      </c>
      <c r="T100" s="5" t="s">
        <v>202</v>
      </c>
      <c r="U100" s="5" t="s">
        <v>630</v>
      </c>
      <c r="V100" s="5" t="s">
        <v>206</v>
      </c>
      <c r="W100" s="5" t="s">
        <v>200</v>
      </c>
      <c r="X100" s="5" t="s">
        <v>198</v>
      </c>
      <c r="Y100" s="5" t="s">
        <v>198</v>
      </c>
      <c r="Z100" s="5" t="s">
        <v>208</v>
      </c>
      <c r="AA100" s="5" t="s">
        <v>208</v>
      </c>
      <c r="AB100" s="5" t="s">
        <v>208</v>
      </c>
      <c r="AC100" s="5" t="s">
        <v>631</v>
      </c>
      <c r="AD100" s="5" t="s">
        <v>206</v>
      </c>
      <c r="AE100" s="5" t="s">
        <v>200</v>
      </c>
      <c r="AF100" s="5" t="s">
        <v>202</v>
      </c>
      <c r="AG100" s="5" t="s">
        <v>198</v>
      </c>
      <c r="AH100" s="5" t="s">
        <v>204</v>
      </c>
      <c r="AI100" s="5" t="s">
        <v>204</v>
      </c>
      <c r="AJ100" s="5" t="s">
        <v>204</v>
      </c>
      <c r="AK100" s="5" t="s">
        <v>204</v>
      </c>
      <c r="AL100" s="5" t="s">
        <v>632</v>
      </c>
    </row>
    <row r="101">
      <c r="A101" s="8">
        <v>315.0</v>
      </c>
      <c r="B101" s="7">
        <v>45869.21805555555</v>
      </c>
      <c r="C101" s="5" t="s">
        <v>633</v>
      </c>
      <c r="D101" s="5" t="s">
        <v>634</v>
      </c>
      <c r="E101" s="5" t="s">
        <v>216</v>
      </c>
      <c r="F101" s="5" t="s">
        <v>208</v>
      </c>
      <c r="G101" s="5" t="s">
        <v>204</v>
      </c>
      <c r="H101" s="5" t="s">
        <v>199</v>
      </c>
      <c r="I101" s="5" t="s">
        <v>203</v>
      </c>
      <c r="J101" s="5" t="s">
        <v>203</v>
      </c>
      <c r="K101" s="5" t="s">
        <v>204</v>
      </c>
      <c r="L101" s="5" t="s">
        <v>204</v>
      </c>
      <c r="M101" s="5" t="s">
        <v>204</v>
      </c>
      <c r="N101" s="5" t="s">
        <v>200</v>
      </c>
      <c r="O101" s="5" t="s">
        <v>202</v>
      </c>
      <c r="P101" s="5" t="s">
        <v>202</v>
      </c>
      <c r="Q101" s="5" t="s">
        <v>208</v>
      </c>
      <c r="R101" s="5" t="s">
        <v>208</v>
      </c>
      <c r="S101" s="5" t="s">
        <v>203</v>
      </c>
      <c r="T101" s="5" t="s">
        <v>201</v>
      </c>
      <c r="U101" s="5" t="s">
        <v>635</v>
      </c>
      <c r="V101" s="5" t="s">
        <v>206</v>
      </c>
      <c r="W101" s="5" t="s">
        <v>203</v>
      </c>
      <c r="X101" s="5" t="s">
        <v>200</v>
      </c>
      <c r="Y101" s="5" t="s">
        <v>200</v>
      </c>
      <c r="Z101" s="5" t="s">
        <v>200</v>
      </c>
      <c r="AA101" s="5" t="s">
        <v>203</v>
      </c>
      <c r="AB101" s="5" t="s">
        <v>200</v>
      </c>
      <c r="AC101" s="5" t="s">
        <v>636</v>
      </c>
      <c r="AD101" s="5" t="s">
        <v>206</v>
      </c>
      <c r="AE101" s="5" t="s">
        <v>202</v>
      </c>
      <c r="AF101" s="5" t="s">
        <v>202</v>
      </c>
      <c r="AG101" s="5" t="s">
        <v>202</v>
      </c>
      <c r="AH101" s="5" t="s">
        <v>200</v>
      </c>
      <c r="AI101" s="5" t="s">
        <v>208</v>
      </c>
      <c r="AJ101" s="5" t="s">
        <v>198</v>
      </c>
      <c r="AK101" s="5" t="s">
        <v>208</v>
      </c>
      <c r="AL101" s="5" t="s">
        <v>637</v>
      </c>
    </row>
    <row r="102">
      <c r="A102" s="8">
        <v>494.0</v>
      </c>
      <c r="B102" s="7">
        <v>45869.22083333333</v>
      </c>
      <c r="C102" s="5" t="s">
        <v>638</v>
      </c>
      <c r="D102" s="5" t="s">
        <v>607</v>
      </c>
      <c r="E102" s="5" t="s">
        <v>197</v>
      </c>
      <c r="F102" s="5" t="s">
        <v>203</v>
      </c>
      <c r="G102" s="5" t="s">
        <v>204</v>
      </c>
      <c r="H102" s="5" t="s">
        <v>199</v>
      </c>
      <c r="I102" s="5" t="s">
        <v>204</v>
      </c>
      <c r="J102" s="5" t="s">
        <v>204</v>
      </c>
      <c r="K102" s="5" t="s">
        <v>204</v>
      </c>
      <c r="L102" s="5" t="s">
        <v>203</v>
      </c>
      <c r="M102" s="5" t="s">
        <v>204</v>
      </c>
      <c r="N102" s="5" t="s">
        <v>203</v>
      </c>
      <c r="O102" s="5" t="s">
        <v>204</v>
      </c>
      <c r="P102" s="5" t="s">
        <v>204</v>
      </c>
      <c r="Q102" s="5" t="s">
        <v>203</v>
      </c>
      <c r="R102" s="5" t="s">
        <v>204</v>
      </c>
      <c r="S102" s="5" t="s">
        <v>204</v>
      </c>
      <c r="T102" s="5" t="s">
        <v>204</v>
      </c>
      <c r="U102" s="5" t="s">
        <v>639</v>
      </c>
      <c r="V102" s="5" t="s">
        <v>206</v>
      </c>
      <c r="W102" s="5" t="s">
        <v>204</v>
      </c>
      <c r="X102" s="5" t="s">
        <v>204</v>
      </c>
      <c r="Y102" s="5" t="s">
        <v>204</v>
      </c>
      <c r="Z102" s="5" t="s">
        <v>203</v>
      </c>
      <c r="AA102" s="5" t="s">
        <v>200</v>
      </c>
      <c r="AB102" s="5" t="s">
        <v>204</v>
      </c>
      <c r="AC102" s="5" t="s">
        <v>640</v>
      </c>
      <c r="AD102" s="5" t="s">
        <v>206</v>
      </c>
      <c r="AE102" s="5" t="s">
        <v>204</v>
      </c>
      <c r="AF102" s="5" t="s">
        <v>204</v>
      </c>
      <c r="AG102" s="5" t="s">
        <v>204</v>
      </c>
      <c r="AH102" s="5" t="s">
        <v>200</v>
      </c>
      <c r="AI102" s="5" t="s">
        <v>203</v>
      </c>
      <c r="AJ102" s="5" t="s">
        <v>201</v>
      </c>
      <c r="AK102" s="5" t="s">
        <v>200</v>
      </c>
      <c r="AL102" s="11" t="s">
        <v>641</v>
      </c>
    </row>
    <row r="103">
      <c r="A103" s="8">
        <v>359.0</v>
      </c>
      <c r="B103" s="7">
        <v>45869.22777777778</v>
      </c>
      <c r="C103" s="5" t="s">
        <v>642</v>
      </c>
      <c r="D103" s="5" t="s">
        <v>634</v>
      </c>
      <c r="E103" s="5" t="s">
        <v>211</v>
      </c>
      <c r="F103" s="5" t="s">
        <v>208</v>
      </c>
      <c r="G103" s="5" t="s">
        <v>208</v>
      </c>
      <c r="H103" s="5" t="s">
        <v>199</v>
      </c>
      <c r="I103" s="5" t="s">
        <v>202</v>
      </c>
      <c r="J103" s="5" t="s">
        <v>202</v>
      </c>
      <c r="K103" s="5" t="s">
        <v>208</v>
      </c>
      <c r="L103" s="5" t="s">
        <v>208</v>
      </c>
      <c r="M103" s="5" t="s">
        <v>198</v>
      </c>
      <c r="N103" s="5" t="s">
        <v>202</v>
      </c>
      <c r="O103" s="5" t="s">
        <v>202</v>
      </c>
      <c r="P103" s="5" t="s">
        <v>202</v>
      </c>
      <c r="Q103" s="5" t="s">
        <v>208</v>
      </c>
      <c r="R103" s="5" t="s">
        <v>200</v>
      </c>
      <c r="S103" s="5" t="s">
        <v>202</v>
      </c>
      <c r="T103" s="5" t="s">
        <v>202</v>
      </c>
      <c r="U103" s="5" t="s">
        <v>643</v>
      </c>
      <c r="V103" s="5" t="s">
        <v>206</v>
      </c>
      <c r="W103" s="5" t="s">
        <v>202</v>
      </c>
      <c r="X103" s="5" t="s">
        <v>201</v>
      </c>
      <c r="Y103" s="5" t="s">
        <v>201</v>
      </c>
      <c r="Z103" s="5" t="s">
        <v>202</v>
      </c>
      <c r="AA103" s="5" t="s">
        <v>203</v>
      </c>
      <c r="AB103" s="5" t="s">
        <v>202</v>
      </c>
      <c r="AC103" s="5" t="s">
        <v>644</v>
      </c>
      <c r="AD103" s="5" t="s">
        <v>206</v>
      </c>
      <c r="AE103" s="5" t="s">
        <v>202</v>
      </c>
      <c r="AF103" s="5" t="s">
        <v>202</v>
      </c>
      <c r="AG103" s="5" t="s">
        <v>202</v>
      </c>
      <c r="AH103" s="5" t="s">
        <v>208</v>
      </c>
      <c r="AI103" s="5" t="s">
        <v>208</v>
      </c>
      <c r="AJ103" s="5" t="s">
        <v>208</v>
      </c>
      <c r="AK103" s="5" t="s">
        <v>208</v>
      </c>
      <c r="AL103" s="5" t="s">
        <v>645</v>
      </c>
    </row>
    <row r="104">
      <c r="A104" s="8">
        <v>824.0</v>
      </c>
      <c r="B104" s="7">
        <v>45869.23263888889</v>
      </c>
      <c r="C104" s="5" t="s">
        <v>646</v>
      </c>
      <c r="D104" s="5" t="s">
        <v>602</v>
      </c>
      <c r="E104" s="5" t="s">
        <v>263</v>
      </c>
      <c r="F104" s="5" t="s">
        <v>202</v>
      </c>
      <c r="G104" s="5" t="s">
        <v>200</v>
      </c>
      <c r="H104" s="5" t="s">
        <v>199</v>
      </c>
      <c r="I104" s="5" t="s">
        <v>202</v>
      </c>
      <c r="J104" s="5" t="s">
        <v>200</v>
      </c>
      <c r="K104" s="5" t="s">
        <v>202</v>
      </c>
      <c r="L104" s="5" t="s">
        <v>208</v>
      </c>
      <c r="M104" s="5" t="s">
        <v>198</v>
      </c>
      <c r="N104" s="5" t="s">
        <v>200</v>
      </c>
      <c r="O104" s="5" t="s">
        <v>200</v>
      </c>
      <c r="P104" s="5" t="s">
        <v>202</v>
      </c>
      <c r="Q104" s="5" t="s">
        <v>208</v>
      </c>
      <c r="R104" s="5" t="s">
        <v>200</v>
      </c>
      <c r="S104" s="5" t="s">
        <v>200</v>
      </c>
      <c r="T104" s="5" t="s">
        <v>202</v>
      </c>
      <c r="U104" s="5" t="s">
        <v>647</v>
      </c>
      <c r="V104" s="5" t="s">
        <v>206</v>
      </c>
      <c r="W104" s="5" t="s">
        <v>202</v>
      </c>
      <c r="X104" s="5" t="s">
        <v>202</v>
      </c>
      <c r="Y104" s="5" t="s">
        <v>202</v>
      </c>
      <c r="Z104" s="5" t="s">
        <v>200</v>
      </c>
      <c r="AA104" s="5" t="s">
        <v>202</v>
      </c>
      <c r="AB104" s="5" t="s">
        <v>202</v>
      </c>
      <c r="AC104" s="5" t="s">
        <v>648</v>
      </c>
      <c r="AD104" s="5" t="s">
        <v>206</v>
      </c>
      <c r="AE104" s="5" t="s">
        <v>202</v>
      </c>
      <c r="AF104" s="5" t="s">
        <v>202</v>
      </c>
      <c r="AG104" s="5" t="s">
        <v>202</v>
      </c>
      <c r="AH104" s="5" t="s">
        <v>204</v>
      </c>
      <c r="AI104" s="5" t="s">
        <v>204</v>
      </c>
      <c r="AJ104" s="5" t="s">
        <v>204</v>
      </c>
      <c r="AK104" s="5" t="s">
        <v>204</v>
      </c>
      <c r="AL104" s="5" t="s">
        <v>649</v>
      </c>
    </row>
    <row r="105">
      <c r="A105" s="8">
        <v>567.0</v>
      </c>
      <c r="B105" s="7">
        <v>45869.23402777778</v>
      </c>
      <c r="C105" s="5" t="s">
        <v>650</v>
      </c>
      <c r="D105" s="5" t="s">
        <v>607</v>
      </c>
      <c r="E105" s="5" t="s">
        <v>216</v>
      </c>
      <c r="F105" s="5" t="s">
        <v>198</v>
      </c>
      <c r="G105" s="5" t="s">
        <v>208</v>
      </c>
      <c r="H105" s="5" t="s">
        <v>199</v>
      </c>
      <c r="I105" s="5" t="s">
        <v>203</v>
      </c>
      <c r="J105" s="5" t="s">
        <v>204</v>
      </c>
      <c r="K105" s="5" t="s">
        <v>204</v>
      </c>
      <c r="L105" s="5" t="s">
        <v>208</v>
      </c>
      <c r="M105" s="5" t="s">
        <v>208</v>
      </c>
      <c r="N105" s="5" t="s">
        <v>200</v>
      </c>
      <c r="O105" s="5" t="s">
        <v>202</v>
      </c>
      <c r="P105" s="5" t="s">
        <v>204</v>
      </c>
      <c r="Q105" s="5" t="s">
        <v>200</v>
      </c>
      <c r="R105" s="5" t="s">
        <v>208</v>
      </c>
      <c r="S105" s="5" t="s">
        <v>208</v>
      </c>
      <c r="T105" s="5" t="s">
        <v>204</v>
      </c>
      <c r="U105" s="5" t="s">
        <v>651</v>
      </c>
      <c r="V105" s="5" t="s">
        <v>206</v>
      </c>
      <c r="W105" s="5" t="s">
        <v>200</v>
      </c>
      <c r="X105" s="5" t="s">
        <v>200</v>
      </c>
      <c r="Y105" s="5" t="s">
        <v>208</v>
      </c>
      <c r="Z105" s="5" t="s">
        <v>200</v>
      </c>
      <c r="AA105" s="5" t="s">
        <v>208</v>
      </c>
      <c r="AB105" s="5" t="s">
        <v>202</v>
      </c>
      <c r="AC105" s="5" t="s">
        <v>652</v>
      </c>
      <c r="AD105" s="5" t="s">
        <v>206</v>
      </c>
      <c r="AE105" s="5" t="s">
        <v>208</v>
      </c>
      <c r="AF105" s="5" t="s">
        <v>198</v>
      </c>
      <c r="AG105" s="5" t="s">
        <v>204</v>
      </c>
      <c r="AH105" s="5" t="s">
        <v>204</v>
      </c>
      <c r="AI105" s="5" t="s">
        <v>204</v>
      </c>
      <c r="AJ105" s="5" t="s">
        <v>208</v>
      </c>
      <c r="AK105" s="5" t="s">
        <v>204</v>
      </c>
      <c r="AL105" s="5" t="s">
        <v>653</v>
      </c>
    </row>
    <row r="106">
      <c r="A106" s="8">
        <v>480.0</v>
      </c>
      <c r="B106" s="7">
        <v>45869.236805555556</v>
      </c>
      <c r="C106" s="5" t="s">
        <v>654</v>
      </c>
      <c r="D106" s="5" t="s">
        <v>655</v>
      </c>
      <c r="E106" s="5" t="s">
        <v>197</v>
      </c>
      <c r="F106" s="5" t="s">
        <v>200</v>
      </c>
      <c r="G106" s="5" t="s">
        <v>208</v>
      </c>
      <c r="H106" s="5" t="s">
        <v>199</v>
      </c>
      <c r="I106" s="5" t="s">
        <v>203</v>
      </c>
      <c r="J106" s="5" t="s">
        <v>202</v>
      </c>
      <c r="K106" s="5" t="s">
        <v>200</v>
      </c>
      <c r="L106" s="5" t="s">
        <v>208</v>
      </c>
      <c r="M106" s="5" t="s">
        <v>203</v>
      </c>
      <c r="N106" s="5" t="s">
        <v>202</v>
      </c>
      <c r="O106" s="5" t="s">
        <v>202</v>
      </c>
      <c r="P106" s="5" t="s">
        <v>202</v>
      </c>
      <c r="Q106" s="5" t="s">
        <v>208</v>
      </c>
      <c r="R106" s="5" t="s">
        <v>208</v>
      </c>
      <c r="S106" s="5" t="s">
        <v>202</v>
      </c>
      <c r="T106" s="5" t="s">
        <v>202</v>
      </c>
      <c r="U106" s="5" t="s">
        <v>656</v>
      </c>
      <c r="V106" s="5" t="s">
        <v>206</v>
      </c>
      <c r="W106" s="5" t="s">
        <v>202</v>
      </c>
      <c r="X106" s="5" t="s">
        <v>202</v>
      </c>
      <c r="Y106" s="5" t="s">
        <v>202</v>
      </c>
      <c r="Z106" s="5" t="s">
        <v>202</v>
      </c>
      <c r="AA106" s="5" t="s">
        <v>203</v>
      </c>
      <c r="AB106" s="5" t="s">
        <v>202</v>
      </c>
      <c r="AC106" s="5" t="s">
        <v>657</v>
      </c>
      <c r="AD106" s="5" t="s">
        <v>206</v>
      </c>
      <c r="AE106" s="5" t="s">
        <v>202</v>
      </c>
      <c r="AF106" s="5" t="s">
        <v>201</v>
      </c>
      <c r="AG106" s="5" t="s">
        <v>202</v>
      </c>
      <c r="AH106" s="5" t="s">
        <v>200</v>
      </c>
      <c r="AI106" s="5" t="s">
        <v>200</v>
      </c>
      <c r="AJ106" s="5" t="s">
        <v>200</v>
      </c>
      <c r="AK106" s="5" t="s">
        <v>208</v>
      </c>
      <c r="AL106" s="5" t="s">
        <v>658</v>
      </c>
    </row>
    <row r="107">
      <c r="A107" s="8">
        <v>539.0</v>
      </c>
      <c r="B107" s="7">
        <v>45869.25069444445</v>
      </c>
      <c r="C107" s="5" t="s">
        <v>659</v>
      </c>
      <c r="D107" s="5" t="s">
        <v>655</v>
      </c>
      <c r="E107" s="5" t="s">
        <v>263</v>
      </c>
      <c r="F107" s="5" t="s">
        <v>200</v>
      </c>
      <c r="G107" s="5" t="s">
        <v>208</v>
      </c>
      <c r="H107" s="5" t="s">
        <v>199</v>
      </c>
      <c r="I107" s="5" t="s">
        <v>198</v>
      </c>
      <c r="J107" s="5" t="s">
        <v>198</v>
      </c>
      <c r="K107" s="5" t="s">
        <v>203</v>
      </c>
      <c r="L107" s="5" t="s">
        <v>204</v>
      </c>
      <c r="M107" s="5" t="s">
        <v>208</v>
      </c>
      <c r="N107" s="5" t="s">
        <v>203</v>
      </c>
      <c r="O107" s="5" t="s">
        <v>198</v>
      </c>
      <c r="P107" s="5" t="s">
        <v>203</v>
      </c>
      <c r="Q107" s="5" t="s">
        <v>204</v>
      </c>
      <c r="R107" s="5" t="s">
        <v>208</v>
      </c>
      <c r="S107" s="5" t="s">
        <v>198</v>
      </c>
      <c r="T107" s="5" t="s">
        <v>202</v>
      </c>
      <c r="U107" s="5" t="s">
        <v>660</v>
      </c>
      <c r="V107" s="5" t="s">
        <v>206</v>
      </c>
      <c r="W107" s="5" t="s">
        <v>203</v>
      </c>
      <c r="X107" s="5" t="s">
        <v>200</v>
      </c>
      <c r="Y107" s="5" t="s">
        <v>200</v>
      </c>
      <c r="Z107" s="5" t="s">
        <v>198</v>
      </c>
      <c r="AA107" s="5" t="s">
        <v>203</v>
      </c>
      <c r="AB107" s="5" t="s">
        <v>200</v>
      </c>
      <c r="AC107" s="5" t="s">
        <v>661</v>
      </c>
      <c r="AD107" s="5" t="s">
        <v>206</v>
      </c>
      <c r="AE107" s="5" t="s">
        <v>202</v>
      </c>
      <c r="AF107" s="5" t="s">
        <v>202</v>
      </c>
      <c r="AG107" s="5" t="s">
        <v>202</v>
      </c>
      <c r="AH107" s="5" t="s">
        <v>200</v>
      </c>
      <c r="AI107" s="5" t="s">
        <v>200</v>
      </c>
      <c r="AJ107" s="5" t="s">
        <v>200</v>
      </c>
      <c r="AK107" s="5" t="s">
        <v>208</v>
      </c>
      <c r="AL107" s="5" t="s">
        <v>662</v>
      </c>
    </row>
    <row r="108">
      <c r="A108" s="8">
        <v>1112.0</v>
      </c>
      <c r="B108" s="7">
        <v>45869.25347222222</v>
      </c>
      <c r="C108" s="5" t="s">
        <v>663</v>
      </c>
      <c r="D108" s="5" t="s">
        <v>664</v>
      </c>
      <c r="E108" s="5" t="s">
        <v>197</v>
      </c>
      <c r="F108" s="5" t="s">
        <v>202</v>
      </c>
      <c r="G108" s="5" t="s">
        <v>202</v>
      </c>
      <c r="H108" s="5" t="s">
        <v>199</v>
      </c>
      <c r="I108" s="5" t="s">
        <v>200</v>
      </c>
      <c r="J108" s="5" t="s">
        <v>200</v>
      </c>
      <c r="K108" s="5" t="s">
        <v>203</v>
      </c>
      <c r="L108" s="5" t="s">
        <v>200</v>
      </c>
      <c r="M108" s="5" t="s">
        <v>198</v>
      </c>
      <c r="N108" s="5" t="s">
        <v>202</v>
      </c>
      <c r="O108" s="5" t="s">
        <v>202</v>
      </c>
      <c r="P108" s="5" t="s">
        <v>200</v>
      </c>
      <c r="Q108" s="5" t="s">
        <v>200</v>
      </c>
      <c r="R108" s="5" t="s">
        <v>203</v>
      </c>
      <c r="S108" s="5" t="s">
        <v>202</v>
      </c>
      <c r="T108" s="5" t="s">
        <v>203</v>
      </c>
      <c r="U108" s="5" t="s">
        <v>665</v>
      </c>
      <c r="V108" s="5" t="s">
        <v>206</v>
      </c>
      <c r="W108" s="5" t="s">
        <v>203</v>
      </c>
      <c r="X108" s="5" t="s">
        <v>203</v>
      </c>
      <c r="Y108" s="5" t="s">
        <v>200</v>
      </c>
      <c r="Z108" s="5" t="s">
        <v>198</v>
      </c>
      <c r="AA108" s="5" t="s">
        <v>202</v>
      </c>
      <c r="AB108" s="5" t="s">
        <v>200</v>
      </c>
      <c r="AC108" s="5" t="s">
        <v>666</v>
      </c>
      <c r="AD108" s="5" t="s">
        <v>206</v>
      </c>
      <c r="AE108" s="5" t="s">
        <v>203</v>
      </c>
      <c r="AF108" s="5" t="s">
        <v>200</v>
      </c>
      <c r="AG108" s="5" t="s">
        <v>201</v>
      </c>
      <c r="AH108" s="5" t="s">
        <v>204</v>
      </c>
      <c r="AI108" s="5" t="s">
        <v>204</v>
      </c>
      <c r="AJ108" s="5" t="s">
        <v>208</v>
      </c>
      <c r="AK108" s="5" t="s">
        <v>204</v>
      </c>
      <c r="AL108" s="5" t="s">
        <v>667</v>
      </c>
    </row>
    <row r="109">
      <c r="A109" s="8">
        <v>1458.0</v>
      </c>
      <c r="B109" s="7">
        <v>45869.263194444444</v>
      </c>
      <c r="C109" s="5" t="s">
        <v>668</v>
      </c>
      <c r="D109" s="5" t="s">
        <v>669</v>
      </c>
      <c r="E109" s="5" t="s">
        <v>211</v>
      </c>
      <c r="F109" s="5" t="s">
        <v>200</v>
      </c>
      <c r="G109" s="5" t="s">
        <v>201</v>
      </c>
      <c r="H109" s="5" t="s">
        <v>199</v>
      </c>
      <c r="I109" s="5" t="s">
        <v>202</v>
      </c>
      <c r="J109" s="5" t="s">
        <v>202</v>
      </c>
      <c r="K109" s="5" t="s">
        <v>208</v>
      </c>
      <c r="L109" s="5" t="s">
        <v>201</v>
      </c>
      <c r="M109" s="5" t="s">
        <v>201</v>
      </c>
      <c r="N109" s="5" t="s">
        <v>202</v>
      </c>
      <c r="O109" s="5" t="s">
        <v>202</v>
      </c>
      <c r="P109" s="5" t="s">
        <v>203</v>
      </c>
      <c r="Q109" s="5" t="s">
        <v>198</v>
      </c>
      <c r="R109" s="5" t="s">
        <v>203</v>
      </c>
      <c r="S109" s="5" t="s">
        <v>201</v>
      </c>
      <c r="T109" s="5" t="s">
        <v>200</v>
      </c>
      <c r="U109" s="5" t="s">
        <v>670</v>
      </c>
      <c r="V109" s="5" t="s">
        <v>206</v>
      </c>
      <c r="W109" s="5" t="s">
        <v>203</v>
      </c>
      <c r="X109" s="5" t="s">
        <v>201</v>
      </c>
      <c r="Y109" s="5" t="s">
        <v>202</v>
      </c>
      <c r="Z109" s="5" t="s">
        <v>201</v>
      </c>
      <c r="AA109" s="5" t="s">
        <v>202</v>
      </c>
      <c r="AB109" s="5" t="s">
        <v>201</v>
      </c>
      <c r="AC109" s="5" t="s">
        <v>671</v>
      </c>
      <c r="AD109" s="5" t="s">
        <v>206</v>
      </c>
      <c r="AE109" s="5" t="s">
        <v>201</v>
      </c>
      <c r="AF109" s="5" t="s">
        <v>198</v>
      </c>
      <c r="AG109" s="5" t="s">
        <v>202</v>
      </c>
      <c r="AH109" s="5" t="s">
        <v>204</v>
      </c>
      <c r="AI109" s="5" t="s">
        <v>204</v>
      </c>
      <c r="AJ109" s="5" t="s">
        <v>204</v>
      </c>
      <c r="AK109" s="5" t="s">
        <v>204</v>
      </c>
      <c r="AL109" s="5" t="s">
        <v>672</v>
      </c>
    </row>
    <row r="110">
      <c r="A110" s="8">
        <v>841.0</v>
      </c>
      <c r="B110" s="7">
        <v>45869.268055555556</v>
      </c>
      <c r="C110" s="5" t="s">
        <v>673</v>
      </c>
      <c r="D110" s="5" t="s">
        <v>674</v>
      </c>
      <c r="E110" s="5" t="s">
        <v>211</v>
      </c>
      <c r="F110" s="5" t="s">
        <v>198</v>
      </c>
      <c r="G110" s="5" t="s">
        <v>200</v>
      </c>
      <c r="H110" s="5" t="s">
        <v>199</v>
      </c>
      <c r="I110" s="5" t="s">
        <v>202</v>
      </c>
      <c r="J110" s="5" t="s">
        <v>202</v>
      </c>
      <c r="K110" s="5" t="s">
        <v>203</v>
      </c>
      <c r="L110" s="5" t="s">
        <v>200</v>
      </c>
      <c r="M110" s="5" t="s">
        <v>200</v>
      </c>
      <c r="N110" s="5" t="s">
        <v>202</v>
      </c>
      <c r="O110" s="5" t="s">
        <v>202</v>
      </c>
      <c r="P110" s="5" t="s">
        <v>203</v>
      </c>
      <c r="Q110" s="5" t="s">
        <v>203</v>
      </c>
      <c r="R110" s="5" t="s">
        <v>200</v>
      </c>
      <c r="S110" s="5" t="s">
        <v>202</v>
      </c>
      <c r="T110" s="5" t="s">
        <v>200</v>
      </c>
      <c r="U110" s="5" t="s">
        <v>675</v>
      </c>
      <c r="V110" s="5" t="s">
        <v>206</v>
      </c>
      <c r="W110" s="5" t="s">
        <v>200</v>
      </c>
      <c r="X110" s="5" t="s">
        <v>202</v>
      </c>
      <c r="Y110" s="5" t="s">
        <v>200</v>
      </c>
      <c r="Z110" s="5" t="s">
        <v>203</v>
      </c>
      <c r="AA110" s="5" t="s">
        <v>200</v>
      </c>
      <c r="AB110" s="5" t="s">
        <v>200</v>
      </c>
      <c r="AC110" s="5" t="s">
        <v>676</v>
      </c>
      <c r="AD110" s="5" t="s">
        <v>206</v>
      </c>
      <c r="AE110" s="5" t="s">
        <v>202</v>
      </c>
      <c r="AF110" s="5" t="s">
        <v>201</v>
      </c>
      <c r="AG110" s="5" t="s">
        <v>200</v>
      </c>
      <c r="AH110" s="5" t="s">
        <v>204</v>
      </c>
      <c r="AI110" s="5" t="s">
        <v>198</v>
      </c>
      <c r="AJ110" s="5" t="s">
        <v>204</v>
      </c>
      <c r="AK110" s="5" t="s">
        <v>204</v>
      </c>
      <c r="AL110" s="5" t="s">
        <v>677</v>
      </c>
    </row>
    <row r="111">
      <c r="A111" s="8">
        <v>934.0</v>
      </c>
      <c r="B111" s="7">
        <v>45869.277083333334</v>
      </c>
      <c r="C111" s="5" t="s">
        <v>678</v>
      </c>
      <c r="D111" s="5" t="s">
        <v>679</v>
      </c>
      <c r="E111" s="5" t="s">
        <v>216</v>
      </c>
      <c r="F111" s="5" t="s">
        <v>208</v>
      </c>
      <c r="G111" s="5" t="s">
        <v>208</v>
      </c>
      <c r="H111" s="5" t="s">
        <v>199</v>
      </c>
      <c r="I111" s="5" t="s">
        <v>203</v>
      </c>
      <c r="J111" s="5" t="s">
        <v>198</v>
      </c>
      <c r="K111" s="5" t="s">
        <v>198</v>
      </c>
      <c r="L111" s="5" t="s">
        <v>204</v>
      </c>
      <c r="M111" s="5" t="s">
        <v>200</v>
      </c>
      <c r="N111" s="5" t="s">
        <v>202</v>
      </c>
      <c r="O111" s="5" t="s">
        <v>202</v>
      </c>
      <c r="P111" s="5" t="s">
        <v>198</v>
      </c>
      <c r="Q111" s="5" t="s">
        <v>204</v>
      </c>
      <c r="R111" s="5" t="s">
        <v>202</v>
      </c>
      <c r="S111" s="5" t="s">
        <v>200</v>
      </c>
      <c r="T111" s="5" t="s">
        <v>208</v>
      </c>
      <c r="U111" s="5" t="s">
        <v>680</v>
      </c>
      <c r="V111" s="5" t="s">
        <v>206</v>
      </c>
      <c r="W111" s="5" t="s">
        <v>208</v>
      </c>
      <c r="X111" s="5" t="s">
        <v>208</v>
      </c>
      <c r="Y111" s="5" t="s">
        <v>198</v>
      </c>
      <c r="Z111" s="5" t="s">
        <v>208</v>
      </c>
      <c r="AA111" s="5" t="s">
        <v>204</v>
      </c>
      <c r="AB111" s="5" t="s">
        <v>200</v>
      </c>
      <c r="AC111" s="5" t="s">
        <v>681</v>
      </c>
      <c r="AD111" s="5" t="s">
        <v>206</v>
      </c>
      <c r="AE111" s="5" t="s">
        <v>198</v>
      </c>
      <c r="AF111" s="5" t="s">
        <v>200</v>
      </c>
      <c r="AG111" s="5" t="s">
        <v>208</v>
      </c>
      <c r="AH111" s="5" t="s">
        <v>204</v>
      </c>
      <c r="AI111" s="5" t="s">
        <v>208</v>
      </c>
      <c r="AJ111" s="5" t="s">
        <v>204</v>
      </c>
      <c r="AK111" s="5" t="s">
        <v>204</v>
      </c>
      <c r="AL111" s="5" t="s">
        <v>682</v>
      </c>
    </row>
    <row r="112">
      <c r="A112" s="8">
        <v>834.0</v>
      </c>
      <c r="B112" s="7">
        <v>45869.27847222222</v>
      </c>
      <c r="C112" s="5" t="s">
        <v>683</v>
      </c>
      <c r="D112" s="5" t="s">
        <v>664</v>
      </c>
      <c r="E112" s="5" t="s">
        <v>216</v>
      </c>
      <c r="F112" s="5" t="s">
        <v>203</v>
      </c>
      <c r="G112" s="5" t="s">
        <v>208</v>
      </c>
      <c r="H112" s="5" t="s">
        <v>199</v>
      </c>
      <c r="I112" s="5" t="s">
        <v>203</v>
      </c>
      <c r="J112" s="5" t="s">
        <v>200</v>
      </c>
      <c r="K112" s="5" t="s">
        <v>208</v>
      </c>
      <c r="L112" s="5" t="s">
        <v>200</v>
      </c>
      <c r="M112" s="5" t="s">
        <v>203</v>
      </c>
      <c r="N112" s="5" t="s">
        <v>198</v>
      </c>
      <c r="O112" s="5" t="s">
        <v>203</v>
      </c>
      <c r="P112" s="5" t="s">
        <v>203</v>
      </c>
      <c r="Q112" s="5" t="s">
        <v>208</v>
      </c>
      <c r="R112" s="5" t="s">
        <v>200</v>
      </c>
      <c r="S112" s="5" t="s">
        <v>198</v>
      </c>
      <c r="T112" s="5" t="s">
        <v>201</v>
      </c>
      <c r="U112" s="5" t="s">
        <v>413</v>
      </c>
      <c r="V112" s="5" t="s">
        <v>206</v>
      </c>
      <c r="W112" s="5" t="s">
        <v>200</v>
      </c>
      <c r="X112" s="5" t="s">
        <v>202</v>
      </c>
      <c r="Y112" s="5" t="s">
        <v>200</v>
      </c>
      <c r="Z112" s="5" t="s">
        <v>202</v>
      </c>
      <c r="AA112" s="5" t="s">
        <v>200</v>
      </c>
      <c r="AB112" s="5" t="s">
        <v>202</v>
      </c>
      <c r="AC112" s="5" t="s">
        <v>413</v>
      </c>
      <c r="AD112" s="5" t="s">
        <v>206</v>
      </c>
      <c r="AE112" s="5" t="s">
        <v>202</v>
      </c>
      <c r="AF112" s="5" t="s">
        <v>202</v>
      </c>
      <c r="AG112" s="5" t="s">
        <v>201</v>
      </c>
      <c r="AH112" s="5" t="s">
        <v>198</v>
      </c>
      <c r="AI112" s="5" t="s">
        <v>204</v>
      </c>
      <c r="AJ112" s="5" t="s">
        <v>204</v>
      </c>
      <c r="AK112" s="5" t="s">
        <v>204</v>
      </c>
      <c r="AL112" s="5" t="s">
        <v>413</v>
      </c>
    </row>
    <row r="113">
      <c r="A113" s="8">
        <v>945.0</v>
      </c>
      <c r="B113" s="7">
        <v>45869.28333333333</v>
      </c>
      <c r="C113" s="5" t="s">
        <v>684</v>
      </c>
      <c r="D113" s="5" t="s">
        <v>669</v>
      </c>
      <c r="E113" s="5" t="s">
        <v>263</v>
      </c>
      <c r="F113" s="5" t="s">
        <v>201</v>
      </c>
      <c r="G113" s="5" t="s">
        <v>202</v>
      </c>
      <c r="H113" s="5" t="s">
        <v>199</v>
      </c>
      <c r="I113" s="5" t="s">
        <v>201</v>
      </c>
      <c r="J113" s="5" t="s">
        <v>202</v>
      </c>
      <c r="K113" s="5" t="s">
        <v>201</v>
      </c>
      <c r="L113" s="5" t="s">
        <v>202</v>
      </c>
      <c r="M113" s="5" t="s">
        <v>201</v>
      </c>
      <c r="N113" s="5" t="s">
        <v>201</v>
      </c>
      <c r="O113" s="5" t="s">
        <v>202</v>
      </c>
      <c r="P113" s="5" t="s">
        <v>201</v>
      </c>
      <c r="Q113" s="5" t="s">
        <v>202</v>
      </c>
      <c r="R113" s="5" t="s">
        <v>204</v>
      </c>
      <c r="S113" s="5" t="s">
        <v>201</v>
      </c>
      <c r="T113" s="5" t="s">
        <v>202</v>
      </c>
      <c r="U113" s="5" t="s">
        <v>685</v>
      </c>
      <c r="V113" s="5" t="s">
        <v>206</v>
      </c>
      <c r="W113" s="5" t="s">
        <v>202</v>
      </c>
      <c r="X113" s="5" t="s">
        <v>202</v>
      </c>
      <c r="Y113" s="5" t="s">
        <v>202</v>
      </c>
      <c r="Z113" s="5" t="s">
        <v>201</v>
      </c>
      <c r="AA113" s="5" t="s">
        <v>201</v>
      </c>
      <c r="AB113" s="5" t="s">
        <v>202</v>
      </c>
      <c r="AC113" s="5" t="s">
        <v>686</v>
      </c>
      <c r="AD113" s="5" t="s">
        <v>206</v>
      </c>
      <c r="AE113" s="5" t="s">
        <v>201</v>
      </c>
      <c r="AF113" s="5" t="s">
        <v>202</v>
      </c>
      <c r="AG113" s="5" t="s">
        <v>201</v>
      </c>
      <c r="AH113" s="5" t="s">
        <v>204</v>
      </c>
      <c r="AI113" s="5" t="s">
        <v>204</v>
      </c>
      <c r="AJ113" s="5" t="s">
        <v>204</v>
      </c>
      <c r="AK113" s="5" t="s">
        <v>204</v>
      </c>
      <c r="AL113" s="5" t="s">
        <v>687</v>
      </c>
    </row>
    <row r="114">
      <c r="A114" s="8">
        <v>1578.0</v>
      </c>
      <c r="B114" s="7">
        <v>45869.29513888889</v>
      </c>
      <c r="C114" s="5" t="s">
        <v>688</v>
      </c>
      <c r="D114" s="5" t="s">
        <v>362</v>
      </c>
      <c r="E114" s="5" t="s">
        <v>211</v>
      </c>
      <c r="F114" s="5" t="s">
        <v>202</v>
      </c>
      <c r="G114" s="5" t="s">
        <v>201</v>
      </c>
      <c r="H114" s="5" t="s">
        <v>199</v>
      </c>
      <c r="I114" s="5" t="s">
        <v>202</v>
      </c>
      <c r="J114" s="5" t="s">
        <v>202</v>
      </c>
      <c r="K114" s="5" t="s">
        <v>203</v>
      </c>
      <c r="L114" s="5" t="s">
        <v>202</v>
      </c>
      <c r="M114" s="5" t="s">
        <v>200</v>
      </c>
      <c r="N114" s="5" t="s">
        <v>202</v>
      </c>
      <c r="O114" s="5" t="s">
        <v>201</v>
      </c>
      <c r="P114" s="5" t="s">
        <v>198</v>
      </c>
      <c r="Q114" s="5" t="s">
        <v>203</v>
      </c>
      <c r="R114" s="5" t="s">
        <v>203</v>
      </c>
      <c r="S114" s="5" t="s">
        <v>201</v>
      </c>
      <c r="T114" s="5" t="s">
        <v>200</v>
      </c>
      <c r="U114" s="5" t="s">
        <v>689</v>
      </c>
      <c r="V114" s="5" t="s">
        <v>206</v>
      </c>
      <c r="W114" s="5" t="s">
        <v>203</v>
      </c>
      <c r="X114" s="5" t="s">
        <v>202</v>
      </c>
      <c r="Y114" s="5" t="s">
        <v>201</v>
      </c>
      <c r="Z114" s="5" t="s">
        <v>201</v>
      </c>
      <c r="AA114" s="5" t="s">
        <v>201</v>
      </c>
      <c r="AB114" s="5" t="s">
        <v>200</v>
      </c>
      <c r="AC114" s="5" t="s">
        <v>690</v>
      </c>
      <c r="AD114" s="5" t="s">
        <v>206</v>
      </c>
      <c r="AE114" s="5" t="s">
        <v>201</v>
      </c>
      <c r="AF114" s="5" t="s">
        <v>201</v>
      </c>
      <c r="AG114" s="5" t="s">
        <v>201</v>
      </c>
      <c r="AH114" s="5" t="s">
        <v>204</v>
      </c>
      <c r="AI114" s="5" t="s">
        <v>204</v>
      </c>
      <c r="AJ114" s="5" t="s">
        <v>204</v>
      </c>
      <c r="AK114" s="5" t="s">
        <v>204</v>
      </c>
      <c r="AL114" s="5" t="s">
        <v>691</v>
      </c>
    </row>
    <row r="115">
      <c r="A115" s="8">
        <v>784.0</v>
      </c>
      <c r="B115" s="7">
        <v>45869.29722222222</v>
      </c>
      <c r="C115" s="5" t="s">
        <v>692</v>
      </c>
      <c r="D115" s="5" t="s">
        <v>669</v>
      </c>
      <c r="E115" s="5" t="s">
        <v>216</v>
      </c>
      <c r="F115" s="5" t="s">
        <v>208</v>
      </c>
      <c r="G115" s="5" t="s">
        <v>202</v>
      </c>
      <c r="H115" s="5" t="s">
        <v>199</v>
      </c>
      <c r="I115" s="5" t="s">
        <v>201</v>
      </c>
      <c r="J115" s="5" t="s">
        <v>202</v>
      </c>
      <c r="K115" s="5" t="s">
        <v>204</v>
      </c>
      <c r="L115" s="5" t="s">
        <v>201</v>
      </c>
      <c r="M115" s="5" t="s">
        <v>202</v>
      </c>
      <c r="N115" s="5" t="s">
        <v>202</v>
      </c>
      <c r="O115" s="5" t="s">
        <v>202</v>
      </c>
      <c r="P115" s="5" t="s">
        <v>201</v>
      </c>
      <c r="Q115" s="5" t="s">
        <v>200</v>
      </c>
      <c r="R115" s="5" t="s">
        <v>204</v>
      </c>
      <c r="S115" s="5" t="s">
        <v>202</v>
      </c>
      <c r="T115" s="5" t="s">
        <v>202</v>
      </c>
      <c r="U115" s="5" t="s">
        <v>693</v>
      </c>
      <c r="V115" s="5" t="s">
        <v>206</v>
      </c>
      <c r="W115" s="5" t="s">
        <v>201</v>
      </c>
      <c r="X115" s="5" t="s">
        <v>202</v>
      </c>
      <c r="Y115" s="5" t="s">
        <v>201</v>
      </c>
      <c r="Z115" s="5" t="s">
        <v>201</v>
      </c>
      <c r="AA115" s="5" t="s">
        <v>201</v>
      </c>
      <c r="AB115" s="5" t="s">
        <v>202</v>
      </c>
      <c r="AC115" s="5" t="s">
        <v>694</v>
      </c>
      <c r="AD115" s="5" t="s">
        <v>206</v>
      </c>
      <c r="AE115" s="5" t="s">
        <v>201</v>
      </c>
      <c r="AF115" s="5" t="s">
        <v>201</v>
      </c>
      <c r="AG115" s="5" t="s">
        <v>202</v>
      </c>
      <c r="AH115" s="5" t="s">
        <v>204</v>
      </c>
      <c r="AI115" s="5" t="s">
        <v>204</v>
      </c>
      <c r="AJ115" s="5" t="s">
        <v>204</v>
      </c>
      <c r="AK115" s="5" t="s">
        <v>204</v>
      </c>
      <c r="AL115" s="5" t="s">
        <v>695</v>
      </c>
    </row>
    <row r="116">
      <c r="A116" s="8">
        <v>1071.0</v>
      </c>
      <c r="B116" s="7">
        <v>45869.30069444444</v>
      </c>
      <c r="C116" s="5" t="s">
        <v>696</v>
      </c>
      <c r="D116" s="5" t="s">
        <v>679</v>
      </c>
      <c r="E116" s="5" t="s">
        <v>197</v>
      </c>
      <c r="F116" s="5" t="s">
        <v>202</v>
      </c>
      <c r="G116" s="5" t="s">
        <v>208</v>
      </c>
      <c r="H116" s="5" t="s">
        <v>199</v>
      </c>
      <c r="I116" s="5" t="s">
        <v>202</v>
      </c>
      <c r="J116" s="5" t="s">
        <v>202</v>
      </c>
      <c r="K116" s="5" t="s">
        <v>203</v>
      </c>
      <c r="L116" s="5" t="s">
        <v>208</v>
      </c>
      <c r="M116" s="5" t="s">
        <v>200</v>
      </c>
      <c r="N116" s="5" t="s">
        <v>202</v>
      </c>
      <c r="O116" s="5" t="s">
        <v>202</v>
      </c>
      <c r="P116" s="5" t="s">
        <v>198</v>
      </c>
      <c r="Q116" s="5" t="s">
        <v>208</v>
      </c>
      <c r="R116" s="5" t="s">
        <v>203</v>
      </c>
      <c r="S116" s="5" t="s">
        <v>200</v>
      </c>
      <c r="T116" s="5" t="s">
        <v>200</v>
      </c>
      <c r="U116" s="5" t="s">
        <v>697</v>
      </c>
      <c r="V116" s="5" t="s">
        <v>206</v>
      </c>
      <c r="W116" s="5" t="s">
        <v>202</v>
      </c>
      <c r="X116" s="5" t="s">
        <v>202</v>
      </c>
      <c r="Y116" s="5" t="s">
        <v>202</v>
      </c>
      <c r="Z116" s="5" t="s">
        <v>198</v>
      </c>
      <c r="AA116" s="5" t="s">
        <v>198</v>
      </c>
      <c r="AB116" s="5" t="s">
        <v>202</v>
      </c>
      <c r="AC116" s="5" t="s">
        <v>698</v>
      </c>
      <c r="AD116" s="5" t="s">
        <v>206</v>
      </c>
      <c r="AE116" s="5" t="s">
        <v>202</v>
      </c>
      <c r="AF116" s="5" t="s">
        <v>202</v>
      </c>
      <c r="AG116" s="5" t="s">
        <v>202</v>
      </c>
      <c r="AH116" s="5" t="s">
        <v>200</v>
      </c>
      <c r="AI116" s="5" t="s">
        <v>203</v>
      </c>
      <c r="AJ116" s="5" t="s">
        <v>200</v>
      </c>
      <c r="AK116" s="5" t="s">
        <v>198</v>
      </c>
      <c r="AL116" s="5" t="s">
        <v>699</v>
      </c>
    </row>
    <row r="117">
      <c r="A117" s="8">
        <v>500.0</v>
      </c>
      <c r="B117" s="7">
        <v>45869.30902777778</v>
      </c>
      <c r="C117" s="5" t="s">
        <v>700</v>
      </c>
      <c r="D117" s="5" t="s">
        <v>679</v>
      </c>
      <c r="E117" s="5" t="s">
        <v>263</v>
      </c>
      <c r="F117" s="5" t="s">
        <v>202</v>
      </c>
      <c r="G117" s="5" t="s">
        <v>198</v>
      </c>
      <c r="H117" s="5" t="s">
        <v>199</v>
      </c>
      <c r="I117" s="5" t="s">
        <v>202</v>
      </c>
      <c r="J117" s="5" t="s">
        <v>202</v>
      </c>
      <c r="K117" s="5" t="s">
        <v>203</v>
      </c>
      <c r="L117" s="5" t="s">
        <v>208</v>
      </c>
      <c r="M117" s="5" t="s">
        <v>202</v>
      </c>
      <c r="N117" s="5" t="s">
        <v>202</v>
      </c>
      <c r="O117" s="5" t="s">
        <v>202</v>
      </c>
      <c r="P117" s="5" t="s">
        <v>202</v>
      </c>
      <c r="Q117" s="5" t="s">
        <v>198</v>
      </c>
      <c r="R117" s="5" t="s">
        <v>202</v>
      </c>
      <c r="S117" s="5" t="s">
        <v>202</v>
      </c>
      <c r="T117" s="5" t="s">
        <v>202</v>
      </c>
      <c r="U117" s="5" t="s">
        <v>701</v>
      </c>
      <c r="V117" s="5" t="s">
        <v>206</v>
      </c>
      <c r="W117" s="5" t="s">
        <v>202</v>
      </c>
      <c r="X117" s="5" t="s">
        <v>202</v>
      </c>
      <c r="Y117" s="5" t="s">
        <v>202</v>
      </c>
      <c r="Z117" s="5" t="s">
        <v>198</v>
      </c>
      <c r="AA117" s="5" t="s">
        <v>198</v>
      </c>
      <c r="AB117" s="5" t="s">
        <v>202</v>
      </c>
      <c r="AC117" s="5" t="s">
        <v>702</v>
      </c>
      <c r="AD117" s="5" t="s">
        <v>206</v>
      </c>
      <c r="AE117" s="5" t="s">
        <v>202</v>
      </c>
      <c r="AF117" s="5" t="s">
        <v>202</v>
      </c>
      <c r="AG117" s="5" t="s">
        <v>202</v>
      </c>
      <c r="AH117" s="5" t="s">
        <v>200</v>
      </c>
      <c r="AI117" s="5" t="s">
        <v>203</v>
      </c>
      <c r="AJ117" s="5" t="s">
        <v>200</v>
      </c>
      <c r="AK117" s="5" t="s">
        <v>198</v>
      </c>
      <c r="AL117" s="5" t="s">
        <v>703</v>
      </c>
    </row>
    <row r="118">
      <c r="A118" s="8">
        <v>1459.0</v>
      </c>
      <c r="B118" s="7">
        <v>45869.31805555556</v>
      </c>
      <c r="C118" s="5" t="s">
        <v>704</v>
      </c>
      <c r="D118" s="5" t="s">
        <v>362</v>
      </c>
      <c r="E118" s="5" t="s">
        <v>197</v>
      </c>
      <c r="F118" s="5" t="s">
        <v>202</v>
      </c>
      <c r="G118" s="5" t="s">
        <v>202</v>
      </c>
      <c r="H118" s="5" t="s">
        <v>199</v>
      </c>
      <c r="I118" s="5" t="s">
        <v>202</v>
      </c>
      <c r="J118" s="5" t="s">
        <v>200</v>
      </c>
      <c r="K118" s="5" t="s">
        <v>202</v>
      </c>
      <c r="L118" s="5" t="s">
        <v>202</v>
      </c>
      <c r="M118" s="5" t="s">
        <v>202</v>
      </c>
      <c r="N118" s="5" t="s">
        <v>201</v>
      </c>
      <c r="O118" s="5" t="s">
        <v>201</v>
      </c>
      <c r="P118" s="5" t="s">
        <v>201</v>
      </c>
      <c r="Q118" s="5" t="s">
        <v>203</v>
      </c>
      <c r="R118" s="5" t="s">
        <v>198</v>
      </c>
      <c r="S118" s="5" t="s">
        <v>201</v>
      </c>
      <c r="T118" s="5" t="s">
        <v>200</v>
      </c>
      <c r="U118" s="5" t="s">
        <v>705</v>
      </c>
      <c r="V118" s="5" t="s">
        <v>206</v>
      </c>
      <c r="W118" s="5" t="s">
        <v>202</v>
      </c>
      <c r="X118" s="5" t="s">
        <v>202</v>
      </c>
      <c r="Y118" s="5" t="s">
        <v>201</v>
      </c>
      <c r="Z118" s="5" t="s">
        <v>202</v>
      </c>
      <c r="AA118" s="5" t="s">
        <v>202</v>
      </c>
      <c r="AB118" s="5" t="s">
        <v>203</v>
      </c>
      <c r="AC118" s="5" t="s">
        <v>706</v>
      </c>
      <c r="AD118" s="5" t="s">
        <v>206</v>
      </c>
      <c r="AE118" s="5" t="s">
        <v>201</v>
      </c>
      <c r="AF118" s="5" t="s">
        <v>200</v>
      </c>
      <c r="AG118" s="5" t="s">
        <v>200</v>
      </c>
      <c r="AH118" s="5" t="s">
        <v>208</v>
      </c>
      <c r="AI118" s="5" t="s">
        <v>204</v>
      </c>
      <c r="AJ118" s="5" t="s">
        <v>204</v>
      </c>
      <c r="AK118" s="5" t="s">
        <v>198</v>
      </c>
      <c r="AL118" s="5" t="s">
        <v>707</v>
      </c>
    </row>
    <row r="119">
      <c r="A119" s="8">
        <v>967.0</v>
      </c>
      <c r="B119" s="7">
        <v>45869.31805555556</v>
      </c>
      <c r="C119" s="5" t="s">
        <v>708</v>
      </c>
      <c r="D119" s="5" t="s">
        <v>669</v>
      </c>
      <c r="E119" s="5" t="s">
        <v>197</v>
      </c>
      <c r="F119" s="5" t="s">
        <v>201</v>
      </c>
      <c r="G119" s="5" t="s">
        <v>201</v>
      </c>
      <c r="H119" s="5" t="s">
        <v>199</v>
      </c>
      <c r="I119" s="5" t="s">
        <v>198</v>
      </c>
      <c r="J119" s="5" t="s">
        <v>202</v>
      </c>
      <c r="K119" s="5" t="s">
        <v>201</v>
      </c>
      <c r="L119" s="5" t="s">
        <v>201</v>
      </c>
      <c r="M119" s="5" t="s">
        <v>202</v>
      </c>
      <c r="N119" s="5" t="s">
        <v>202</v>
      </c>
      <c r="O119" s="5" t="s">
        <v>202</v>
      </c>
      <c r="P119" s="5" t="s">
        <v>198</v>
      </c>
      <c r="Q119" s="5" t="s">
        <v>202</v>
      </c>
      <c r="R119" s="5" t="s">
        <v>204</v>
      </c>
      <c r="S119" s="5" t="s">
        <v>202</v>
      </c>
      <c r="T119" s="5" t="s">
        <v>200</v>
      </c>
      <c r="U119" s="5" t="s">
        <v>709</v>
      </c>
      <c r="V119" s="5" t="s">
        <v>206</v>
      </c>
      <c r="W119" s="5" t="s">
        <v>202</v>
      </c>
      <c r="X119" s="5" t="s">
        <v>202</v>
      </c>
      <c r="Y119" s="5" t="s">
        <v>198</v>
      </c>
      <c r="Z119" s="5" t="s">
        <v>201</v>
      </c>
      <c r="AA119" s="5" t="s">
        <v>201</v>
      </c>
      <c r="AB119" s="5" t="s">
        <v>201</v>
      </c>
      <c r="AC119" s="5" t="s">
        <v>710</v>
      </c>
      <c r="AD119" s="5" t="s">
        <v>206</v>
      </c>
      <c r="AE119" s="5" t="s">
        <v>201</v>
      </c>
      <c r="AF119" s="5" t="s">
        <v>201</v>
      </c>
      <c r="AG119" s="5" t="s">
        <v>201</v>
      </c>
      <c r="AH119" s="5" t="s">
        <v>204</v>
      </c>
      <c r="AI119" s="5" t="s">
        <v>204</v>
      </c>
      <c r="AJ119" s="5" t="s">
        <v>204</v>
      </c>
      <c r="AK119" s="5" t="s">
        <v>204</v>
      </c>
      <c r="AL119" s="5" t="s">
        <v>711</v>
      </c>
    </row>
    <row r="120">
      <c r="A120" s="8">
        <v>813.0</v>
      </c>
      <c r="B120" s="7">
        <v>45869.31875</v>
      </c>
      <c r="C120" s="5" t="s">
        <v>712</v>
      </c>
      <c r="D120" s="5" t="s">
        <v>679</v>
      </c>
      <c r="E120" s="5" t="s">
        <v>211</v>
      </c>
      <c r="F120" s="5" t="s">
        <v>203</v>
      </c>
      <c r="G120" s="5" t="s">
        <v>208</v>
      </c>
      <c r="H120" s="5" t="s">
        <v>199</v>
      </c>
      <c r="I120" s="5" t="s">
        <v>200</v>
      </c>
      <c r="J120" s="5" t="s">
        <v>202</v>
      </c>
      <c r="K120" s="5" t="s">
        <v>203</v>
      </c>
      <c r="L120" s="5" t="s">
        <v>208</v>
      </c>
      <c r="M120" s="5" t="s">
        <v>200</v>
      </c>
      <c r="N120" s="5" t="s">
        <v>202</v>
      </c>
      <c r="O120" s="5" t="s">
        <v>202</v>
      </c>
      <c r="P120" s="5" t="s">
        <v>200</v>
      </c>
      <c r="Q120" s="5" t="s">
        <v>208</v>
      </c>
      <c r="R120" s="5" t="s">
        <v>198</v>
      </c>
      <c r="S120" s="5" t="s">
        <v>202</v>
      </c>
      <c r="T120" s="5" t="s">
        <v>202</v>
      </c>
      <c r="U120" s="5" t="s">
        <v>713</v>
      </c>
      <c r="V120" s="5" t="s">
        <v>206</v>
      </c>
      <c r="W120" s="5" t="s">
        <v>202</v>
      </c>
      <c r="X120" s="5" t="s">
        <v>202</v>
      </c>
      <c r="Y120" s="5" t="s">
        <v>202</v>
      </c>
      <c r="Z120" s="5" t="s">
        <v>200</v>
      </c>
      <c r="AA120" s="5" t="s">
        <v>200</v>
      </c>
      <c r="AB120" s="5" t="s">
        <v>202</v>
      </c>
      <c r="AC120" s="5" t="s">
        <v>714</v>
      </c>
      <c r="AD120" s="5" t="s">
        <v>206</v>
      </c>
      <c r="AE120" s="5" t="s">
        <v>202</v>
      </c>
      <c r="AF120" s="5" t="s">
        <v>202</v>
      </c>
      <c r="AG120" s="5" t="s">
        <v>200</v>
      </c>
      <c r="AH120" s="5" t="s">
        <v>204</v>
      </c>
      <c r="AI120" s="5" t="s">
        <v>204</v>
      </c>
      <c r="AJ120" s="5" t="s">
        <v>204</v>
      </c>
      <c r="AK120" s="5" t="s">
        <v>204</v>
      </c>
      <c r="AL120" s="5" t="s">
        <v>715</v>
      </c>
    </row>
    <row r="121">
      <c r="A121" s="8">
        <v>1099.0</v>
      </c>
      <c r="B121" s="7">
        <v>45869.41527777778</v>
      </c>
      <c r="C121" s="5" t="s">
        <v>717</v>
      </c>
      <c r="D121" s="5" t="s">
        <v>674</v>
      </c>
      <c r="E121" s="5" t="s">
        <v>263</v>
      </c>
      <c r="F121" s="5" t="s">
        <v>202</v>
      </c>
      <c r="G121" s="5" t="s">
        <v>200</v>
      </c>
      <c r="H121" s="5" t="s">
        <v>199</v>
      </c>
      <c r="I121" s="5" t="s">
        <v>203</v>
      </c>
      <c r="J121" s="5" t="s">
        <v>200</v>
      </c>
      <c r="K121" s="5" t="s">
        <v>200</v>
      </c>
      <c r="L121" s="5" t="s">
        <v>200</v>
      </c>
      <c r="M121" s="5" t="s">
        <v>200</v>
      </c>
      <c r="N121" s="5" t="s">
        <v>203</v>
      </c>
      <c r="O121" s="5" t="s">
        <v>203</v>
      </c>
      <c r="P121" s="5" t="s">
        <v>200</v>
      </c>
      <c r="Q121" s="5" t="s">
        <v>208</v>
      </c>
      <c r="R121" s="5" t="s">
        <v>200</v>
      </c>
      <c r="S121" s="5" t="s">
        <v>203</v>
      </c>
      <c r="T121" s="5" t="s">
        <v>202</v>
      </c>
      <c r="U121" s="5" t="s">
        <v>413</v>
      </c>
      <c r="V121" s="5" t="s">
        <v>206</v>
      </c>
      <c r="W121" s="5" t="s">
        <v>203</v>
      </c>
      <c r="X121" s="5" t="s">
        <v>200</v>
      </c>
      <c r="Y121" s="5" t="s">
        <v>200</v>
      </c>
      <c r="Z121" s="5" t="s">
        <v>200</v>
      </c>
      <c r="AA121" s="5" t="s">
        <v>200</v>
      </c>
      <c r="AB121" s="5" t="s">
        <v>202</v>
      </c>
      <c r="AC121" s="5" t="s">
        <v>413</v>
      </c>
      <c r="AD121" s="5" t="s">
        <v>206</v>
      </c>
      <c r="AE121" s="5" t="s">
        <v>200</v>
      </c>
      <c r="AF121" s="5" t="s">
        <v>200</v>
      </c>
      <c r="AG121" s="5" t="s">
        <v>202</v>
      </c>
      <c r="AH121" s="5" t="s">
        <v>204</v>
      </c>
      <c r="AI121" s="5" t="s">
        <v>204</v>
      </c>
      <c r="AJ121" s="5" t="s">
        <v>204</v>
      </c>
      <c r="AK121" s="5" t="s">
        <v>204</v>
      </c>
      <c r="AL121" s="5" t="s">
        <v>413</v>
      </c>
    </row>
  </sheetData>
  <mergeCells count="3">
    <mergeCell ref="AC75:AD75"/>
    <mergeCell ref="AC76:AD76"/>
    <mergeCell ref="AC78:AD7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20.88"/>
    <col customWidth="1" min="6" max="7" width="22.75"/>
    <col customWidth="1" min="8" max="8" width="19.5"/>
  </cols>
  <sheetData>
    <row r="1">
      <c r="A1" s="5" t="s">
        <v>49</v>
      </c>
      <c r="B1" s="5" t="s">
        <v>51</v>
      </c>
      <c r="C1" s="5" t="s">
        <v>52</v>
      </c>
      <c r="D1" s="5" t="s">
        <v>61</v>
      </c>
      <c r="E1" s="5" t="s">
        <v>62</v>
      </c>
      <c r="F1" s="5" t="s">
        <v>63</v>
      </c>
      <c r="G1" s="5" t="s">
        <v>64</v>
      </c>
      <c r="H1" s="5" t="s">
        <v>65</v>
      </c>
      <c r="I1" s="5" t="s">
        <v>66</v>
      </c>
      <c r="J1" s="5" t="s">
        <v>67</v>
      </c>
      <c r="K1" s="5" t="s">
        <v>68</v>
      </c>
      <c r="L1" s="5" t="s">
        <v>69</v>
      </c>
      <c r="M1" s="5" t="s">
        <v>70</v>
      </c>
      <c r="N1" s="5" t="s">
        <v>71</v>
      </c>
      <c r="O1" s="5" t="s">
        <v>72</v>
      </c>
      <c r="P1" s="5" t="s">
        <v>73</v>
      </c>
      <c r="Q1" s="5" t="s">
        <v>74</v>
      </c>
      <c r="R1" s="5" t="s">
        <v>75</v>
      </c>
      <c r="S1" s="5" t="s">
        <v>76</v>
      </c>
      <c r="T1" s="5" t="s">
        <v>77</v>
      </c>
      <c r="U1" s="5" t="s">
        <v>78</v>
      </c>
      <c r="V1" s="5" t="s">
        <v>79</v>
      </c>
      <c r="W1" s="5" t="s">
        <v>80</v>
      </c>
      <c r="X1" s="5" t="s">
        <v>81</v>
      </c>
      <c r="Y1" s="5" t="s">
        <v>82</v>
      </c>
      <c r="Z1" s="5" t="s">
        <v>83</v>
      </c>
      <c r="AA1" s="5" t="s">
        <v>84</v>
      </c>
      <c r="AB1" s="5" t="s">
        <v>85</v>
      </c>
      <c r="AC1" s="5" t="s">
        <v>86</v>
      </c>
      <c r="AD1" s="5" t="s">
        <v>87</v>
      </c>
      <c r="AE1" s="5" t="s">
        <v>88</v>
      </c>
      <c r="AF1" s="5" t="s">
        <v>89</v>
      </c>
      <c r="AG1" s="5" t="s">
        <v>90</v>
      </c>
      <c r="AH1" s="5" t="s">
        <v>91</v>
      </c>
      <c r="AI1" s="5" t="s">
        <v>92</v>
      </c>
      <c r="AJ1" s="5" t="s">
        <v>93</v>
      </c>
      <c r="AK1" s="5" t="s">
        <v>94</v>
      </c>
      <c r="AL1" s="5" t="s">
        <v>95</v>
      </c>
    </row>
    <row r="2">
      <c r="A2" s="8">
        <v>913.0</v>
      </c>
      <c r="B2" s="7">
        <v>45866.260416666664</v>
      </c>
      <c r="C2" s="5" t="s">
        <v>220</v>
      </c>
      <c r="D2" s="5" t="s">
        <v>221</v>
      </c>
      <c r="E2" s="5" t="s">
        <v>211</v>
      </c>
      <c r="F2" s="5">
        <v>1.0</v>
      </c>
      <c r="G2" s="5">
        <v>1.0</v>
      </c>
      <c r="H2" s="5" t="s">
        <v>199</v>
      </c>
      <c r="I2" s="5">
        <v>7.0</v>
      </c>
      <c r="J2" s="5">
        <v>4.0</v>
      </c>
      <c r="K2" s="5">
        <v>1.0</v>
      </c>
      <c r="L2" s="5">
        <v>1.0</v>
      </c>
      <c r="M2" s="5">
        <v>1.0</v>
      </c>
      <c r="N2" s="5">
        <v>2.0</v>
      </c>
      <c r="O2" s="5">
        <v>7.0</v>
      </c>
      <c r="P2" s="5">
        <v>6.0</v>
      </c>
      <c r="Q2" s="5">
        <v>1.0</v>
      </c>
      <c r="R2" s="5">
        <v>1.0</v>
      </c>
      <c r="S2" s="5">
        <v>4.0</v>
      </c>
      <c r="T2" s="5">
        <v>7.0</v>
      </c>
      <c r="U2" s="5" t="s">
        <v>222</v>
      </c>
      <c r="V2" s="5" t="s">
        <v>206</v>
      </c>
      <c r="W2" s="5">
        <v>1.0</v>
      </c>
      <c r="X2" s="5">
        <v>5.0</v>
      </c>
      <c r="Y2" s="5">
        <v>4.0</v>
      </c>
      <c r="Z2" s="5">
        <v>5.0</v>
      </c>
      <c r="AA2" s="5">
        <v>5.0</v>
      </c>
      <c r="AB2" s="5">
        <v>7.0</v>
      </c>
      <c r="AC2" s="5" t="s">
        <v>223</v>
      </c>
      <c r="AD2" s="5" t="s">
        <v>206</v>
      </c>
      <c r="AE2" s="5">
        <v>1.0</v>
      </c>
      <c r="AF2" s="5">
        <v>7.0</v>
      </c>
      <c r="AG2" s="5">
        <v>4.0</v>
      </c>
      <c r="AH2" s="5">
        <v>1.0</v>
      </c>
      <c r="AI2" s="5">
        <v>1.0</v>
      </c>
      <c r="AJ2" s="5">
        <v>1.0</v>
      </c>
      <c r="AK2" s="5">
        <v>1.0</v>
      </c>
      <c r="AL2" s="5" t="s">
        <v>224</v>
      </c>
    </row>
    <row r="3">
      <c r="A3" s="8">
        <v>512.0</v>
      </c>
      <c r="B3" s="7">
        <v>45866.27291666667</v>
      </c>
      <c r="C3" s="5" t="s">
        <v>225</v>
      </c>
      <c r="D3" s="5" t="s">
        <v>221</v>
      </c>
      <c r="E3" s="5" t="s">
        <v>216</v>
      </c>
      <c r="F3" s="5">
        <v>5.0</v>
      </c>
      <c r="G3" s="5">
        <v>1.0</v>
      </c>
      <c r="H3" s="5" t="s">
        <v>199</v>
      </c>
      <c r="I3" s="5">
        <v>7.0</v>
      </c>
      <c r="J3" s="5">
        <v>4.0</v>
      </c>
      <c r="K3" s="5">
        <v>7.0</v>
      </c>
      <c r="L3" s="5">
        <v>1.0</v>
      </c>
      <c r="M3" s="5">
        <v>1.0</v>
      </c>
      <c r="N3" s="5">
        <v>5.0</v>
      </c>
      <c r="O3" s="5">
        <v>7.0</v>
      </c>
      <c r="P3" s="5">
        <v>1.0</v>
      </c>
      <c r="Q3" s="5">
        <v>1.0</v>
      </c>
      <c r="R3" s="5">
        <v>1.0</v>
      </c>
      <c r="S3" s="5">
        <v>4.0</v>
      </c>
      <c r="T3" s="5">
        <v>7.0</v>
      </c>
      <c r="U3" s="5" t="s">
        <v>226</v>
      </c>
      <c r="V3" s="5" t="s">
        <v>206</v>
      </c>
      <c r="W3" s="5">
        <v>1.0</v>
      </c>
      <c r="X3" s="5">
        <v>7.0</v>
      </c>
      <c r="Y3" s="5">
        <v>5.0</v>
      </c>
      <c r="Z3" s="5">
        <v>7.0</v>
      </c>
      <c r="AA3" s="5">
        <v>7.0</v>
      </c>
      <c r="AB3" s="5">
        <v>7.0</v>
      </c>
      <c r="AC3" s="5" t="s">
        <v>227</v>
      </c>
      <c r="AD3" s="5" t="s">
        <v>206</v>
      </c>
      <c r="AE3" s="5">
        <v>5.0</v>
      </c>
      <c r="AF3" s="5">
        <v>1.0</v>
      </c>
      <c r="AG3" s="5">
        <v>5.0</v>
      </c>
      <c r="AH3" s="5">
        <v>7.0</v>
      </c>
      <c r="AI3" s="5">
        <v>4.0</v>
      </c>
      <c r="AJ3" s="5">
        <v>5.0</v>
      </c>
      <c r="AK3" s="5">
        <v>5.0</v>
      </c>
      <c r="AL3" s="5" t="s">
        <v>228</v>
      </c>
    </row>
    <row r="4">
      <c r="A4" s="8">
        <v>378.0</v>
      </c>
      <c r="B4" s="7">
        <v>45866.28472222222</v>
      </c>
      <c r="C4" s="5" t="s">
        <v>229</v>
      </c>
      <c r="D4" s="5" t="s">
        <v>221</v>
      </c>
      <c r="E4" s="5" t="s">
        <v>197</v>
      </c>
      <c r="F4" s="5">
        <v>1.0</v>
      </c>
      <c r="G4" s="5">
        <v>1.0</v>
      </c>
      <c r="H4" s="5" t="s">
        <v>199</v>
      </c>
      <c r="I4" s="5">
        <v>3.0</v>
      </c>
      <c r="J4" s="5">
        <v>4.0</v>
      </c>
      <c r="K4" s="5">
        <v>7.0</v>
      </c>
      <c r="L4" s="5">
        <v>1.0</v>
      </c>
      <c r="M4" s="5">
        <v>1.0</v>
      </c>
      <c r="N4" s="5">
        <v>7.0</v>
      </c>
      <c r="O4" s="5">
        <v>4.0</v>
      </c>
      <c r="P4" s="5">
        <v>3.0</v>
      </c>
      <c r="Q4" s="5">
        <v>1.0</v>
      </c>
      <c r="R4" s="5">
        <v>1.0</v>
      </c>
      <c r="S4" s="5">
        <v>7.0</v>
      </c>
      <c r="T4" s="5">
        <v>7.0</v>
      </c>
      <c r="U4" s="11" t="s">
        <v>230</v>
      </c>
      <c r="V4" s="5" t="s">
        <v>206</v>
      </c>
      <c r="W4" s="5">
        <v>1.0</v>
      </c>
      <c r="X4" s="5">
        <v>4.0</v>
      </c>
      <c r="Y4" s="5">
        <v>1.0</v>
      </c>
      <c r="Z4" s="5">
        <v>5.0</v>
      </c>
      <c r="AA4" s="5">
        <v>1.0</v>
      </c>
      <c r="AB4" s="5">
        <v>2.0</v>
      </c>
      <c r="AC4" s="5" t="s">
        <v>231</v>
      </c>
      <c r="AD4" s="5" t="s">
        <v>206</v>
      </c>
      <c r="AE4" s="5">
        <v>1.0</v>
      </c>
      <c r="AF4" s="5">
        <v>4.0</v>
      </c>
      <c r="AG4" s="5">
        <v>5.0</v>
      </c>
      <c r="AH4" s="5">
        <v>1.0</v>
      </c>
      <c r="AI4" s="5">
        <v>1.0</v>
      </c>
      <c r="AJ4" s="5">
        <v>4.0</v>
      </c>
      <c r="AK4" s="5">
        <v>1.0</v>
      </c>
      <c r="AL4" s="11" t="s">
        <v>232</v>
      </c>
    </row>
    <row r="5">
      <c r="A5" s="8">
        <v>237.0</v>
      </c>
      <c r="B5" s="7">
        <v>45866.290972222225</v>
      </c>
      <c r="C5" s="5" t="s">
        <v>233</v>
      </c>
      <c r="D5" s="5" t="s">
        <v>221</v>
      </c>
      <c r="E5" s="5" t="s">
        <v>216</v>
      </c>
      <c r="F5" s="5">
        <v>1.0</v>
      </c>
      <c r="G5" s="5">
        <v>1.0</v>
      </c>
      <c r="H5" s="5" t="s">
        <v>199</v>
      </c>
      <c r="I5" s="5">
        <v>7.0</v>
      </c>
      <c r="J5" s="5">
        <v>1.0</v>
      </c>
      <c r="K5" s="5">
        <v>1.0</v>
      </c>
      <c r="L5" s="5">
        <v>1.0</v>
      </c>
      <c r="M5" s="5">
        <v>1.0</v>
      </c>
      <c r="N5" s="5">
        <v>7.0</v>
      </c>
      <c r="O5" s="5">
        <v>7.0</v>
      </c>
      <c r="P5" s="5">
        <v>1.0</v>
      </c>
      <c r="Q5" s="5">
        <v>1.0</v>
      </c>
      <c r="R5" s="5">
        <v>1.0</v>
      </c>
      <c r="S5" s="5">
        <v>7.0</v>
      </c>
      <c r="T5" s="5">
        <v>7.0</v>
      </c>
      <c r="U5" s="5" t="s">
        <v>234</v>
      </c>
      <c r="V5" s="5" t="s">
        <v>206</v>
      </c>
      <c r="W5" s="5">
        <v>1.0</v>
      </c>
      <c r="X5" s="5">
        <v>7.0</v>
      </c>
      <c r="Y5" s="5">
        <v>1.0</v>
      </c>
      <c r="Z5" s="5">
        <v>1.0</v>
      </c>
      <c r="AA5" s="5">
        <v>1.0</v>
      </c>
      <c r="AB5" s="5">
        <v>2.0</v>
      </c>
      <c r="AC5" s="5" t="s">
        <v>235</v>
      </c>
      <c r="AD5" s="5" t="s">
        <v>206</v>
      </c>
      <c r="AE5" s="5">
        <v>1.0</v>
      </c>
      <c r="AF5" s="5">
        <v>1.0</v>
      </c>
      <c r="AG5" s="5">
        <v>1.0</v>
      </c>
      <c r="AH5" s="5">
        <v>4.0</v>
      </c>
      <c r="AI5" s="5">
        <v>4.0</v>
      </c>
      <c r="AJ5" s="5">
        <v>4.0</v>
      </c>
      <c r="AK5" s="5">
        <v>4.0</v>
      </c>
      <c r="AL5" s="5" t="s">
        <v>236</v>
      </c>
    </row>
    <row r="6">
      <c r="A6" s="8">
        <v>1957.0</v>
      </c>
      <c r="B6" s="7">
        <v>45866.3125</v>
      </c>
      <c r="C6" s="5" t="s">
        <v>238</v>
      </c>
      <c r="D6" s="5" t="s">
        <v>239</v>
      </c>
      <c r="E6" s="5" t="s">
        <v>216</v>
      </c>
      <c r="F6" s="5">
        <v>6.0</v>
      </c>
      <c r="G6" s="6">
        <v>5.0</v>
      </c>
      <c r="H6" s="5" t="s">
        <v>199</v>
      </c>
      <c r="I6" s="5">
        <v>7.0</v>
      </c>
      <c r="J6" s="5">
        <v>5.0</v>
      </c>
      <c r="K6" s="5">
        <v>7.0</v>
      </c>
      <c r="L6" s="5">
        <v>3.0</v>
      </c>
      <c r="M6" s="5">
        <v>3.0</v>
      </c>
      <c r="N6" s="5">
        <v>5.0</v>
      </c>
      <c r="O6" s="5">
        <v>5.0</v>
      </c>
      <c r="P6" s="5">
        <v>7.0</v>
      </c>
      <c r="Q6" s="5">
        <v>3.0</v>
      </c>
      <c r="R6" s="5">
        <v>7.0</v>
      </c>
      <c r="S6" s="5">
        <v>6.0</v>
      </c>
      <c r="T6" s="5">
        <v>3.0</v>
      </c>
      <c r="U6" s="5" t="s">
        <v>240</v>
      </c>
      <c r="V6" s="5" t="s">
        <v>206</v>
      </c>
      <c r="W6" s="5">
        <v>5.0</v>
      </c>
      <c r="X6" s="5">
        <v>7.0</v>
      </c>
      <c r="Y6" s="5">
        <v>7.0</v>
      </c>
      <c r="Z6" s="5">
        <v>5.0</v>
      </c>
      <c r="AA6" s="5">
        <v>7.0</v>
      </c>
      <c r="AB6" s="5">
        <v>7.0</v>
      </c>
      <c r="AC6" s="5" t="s">
        <v>241</v>
      </c>
      <c r="AD6" s="5" t="s">
        <v>206</v>
      </c>
      <c r="AE6" s="5">
        <v>6.0</v>
      </c>
      <c r="AF6" s="5">
        <v>7.0</v>
      </c>
      <c r="AG6" s="5">
        <v>7.0</v>
      </c>
      <c r="AH6" s="5">
        <v>1.0</v>
      </c>
      <c r="AI6" s="5">
        <v>1.0</v>
      </c>
      <c r="AJ6" s="5">
        <v>1.0</v>
      </c>
      <c r="AK6" s="5">
        <v>1.0</v>
      </c>
      <c r="AL6" s="5" t="s">
        <v>242</v>
      </c>
    </row>
    <row r="7">
      <c r="A7" s="8">
        <v>822.0</v>
      </c>
      <c r="B7" s="7">
        <v>45866.3125</v>
      </c>
      <c r="C7" s="5" t="s">
        <v>243</v>
      </c>
      <c r="D7" s="5" t="s">
        <v>244</v>
      </c>
      <c r="E7" s="5" t="s">
        <v>197</v>
      </c>
      <c r="F7" s="5">
        <v>2.0</v>
      </c>
      <c r="G7" s="5">
        <v>2.0</v>
      </c>
      <c r="H7" s="5" t="s">
        <v>199</v>
      </c>
      <c r="I7" s="5">
        <v>7.0</v>
      </c>
      <c r="J7" s="5">
        <v>3.0</v>
      </c>
      <c r="K7" s="5">
        <v>5.0</v>
      </c>
      <c r="L7" s="5">
        <v>3.0</v>
      </c>
      <c r="M7" s="5">
        <v>1.0</v>
      </c>
      <c r="N7" s="5">
        <v>5.0</v>
      </c>
      <c r="O7" s="5">
        <v>6.0</v>
      </c>
      <c r="P7" s="5">
        <v>6.0</v>
      </c>
      <c r="Q7" s="5">
        <v>1.0</v>
      </c>
      <c r="R7" s="5">
        <v>4.0</v>
      </c>
      <c r="S7" s="5">
        <v>7.0</v>
      </c>
      <c r="T7" s="5">
        <v>7.0</v>
      </c>
      <c r="U7" s="5" t="s">
        <v>245</v>
      </c>
      <c r="V7" s="5" t="s">
        <v>206</v>
      </c>
      <c r="W7" s="5">
        <v>5.0</v>
      </c>
      <c r="X7" s="5">
        <v>6.0</v>
      </c>
      <c r="Y7" s="5">
        <v>6.0</v>
      </c>
      <c r="Z7" s="5">
        <v>5.0</v>
      </c>
      <c r="AA7" s="5">
        <v>5.0</v>
      </c>
      <c r="AB7" s="5">
        <v>4.0</v>
      </c>
      <c r="AC7" s="5" t="s">
        <v>246</v>
      </c>
      <c r="AD7" s="5" t="s">
        <v>206</v>
      </c>
      <c r="AE7" s="5">
        <v>5.0</v>
      </c>
      <c r="AF7" s="5">
        <v>3.0</v>
      </c>
      <c r="AG7" s="5">
        <v>6.0</v>
      </c>
      <c r="AH7" s="5">
        <v>2.0</v>
      </c>
      <c r="AI7" s="5">
        <v>1.0</v>
      </c>
      <c r="AJ7" s="5">
        <v>5.0</v>
      </c>
      <c r="AK7" s="5">
        <v>5.0</v>
      </c>
      <c r="AL7" s="5" t="s">
        <v>247</v>
      </c>
    </row>
    <row r="8">
      <c r="A8" s="8">
        <v>1106.0</v>
      </c>
      <c r="B8" s="7">
        <v>45866.32777777778</v>
      </c>
      <c r="C8" s="5" t="s">
        <v>248</v>
      </c>
      <c r="D8" s="5" t="s">
        <v>244</v>
      </c>
      <c r="E8" s="5" t="s">
        <v>211</v>
      </c>
      <c r="F8" s="5">
        <v>3.0</v>
      </c>
      <c r="G8" s="5">
        <v>1.0</v>
      </c>
      <c r="H8" s="5" t="s">
        <v>199</v>
      </c>
      <c r="I8" s="5">
        <v>5.0</v>
      </c>
      <c r="J8" s="5">
        <v>2.0</v>
      </c>
      <c r="K8" s="5">
        <v>1.0</v>
      </c>
      <c r="L8" s="5">
        <v>3.0</v>
      </c>
      <c r="M8" s="5">
        <v>1.0</v>
      </c>
      <c r="N8" s="5">
        <v>5.0</v>
      </c>
      <c r="O8" s="5">
        <v>6.0</v>
      </c>
      <c r="P8" s="5">
        <v>2.0</v>
      </c>
      <c r="Q8" s="5">
        <v>1.0</v>
      </c>
      <c r="R8" s="5">
        <v>2.0</v>
      </c>
      <c r="S8" s="5">
        <v>5.0</v>
      </c>
      <c r="T8" s="5">
        <v>7.0</v>
      </c>
      <c r="U8" s="5" t="s">
        <v>249</v>
      </c>
      <c r="V8" s="5" t="s">
        <v>206</v>
      </c>
      <c r="W8" s="5">
        <v>6.0</v>
      </c>
      <c r="X8" s="5">
        <v>6.0</v>
      </c>
      <c r="Y8" s="5">
        <v>6.0</v>
      </c>
      <c r="Z8" s="5">
        <v>5.0</v>
      </c>
      <c r="AA8" s="5">
        <v>3.0</v>
      </c>
      <c r="AB8" s="5">
        <v>4.0</v>
      </c>
      <c r="AC8" s="5" t="s">
        <v>250</v>
      </c>
      <c r="AD8" s="5" t="s">
        <v>206</v>
      </c>
      <c r="AE8" s="5">
        <v>6.0</v>
      </c>
      <c r="AF8" s="5">
        <v>6.0</v>
      </c>
      <c r="AG8" s="5">
        <v>2.0</v>
      </c>
      <c r="AH8" s="5">
        <v>1.0</v>
      </c>
      <c r="AI8" s="5">
        <v>1.0</v>
      </c>
      <c r="AJ8" s="5">
        <v>1.0</v>
      </c>
      <c r="AK8" s="5">
        <v>1.0</v>
      </c>
      <c r="AL8" s="5" t="s">
        <v>251</v>
      </c>
    </row>
    <row r="9">
      <c r="A9" s="8">
        <v>1376.0</v>
      </c>
      <c r="B9" s="7">
        <v>45866.32847222222</v>
      </c>
      <c r="C9" s="5" t="s">
        <v>252</v>
      </c>
      <c r="D9" s="5" t="s">
        <v>239</v>
      </c>
      <c r="E9" s="5" t="s">
        <v>211</v>
      </c>
      <c r="F9" s="5">
        <v>7.0</v>
      </c>
      <c r="G9" s="5">
        <v>7.0</v>
      </c>
      <c r="H9" s="5" t="s">
        <v>199</v>
      </c>
      <c r="I9" s="5">
        <v>5.0</v>
      </c>
      <c r="J9" s="5">
        <v>5.0</v>
      </c>
      <c r="K9" s="5">
        <v>7.0</v>
      </c>
      <c r="L9" s="5">
        <v>4.0</v>
      </c>
      <c r="M9" s="5">
        <v>4.0</v>
      </c>
      <c r="N9" s="5">
        <v>7.0</v>
      </c>
      <c r="O9" s="5">
        <v>7.0</v>
      </c>
      <c r="P9" s="5">
        <v>7.0</v>
      </c>
      <c r="Q9" s="5">
        <v>4.0</v>
      </c>
      <c r="R9" s="5">
        <v>6.0</v>
      </c>
      <c r="S9" s="5">
        <v>7.0</v>
      </c>
      <c r="T9" s="5">
        <v>4.0</v>
      </c>
      <c r="U9" s="5" t="s">
        <v>253</v>
      </c>
      <c r="V9" s="5" t="s">
        <v>206</v>
      </c>
      <c r="W9" s="5">
        <v>5.0</v>
      </c>
      <c r="X9" s="5">
        <v>7.0</v>
      </c>
      <c r="Y9" s="5">
        <v>6.0</v>
      </c>
      <c r="Z9" s="5">
        <v>6.0</v>
      </c>
      <c r="AA9" s="5">
        <v>6.0</v>
      </c>
      <c r="AB9" s="5">
        <v>6.0</v>
      </c>
      <c r="AC9" s="5" t="s">
        <v>254</v>
      </c>
      <c r="AD9" s="5" t="s">
        <v>206</v>
      </c>
      <c r="AE9" s="5">
        <v>5.0</v>
      </c>
      <c r="AF9" s="5">
        <v>5.0</v>
      </c>
      <c r="AG9" s="5">
        <v>7.0</v>
      </c>
      <c r="AH9" s="5">
        <v>5.0</v>
      </c>
      <c r="AI9" s="5">
        <v>1.0</v>
      </c>
      <c r="AJ9" s="5">
        <v>5.0</v>
      </c>
      <c r="AK9" s="5">
        <v>5.0</v>
      </c>
      <c r="AL9" s="5" t="s">
        <v>255</v>
      </c>
    </row>
    <row r="10">
      <c r="A10" s="8">
        <v>1275.0</v>
      </c>
      <c r="B10" s="7">
        <v>45867.02638888889</v>
      </c>
      <c r="C10" s="5" t="s">
        <v>257</v>
      </c>
      <c r="D10" s="5" t="s">
        <v>258</v>
      </c>
      <c r="E10" s="5" t="s">
        <v>211</v>
      </c>
      <c r="F10" s="5">
        <v>3.0</v>
      </c>
      <c r="G10" s="5">
        <v>3.0</v>
      </c>
      <c r="H10" s="5" t="s">
        <v>199</v>
      </c>
      <c r="I10" s="5">
        <v>6.0</v>
      </c>
      <c r="J10" s="5">
        <v>7.0</v>
      </c>
      <c r="K10" s="5">
        <v>4.0</v>
      </c>
      <c r="L10" s="5">
        <v>1.0</v>
      </c>
      <c r="M10" s="5">
        <v>2.0</v>
      </c>
      <c r="N10" s="5">
        <v>7.0</v>
      </c>
      <c r="O10" s="5">
        <v>7.0</v>
      </c>
      <c r="P10" s="5">
        <v>6.0</v>
      </c>
      <c r="Q10" s="5">
        <v>1.0</v>
      </c>
      <c r="R10" s="5">
        <v>4.0</v>
      </c>
      <c r="S10" s="5">
        <v>5.0</v>
      </c>
      <c r="T10" s="5">
        <v>7.0</v>
      </c>
      <c r="U10" s="5" t="s">
        <v>259</v>
      </c>
      <c r="V10" s="5" t="s">
        <v>206</v>
      </c>
      <c r="W10" s="5">
        <v>6.0</v>
      </c>
      <c r="X10" s="5">
        <v>6.0</v>
      </c>
      <c r="Y10" s="5">
        <v>6.0</v>
      </c>
      <c r="Z10" s="5">
        <v>6.0</v>
      </c>
      <c r="AA10" s="5">
        <v>6.0</v>
      </c>
      <c r="AB10" s="5">
        <v>6.0</v>
      </c>
      <c r="AC10" s="5" t="s">
        <v>260</v>
      </c>
      <c r="AD10" s="5" t="s">
        <v>206</v>
      </c>
      <c r="AE10" s="5">
        <v>5.0</v>
      </c>
      <c r="AF10" s="5">
        <v>7.0</v>
      </c>
      <c r="AG10" s="5">
        <v>7.0</v>
      </c>
      <c r="AH10" s="5">
        <v>1.0</v>
      </c>
      <c r="AI10" s="5">
        <v>1.0</v>
      </c>
      <c r="AJ10" s="5">
        <v>1.0</v>
      </c>
      <c r="AK10" s="5">
        <v>1.0</v>
      </c>
      <c r="AL10" s="5" t="s">
        <v>261</v>
      </c>
    </row>
    <row r="11">
      <c r="A11" s="8">
        <v>859.0</v>
      </c>
      <c r="B11" s="7">
        <v>45867.027083333334</v>
      </c>
      <c r="C11" s="5" t="s">
        <v>262</v>
      </c>
      <c r="D11" s="5" t="s">
        <v>239</v>
      </c>
      <c r="E11" s="5" t="s">
        <v>263</v>
      </c>
      <c r="F11" s="5">
        <v>6.0</v>
      </c>
      <c r="G11" s="5">
        <v>5.0</v>
      </c>
      <c r="H11" s="5" t="s">
        <v>199</v>
      </c>
      <c r="I11" s="5">
        <v>4.0</v>
      </c>
      <c r="J11" s="5">
        <v>5.0</v>
      </c>
      <c r="K11" s="5">
        <v>7.0</v>
      </c>
      <c r="L11" s="5">
        <v>3.0</v>
      </c>
      <c r="M11" s="5">
        <v>4.0</v>
      </c>
      <c r="N11" s="5">
        <v>6.0</v>
      </c>
      <c r="O11" s="5">
        <v>7.0</v>
      </c>
      <c r="P11" s="5">
        <v>7.0</v>
      </c>
      <c r="Q11" s="5">
        <v>5.0</v>
      </c>
      <c r="R11" s="5">
        <v>7.0</v>
      </c>
      <c r="S11" s="5">
        <v>7.0</v>
      </c>
      <c r="T11" s="5">
        <v>4.0</v>
      </c>
      <c r="U11" s="5" t="s">
        <v>264</v>
      </c>
      <c r="V11" s="5" t="s">
        <v>206</v>
      </c>
      <c r="W11" s="5">
        <v>5.0</v>
      </c>
      <c r="X11" s="5">
        <v>6.0</v>
      </c>
      <c r="Y11" s="5">
        <v>5.0</v>
      </c>
      <c r="Z11" s="5">
        <v>6.0</v>
      </c>
      <c r="AA11" s="5">
        <v>6.0</v>
      </c>
      <c r="AB11" s="5">
        <v>7.0</v>
      </c>
      <c r="AC11" s="5" t="s">
        <v>265</v>
      </c>
      <c r="AD11" s="5" t="s">
        <v>206</v>
      </c>
      <c r="AE11" s="5">
        <v>6.0</v>
      </c>
      <c r="AF11" s="5">
        <v>7.0</v>
      </c>
      <c r="AG11" s="5">
        <v>7.0</v>
      </c>
      <c r="AH11" s="5">
        <v>2.0</v>
      </c>
      <c r="AI11" s="5">
        <v>1.0</v>
      </c>
      <c r="AJ11" s="5">
        <v>1.0</v>
      </c>
      <c r="AK11" s="5">
        <v>1.0</v>
      </c>
      <c r="AL11" s="5" t="s">
        <v>266</v>
      </c>
    </row>
    <row r="12">
      <c r="A12" s="8">
        <v>821.0</v>
      </c>
      <c r="B12" s="7">
        <v>45867.04583333333</v>
      </c>
      <c r="C12" s="5" t="s">
        <v>267</v>
      </c>
      <c r="D12" s="5" t="s">
        <v>239</v>
      </c>
      <c r="E12" s="5" t="s">
        <v>211</v>
      </c>
      <c r="F12" s="5">
        <v>6.0</v>
      </c>
      <c r="G12" s="5">
        <v>3.0</v>
      </c>
      <c r="H12" s="5" t="s">
        <v>199</v>
      </c>
      <c r="I12" s="5">
        <v>6.0</v>
      </c>
      <c r="J12" s="5">
        <v>7.0</v>
      </c>
      <c r="K12" s="5">
        <v>6.0</v>
      </c>
      <c r="L12" s="5">
        <v>4.0</v>
      </c>
      <c r="M12" s="5">
        <v>3.0</v>
      </c>
      <c r="N12" s="5">
        <v>7.0</v>
      </c>
      <c r="O12" s="5">
        <v>6.0</v>
      </c>
      <c r="P12" s="5">
        <v>3.0</v>
      </c>
      <c r="Q12" s="5">
        <v>4.0</v>
      </c>
      <c r="R12" s="5">
        <v>7.0</v>
      </c>
      <c r="S12" s="5">
        <v>6.0</v>
      </c>
      <c r="T12" s="5">
        <v>4.0</v>
      </c>
      <c r="U12" s="5" t="s">
        <v>268</v>
      </c>
      <c r="V12" s="5" t="s">
        <v>206</v>
      </c>
      <c r="W12" s="5">
        <v>4.0</v>
      </c>
      <c r="X12" s="5">
        <v>5.0</v>
      </c>
      <c r="Y12" s="5">
        <v>4.0</v>
      </c>
      <c r="Z12" s="5">
        <v>3.0</v>
      </c>
      <c r="AA12" s="5">
        <v>4.0</v>
      </c>
      <c r="AB12" s="5">
        <v>3.0</v>
      </c>
      <c r="AC12" s="5" t="s">
        <v>269</v>
      </c>
      <c r="AD12" s="5" t="s">
        <v>206</v>
      </c>
      <c r="AE12" s="5">
        <v>4.0</v>
      </c>
      <c r="AF12" s="5">
        <v>3.0</v>
      </c>
      <c r="AG12" s="5">
        <v>5.0</v>
      </c>
      <c r="AH12" s="5">
        <v>2.0</v>
      </c>
      <c r="AI12" s="5">
        <v>2.0</v>
      </c>
      <c r="AJ12" s="5">
        <v>6.0</v>
      </c>
      <c r="AK12" s="5">
        <v>2.0</v>
      </c>
      <c r="AL12" s="5" t="s">
        <v>270</v>
      </c>
    </row>
    <row r="13">
      <c r="A13" s="8">
        <v>741.0</v>
      </c>
      <c r="B13" s="7">
        <v>45867.06041666667</v>
      </c>
      <c r="C13" s="5" t="s">
        <v>271</v>
      </c>
      <c r="D13" s="5" t="s">
        <v>258</v>
      </c>
      <c r="E13" s="5" t="s">
        <v>197</v>
      </c>
      <c r="F13" s="5">
        <v>6.0</v>
      </c>
      <c r="G13" s="5">
        <v>2.0</v>
      </c>
      <c r="H13" s="5" t="s">
        <v>199</v>
      </c>
      <c r="I13" s="5">
        <v>7.0</v>
      </c>
      <c r="J13" s="5">
        <v>7.0</v>
      </c>
      <c r="K13" s="5">
        <v>7.0</v>
      </c>
      <c r="L13" s="5">
        <v>1.0</v>
      </c>
      <c r="M13" s="5">
        <v>3.0</v>
      </c>
      <c r="N13" s="5">
        <v>7.0</v>
      </c>
      <c r="O13" s="5">
        <v>7.0</v>
      </c>
      <c r="P13" s="5">
        <v>7.0</v>
      </c>
      <c r="Q13" s="5">
        <v>1.0</v>
      </c>
      <c r="R13" s="5">
        <v>1.0</v>
      </c>
      <c r="S13" s="5">
        <v>7.0</v>
      </c>
      <c r="T13" s="5">
        <v>7.0</v>
      </c>
      <c r="U13" s="5" t="s">
        <v>272</v>
      </c>
      <c r="V13" s="5" t="s">
        <v>206</v>
      </c>
      <c r="W13" s="5">
        <v>6.0</v>
      </c>
      <c r="X13" s="5">
        <v>7.0</v>
      </c>
      <c r="Y13" s="5">
        <v>6.0</v>
      </c>
      <c r="Z13" s="5">
        <v>6.0</v>
      </c>
      <c r="AA13" s="5">
        <v>7.0</v>
      </c>
      <c r="AB13" s="5">
        <v>7.0</v>
      </c>
      <c r="AC13" s="5" t="s">
        <v>273</v>
      </c>
      <c r="AD13" s="5" t="s">
        <v>206</v>
      </c>
      <c r="AE13" s="5">
        <v>7.0</v>
      </c>
      <c r="AF13" s="5">
        <v>6.0</v>
      </c>
      <c r="AG13" s="5">
        <v>7.0</v>
      </c>
      <c r="AH13" s="5">
        <v>3.0</v>
      </c>
      <c r="AI13" s="5">
        <v>3.0</v>
      </c>
      <c r="AJ13" s="5">
        <v>7.0</v>
      </c>
      <c r="AK13" s="5">
        <v>2.0</v>
      </c>
      <c r="AL13" s="5" t="s">
        <v>274</v>
      </c>
    </row>
    <row r="14">
      <c r="A14" s="8">
        <v>538.0</v>
      </c>
      <c r="B14" s="7">
        <v>45867.06180555555</v>
      </c>
      <c r="C14" s="5" t="s">
        <v>275</v>
      </c>
      <c r="D14" s="5" t="s">
        <v>258</v>
      </c>
      <c r="E14" s="5" t="s">
        <v>263</v>
      </c>
      <c r="F14" s="5">
        <v>5.0</v>
      </c>
      <c r="G14" s="5">
        <v>1.0</v>
      </c>
      <c r="H14" s="5" t="s">
        <v>199</v>
      </c>
      <c r="I14" s="5">
        <v>6.0</v>
      </c>
      <c r="J14" s="5">
        <v>7.0</v>
      </c>
      <c r="K14" s="5">
        <v>6.0</v>
      </c>
      <c r="L14" s="5">
        <v>1.0</v>
      </c>
      <c r="M14" s="5">
        <v>1.0</v>
      </c>
      <c r="N14" s="5">
        <v>7.0</v>
      </c>
      <c r="O14" s="5">
        <v>6.0</v>
      </c>
      <c r="P14" s="5">
        <v>7.0</v>
      </c>
      <c r="Q14" s="5">
        <v>2.0</v>
      </c>
      <c r="R14" s="5">
        <v>1.0</v>
      </c>
      <c r="S14" s="5">
        <v>7.0</v>
      </c>
      <c r="T14" s="5">
        <v>1.0</v>
      </c>
      <c r="U14" s="5" t="s">
        <v>276</v>
      </c>
      <c r="V14" s="5" t="s">
        <v>206</v>
      </c>
      <c r="W14" s="5">
        <v>7.0</v>
      </c>
      <c r="X14" s="5">
        <v>7.0</v>
      </c>
      <c r="Y14" s="5">
        <v>7.0</v>
      </c>
      <c r="Z14" s="5">
        <v>7.0</v>
      </c>
      <c r="AA14" s="5">
        <v>5.0</v>
      </c>
      <c r="AB14" s="5">
        <v>7.0</v>
      </c>
      <c r="AC14" s="5" t="s">
        <v>277</v>
      </c>
      <c r="AD14" s="5" t="s">
        <v>206</v>
      </c>
      <c r="AE14" s="5">
        <v>7.0</v>
      </c>
      <c r="AF14" s="5">
        <v>7.0</v>
      </c>
      <c r="AG14" s="5">
        <v>6.0</v>
      </c>
      <c r="AH14" s="5">
        <v>2.0</v>
      </c>
      <c r="AI14" s="5">
        <v>2.0</v>
      </c>
      <c r="AJ14" s="5">
        <v>7.0</v>
      </c>
      <c r="AK14" s="5">
        <v>2.0</v>
      </c>
      <c r="AL14" s="5" t="s">
        <v>278</v>
      </c>
    </row>
    <row r="15">
      <c r="A15" s="8">
        <v>1656.0</v>
      </c>
      <c r="B15" s="7">
        <v>45867.07361111111</v>
      </c>
      <c r="C15" s="5" t="s">
        <v>279</v>
      </c>
      <c r="D15" s="5" t="s">
        <v>258</v>
      </c>
      <c r="E15" s="5" t="s">
        <v>216</v>
      </c>
      <c r="F15" s="5">
        <v>7.0</v>
      </c>
      <c r="G15" s="5">
        <v>1.0</v>
      </c>
      <c r="H15" s="5" t="s">
        <v>199</v>
      </c>
      <c r="I15" s="5">
        <v>7.0</v>
      </c>
      <c r="J15" s="5">
        <v>7.0</v>
      </c>
      <c r="K15" s="5">
        <v>7.0</v>
      </c>
      <c r="L15" s="5">
        <v>1.0</v>
      </c>
      <c r="M15" s="5">
        <v>1.0</v>
      </c>
      <c r="N15" s="5">
        <v>7.0</v>
      </c>
      <c r="O15" s="5">
        <v>7.0</v>
      </c>
      <c r="P15" s="5">
        <v>7.0</v>
      </c>
      <c r="Q15" s="5">
        <v>1.0</v>
      </c>
      <c r="R15" s="5">
        <v>1.0</v>
      </c>
      <c r="S15" s="5">
        <v>7.0</v>
      </c>
      <c r="T15" s="5">
        <v>1.0</v>
      </c>
      <c r="U15" s="5" t="s">
        <v>280</v>
      </c>
      <c r="V15" s="5" t="s">
        <v>206</v>
      </c>
      <c r="W15" s="5">
        <v>7.0</v>
      </c>
      <c r="X15" s="5">
        <v>6.0</v>
      </c>
      <c r="Y15" s="5">
        <v>7.0</v>
      </c>
      <c r="Z15" s="5">
        <v>7.0</v>
      </c>
      <c r="AA15" s="5">
        <v>6.0</v>
      </c>
      <c r="AB15" s="5">
        <v>7.0</v>
      </c>
      <c r="AC15" s="5" t="s">
        <v>281</v>
      </c>
      <c r="AD15" s="5" t="s">
        <v>206</v>
      </c>
      <c r="AE15" s="5">
        <v>7.0</v>
      </c>
      <c r="AF15" s="5">
        <v>7.0</v>
      </c>
      <c r="AG15" s="5">
        <v>7.0</v>
      </c>
      <c r="AH15" s="5">
        <v>7.0</v>
      </c>
      <c r="AI15" s="5">
        <v>7.0</v>
      </c>
      <c r="AJ15" s="5">
        <v>1.0</v>
      </c>
      <c r="AK15" s="5">
        <v>7.0</v>
      </c>
      <c r="AL15" s="5" t="s">
        <v>282</v>
      </c>
    </row>
    <row r="16">
      <c r="A16" s="8">
        <v>797.0</v>
      </c>
      <c r="B16" s="7">
        <v>45867.095138888886</v>
      </c>
      <c r="C16" s="5" t="s">
        <v>283</v>
      </c>
      <c r="D16" s="5" t="s">
        <v>284</v>
      </c>
      <c r="E16" s="5" t="s">
        <v>263</v>
      </c>
      <c r="F16" s="5">
        <v>5.0</v>
      </c>
      <c r="G16" s="5">
        <v>6.0</v>
      </c>
      <c r="H16" s="5" t="s">
        <v>199</v>
      </c>
      <c r="I16" s="5">
        <v>6.0</v>
      </c>
      <c r="J16" s="5">
        <v>2.0</v>
      </c>
      <c r="K16" s="5">
        <v>2.0</v>
      </c>
      <c r="L16" s="5">
        <v>6.0</v>
      </c>
      <c r="M16" s="5">
        <v>3.0</v>
      </c>
      <c r="N16" s="5">
        <v>6.0</v>
      </c>
      <c r="O16" s="5">
        <v>6.0</v>
      </c>
      <c r="P16" s="5">
        <v>3.0</v>
      </c>
      <c r="Q16" s="5">
        <v>2.0</v>
      </c>
      <c r="R16" s="5">
        <v>6.0</v>
      </c>
      <c r="S16" s="5">
        <v>6.0</v>
      </c>
      <c r="T16" s="5">
        <v>5.0</v>
      </c>
      <c r="U16" s="5" t="s">
        <v>285</v>
      </c>
      <c r="V16" s="5" t="s">
        <v>206</v>
      </c>
      <c r="W16" s="5">
        <v>4.0</v>
      </c>
      <c r="X16" s="5">
        <v>6.0</v>
      </c>
      <c r="Y16" s="5">
        <v>6.0</v>
      </c>
      <c r="Z16" s="5">
        <v>6.0</v>
      </c>
      <c r="AA16" s="5">
        <v>5.0</v>
      </c>
      <c r="AB16" s="5">
        <v>2.0</v>
      </c>
      <c r="AC16" s="5" t="s">
        <v>286</v>
      </c>
      <c r="AD16" s="5" t="s">
        <v>206</v>
      </c>
      <c r="AE16" s="5">
        <v>6.0</v>
      </c>
      <c r="AF16" s="5">
        <v>3.0</v>
      </c>
      <c r="AG16" s="5">
        <v>6.0</v>
      </c>
      <c r="AH16" s="5">
        <v>1.0</v>
      </c>
      <c r="AI16" s="5">
        <v>2.0</v>
      </c>
      <c r="AJ16" s="5">
        <v>5.0</v>
      </c>
      <c r="AK16" s="5">
        <v>1.0</v>
      </c>
      <c r="AL16" s="5" t="s">
        <v>287</v>
      </c>
    </row>
    <row r="17">
      <c r="A17" s="8">
        <v>1356.0</v>
      </c>
      <c r="B17" s="7">
        <v>45867.09652777778</v>
      </c>
      <c r="C17" s="5" t="s">
        <v>288</v>
      </c>
      <c r="D17" s="5" t="s">
        <v>289</v>
      </c>
      <c r="E17" s="5" t="s">
        <v>216</v>
      </c>
      <c r="F17" s="5">
        <v>6.0</v>
      </c>
      <c r="G17" s="5">
        <v>5.0</v>
      </c>
      <c r="H17" s="5" t="s">
        <v>199</v>
      </c>
      <c r="I17" s="5">
        <v>6.0</v>
      </c>
      <c r="J17" s="5">
        <v>7.0</v>
      </c>
      <c r="K17" s="5">
        <v>6.0</v>
      </c>
      <c r="L17" s="5">
        <v>4.0</v>
      </c>
      <c r="M17" s="5">
        <v>6.0</v>
      </c>
      <c r="N17" s="5">
        <v>6.0</v>
      </c>
      <c r="O17" s="5">
        <v>6.0</v>
      </c>
      <c r="P17" s="5">
        <v>7.0</v>
      </c>
      <c r="Q17" s="5">
        <v>2.0</v>
      </c>
      <c r="R17" s="5">
        <v>2.0</v>
      </c>
      <c r="S17" s="5">
        <v>7.0</v>
      </c>
      <c r="T17" s="5">
        <v>4.0</v>
      </c>
      <c r="U17" s="5" t="s">
        <v>290</v>
      </c>
      <c r="V17" s="5" t="s">
        <v>206</v>
      </c>
      <c r="W17" s="5">
        <v>4.0</v>
      </c>
      <c r="X17" s="5">
        <v>5.0</v>
      </c>
      <c r="Y17" s="5">
        <v>6.0</v>
      </c>
      <c r="Z17" s="5">
        <v>5.0</v>
      </c>
      <c r="AA17" s="5">
        <v>6.0</v>
      </c>
      <c r="AB17" s="5">
        <v>6.0</v>
      </c>
      <c r="AC17" s="5" t="s">
        <v>291</v>
      </c>
      <c r="AD17" s="5" t="s">
        <v>206</v>
      </c>
      <c r="AE17" s="5">
        <v>6.0</v>
      </c>
      <c r="AF17" s="5">
        <v>7.0</v>
      </c>
      <c r="AG17" s="5">
        <v>7.0</v>
      </c>
      <c r="AH17" s="5">
        <v>1.0</v>
      </c>
      <c r="AI17" s="5">
        <v>1.0</v>
      </c>
      <c r="AJ17" s="5">
        <v>1.0</v>
      </c>
      <c r="AK17" s="5">
        <v>1.0</v>
      </c>
      <c r="AL17" s="5" t="s">
        <v>292</v>
      </c>
    </row>
    <row r="18">
      <c r="A18" s="8">
        <v>986.0</v>
      </c>
      <c r="B18" s="7">
        <v>45867.10902777778</v>
      </c>
      <c r="C18" s="5" t="s">
        <v>293</v>
      </c>
      <c r="D18" s="5" t="s">
        <v>284</v>
      </c>
      <c r="E18" s="5" t="s">
        <v>211</v>
      </c>
      <c r="F18" s="5">
        <v>3.0</v>
      </c>
      <c r="G18" s="5">
        <v>3.0</v>
      </c>
      <c r="H18" s="5" t="s">
        <v>199</v>
      </c>
      <c r="I18" s="5">
        <v>5.0</v>
      </c>
      <c r="J18" s="5">
        <v>5.0</v>
      </c>
      <c r="K18" s="5">
        <v>2.0</v>
      </c>
      <c r="L18" s="5">
        <v>3.0</v>
      </c>
      <c r="M18" s="5">
        <v>3.0</v>
      </c>
      <c r="N18" s="5">
        <v>6.0</v>
      </c>
      <c r="O18" s="5">
        <v>5.0</v>
      </c>
      <c r="P18" s="5">
        <v>6.0</v>
      </c>
      <c r="Q18" s="5">
        <v>2.0</v>
      </c>
      <c r="R18" s="5">
        <v>3.0</v>
      </c>
      <c r="S18" s="5">
        <v>6.0</v>
      </c>
      <c r="T18" s="5">
        <v>6.0</v>
      </c>
      <c r="U18" s="5" t="s">
        <v>294</v>
      </c>
      <c r="V18" s="5" t="s">
        <v>206</v>
      </c>
      <c r="W18" s="5">
        <v>3.0</v>
      </c>
      <c r="X18" s="5">
        <v>5.0</v>
      </c>
      <c r="Y18" s="5">
        <v>5.0</v>
      </c>
      <c r="Z18" s="5">
        <v>5.0</v>
      </c>
      <c r="AA18" s="5">
        <v>5.0</v>
      </c>
      <c r="AB18" s="5">
        <v>5.0</v>
      </c>
      <c r="AC18" s="5" t="s">
        <v>295</v>
      </c>
      <c r="AD18" s="5" t="s">
        <v>206</v>
      </c>
      <c r="AE18" s="5">
        <v>5.0</v>
      </c>
      <c r="AF18" s="5">
        <v>5.0</v>
      </c>
      <c r="AG18" s="5">
        <v>5.0</v>
      </c>
      <c r="AH18" s="5">
        <v>2.0</v>
      </c>
      <c r="AI18" s="5">
        <v>2.0</v>
      </c>
      <c r="AJ18" s="5">
        <v>2.0</v>
      </c>
      <c r="AK18" s="5">
        <v>1.0</v>
      </c>
      <c r="AL18" s="5" t="s">
        <v>296</v>
      </c>
    </row>
    <row r="19">
      <c r="A19" s="8">
        <v>401.0</v>
      </c>
      <c r="B19" s="7">
        <v>45867.11041666667</v>
      </c>
      <c r="C19" s="5" t="s">
        <v>297</v>
      </c>
      <c r="D19" s="5" t="s">
        <v>289</v>
      </c>
      <c r="E19" s="5" t="s">
        <v>197</v>
      </c>
      <c r="F19" s="5">
        <v>7.0</v>
      </c>
      <c r="G19" s="5">
        <v>6.0</v>
      </c>
      <c r="H19" s="5" t="s">
        <v>199</v>
      </c>
      <c r="I19" s="5">
        <v>6.0</v>
      </c>
      <c r="J19" s="5">
        <v>7.0</v>
      </c>
      <c r="K19" s="5">
        <v>5.0</v>
      </c>
      <c r="L19" s="5">
        <v>7.0</v>
      </c>
      <c r="M19" s="5">
        <v>7.0</v>
      </c>
      <c r="N19" s="5">
        <v>7.0</v>
      </c>
      <c r="O19" s="5">
        <v>6.0</v>
      </c>
      <c r="P19" s="5">
        <v>6.0</v>
      </c>
      <c r="Q19" s="5">
        <v>3.0</v>
      </c>
      <c r="R19" s="5">
        <v>4.0</v>
      </c>
      <c r="S19" s="5">
        <v>7.0</v>
      </c>
      <c r="T19" s="5">
        <v>6.0</v>
      </c>
      <c r="U19" s="5" t="s">
        <v>298</v>
      </c>
      <c r="V19" s="5" t="s">
        <v>206</v>
      </c>
      <c r="W19" s="5">
        <v>6.0</v>
      </c>
      <c r="X19" s="5">
        <v>6.0</v>
      </c>
      <c r="Y19" s="5">
        <v>7.0</v>
      </c>
      <c r="Z19" s="5">
        <v>7.0</v>
      </c>
      <c r="AA19" s="5">
        <v>7.0</v>
      </c>
      <c r="AB19" s="5">
        <v>5.0</v>
      </c>
      <c r="AC19" s="5" t="s">
        <v>299</v>
      </c>
      <c r="AD19" s="5" t="s">
        <v>206</v>
      </c>
      <c r="AE19" s="5">
        <v>6.0</v>
      </c>
      <c r="AF19" s="5">
        <v>5.0</v>
      </c>
      <c r="AG19" s="5">
        <v>7.0</v>
      </c>
      <c r="AH19" s="5">
        <v>2.0</v>
      </c>
      <c r="AI19" s="5">
        <v>1.0</v>
      </c>
      <c r="AJ19" s="5">
        <v>3.0</v>
      </c>
      <c r="AK19" s="5">
        <v>2.0</v>
      </c>
      <c r="AL19" s="5" t="s">
        <v>300</v>
      </c>
    </row>
    <row r="20">
      <c r="A20" s="8">
        <v>845.0</v>
      </c>
      <c r="B20" s="7">
        <v>45867.11944444444</v>
      </c>
      <c r="C20" s="5" t="s">
        <v>301</v>
      </c>
      <c r="D20" s="5" t="s">
        <v>284</v>
      </c>
      <c r="E20" s="5" t="s">
        <v>216</v>
      </c>
      <c r="F20" s="5">
        <v>3.0</v>
      </c>
      <c r="G20" s="5">
        <v>2.0</v>
      </c>
      <c r="H20" s="5" t="s">
        <v>199</v>
      </c>
      <c r="I20" s="5">
        <v>5.0</v>
      </c>
      <c r="J20" s="5">
        <v>3.0</v>
      </c>
      <c r="K20" s="5">
        <v>3.0</v>
      </c>
      <c r="L20" s="5">
        <v>3.0</v>
      </c>
      <c r="M20" s="5">
        <v>3.0</v>
      </c>
      <c r="N20" s="5">
        <v>6.0</v>
      </c>
      <c r="O20" s="5">
        <v>6.0</v>
      </c>
      <c r="P20" s="5">
        <v>6.0</v>
      </c>
      <c r="Q20" s="5">
        <v>2.0</v>
      </c>
      <c r="R20" s="5">
        <v>3.0</v>
      </c>
      <c r="S20" s="5">
        <v>6.0</v>
      </c>
      <c r="T20" s="5">
        <v>5.0</v>
      </c>
      <c r="U20" s="5" t="s">
        <v>302</v>
      </c>
      <c r="V20" s="5" t="s">
        <v>206</v>
      </c>
      <c r="W20" s="5">
        <v>5.0</v>
      </c>
      <c r="X20" s="5">
        <v>6.0</v>
      </c>
      <c r="Y20" s="5">
        <v>6.0</v>
      </c>
      <c r="Z20" s="5">
        <v>6.0</v>
      </c>
      <c r="AA20" s="5">
        <v>5.0</v>
      </c>
      <c r="AB20" s="5">
        <v>5.0</v>
      </c>
      <c r="AC20" s="5" t="s">
        <v>303</v>
      </c>
      <c r="AD20" s="5" t="s">
        <v>206</v>
      </c>
      <c r="AE20" s="5">
        <v>6.0</v>
      </c>
      <c r="AF20" s="5">
        <v>6.0</v>
      </c>
      <c r="AG20" s="5">
        <v>3.0</v>
      </c>
      <c r="AH20" s="5">
        <v>2.0</v>
      </c>
      <c r="AI20" s="5">
        <v>2.0</v>
      </c>
      <c r="AJ20" s="5">
        <v>2.0</v>
      </c>
      <c r="AK20" s="5">
        <v>1.0</v>
      </c>
      <c r="AL20" s="5" t="s">
        <v>304</v>
      </c>
    </row>
    <row r="21">
      <c r="A21" s="8">
        <v>341.0</v>
      </c>
      <c r="B21" s="7">
        <v>45867.12013888889</v>
      </c>
      <c r="C21" s="5" t="s">
        <v>305</v>
      </c>
      <c r="D21" s="5" t="s">
        <v>289</v>
      </c>
      <c r="E21" s="5" t="s">
        <v>263</v>
      </c>
      <c r="F21" s="5">
        <v>7.0</v>
      </c>
      <c r="G21" s="5">
        <v>5.0</v>
      </c>
      <c r="H21" s="5" t="s">
        <v>199</v>
      </c>
      <c r="I21" s="5">
        <v>7.0</v>
      </c>
      <c r="J21" s="5">
        <v>7.0</v>
      </c>
      <c r="K21" s="5">
        <v>7.0</v>
      </c>
      <c r="L21" s="5">
        <v>5.0</v>
      </c>
      <c r="M21" s="5">
        <v>7.0</v>
      </c>
      <c r="N21" s="5">
        <v>6.0</v>
      </c>
      <c r="O21" s="5">
        <v>6.0</v>
      </c>
      <c r="P21" s="5">
        <v>5.0</v>
      </c>
      <c r="Q21" s="5">
        <v>6.0</v>
      </c>
      <c r="R21" s="5">
        <v>4.0</v>
      </c>
      <c r="S21" s="5">
        <v>6.0</v>
      </c>
      <c r="T21" s="5">
        <v>2.0</v>
      </c>
      <c r="U21" s="5" t="s">
        <v>306</v>
      </c>
      <c r="V21" s="5" t="s">
        <v>206</v>
      </c>
      <c r="W21" s="5">
        <v>6.0</v>
      </c>
      <c r="X21" s="5">
        <v>7.0</v>
      </c>
      <c r="Y21" s="5">
        <v>7.0</v>
      </c>
      <c r="Z21" s="5">
        <v>7.0</v>
      </c>
      <c r="AA21" s="5">
        <v>7.0</v>
      </c>
      <c r="AB21" s="5">
        <v>6.0</v>
      </c>
      <c r="AC21" s="5" t="s">
        <v>307</v>
      </c>
      <c r="AD21" s="5" t="s">
        <v>206</v>
      </c>
      <c r="AE21" s="5">
        <v>7.0</v>
      </c>
      <c r="AF21" s="5">
        <v>6.0</v>
      </c>
      <c r="AG21" s="5">
        <v>7.0</v>
      </c>
      <c r="AH21" s="5">
        <v>2.0</v>
      </c>
      <c r="AI21" s="5">
        <v>1.0</v>
      </c>
      <c r="AJ21" s="5">
        <v>1.0</v>
      </c>
      <c r="AK21" s="5">
        <v>1.0</v>
      </c>
      <c r="AL21" s="5" t="s">
        <v>308</v>
      </c>
    </row>
    <row r="22">
      <c r="A22" s="8">
        <v>465.0</v>
      </c>
      <c r="B22" s="7">
        <v>45867.12847222222</v>
      </c>
      <c r="C22" s="5" t="s">
        <v>309</v>
      </c>
      <c r="D22" s="5" t="s">
        <v>289</v>
      </c>
      <c r="E22" s="5" t="s">
        <v>216</v>
      </c>
      <c r="F22" s="5">
        <v>7.0</v>
      </c>
      <c r="G22" s="5">
        <v>6.0</v>
      </c>
      <c r="H22" s="5" t="s">
        <v>199</v>
      </c>
      <c r="I22" s="5">
        <v>7.0</v>
      </c>
      <c r="J22" s="5">
        <v>7.0</v>
      </c>
      <c r="K22" s="5">
        <v>6.0</v>
      </c>
      <c r="L22" s="5">
        <v>7.0</v>
      </c>
      <c r="M22" s="5">
        <v>7.0</v>
      </c>
      <c r="N22" s="5">
        <v>7.0</v>
      </c>
      <c r="O22" s="5">
        <v>7.0</v>
      </c>
      <c r="P22" s="5">
        <v>7.0</v>
      </c>
      <c r="Q22" s="5">
        <v>6.0</v>
      </c>
      <c r="R22" s="5">
        <v>4.0</v>
      </c>
      <c r="S22" s="5">
        <v>7.0</v>
      </c>
      <c r="T22" s="5">
        <v>6.0</v>
      </c>
      <c r="U22" s="5" t="s">
        <v>310</v>
      </c>
      <c r="V22" s="5" t="s">
        <v>206</v>
      </c>
      <c r="W22" s="5">
        <v>7.0</v>
      </c>
      <c r="X22" s="5">
        <v>6.0</v>
      </c>
      <c r="Y22" s="5">
        <v>6.0</v>
      </c>
      <c r="Z22" s="5">
        <v>6.0</v>
      </c>
      <c r="AA22" s="5">
        <v>7.0</v>
      </c>
      <c r="AB22" s="5">
        <v>6.0</v>
      </c>
      <c r="AC22" s="5" t="s">
        <v>311</v>
      </c>
      <c r="AD22" s="5" t="s">
        <v>206</v>
      </c>
      <c r="AE22" s="5">
        <v>6.0</v>
      </c>
      <c r="AF22" s="5">
        <v>7.0</v>
      </c>
      <c r="AG22" s="5">
        <v>7.0</v>
      </c>
      <c r="AH22" s="5">
        <v>1.0</v>
      </c>
      <c r="AI22" s="5">
        <v>1.0</v>
      </c>
      <c r="AJ22" s="5">
        <v>1.0</v>
      </c>
      <c r="AK22" s="5">
        <v>1.0</v>
      </c>
      <c r="AL22" s="5" t="s">
        <v>312</v>
      </c>
    </row>
    <row r="23">
      <c r="A23" s="8">
        <v>559.0</v>
      </c>
      <c r="B23" s="7">
        <v>45867.131944444445</v>
      </c>
      <c r="C23" s="5" t="s">
        <v>313</v>
      </c>
      <c r="D23" s="5" t="s">
        <v>284</v>
      </c>
      <c r="E23" s="5" t="s">
        <v>197</v>
      </c>
      <c r="F23" s="5">
        <v>6.0</v>
      </c>
      <c r="G23" s="6">
        <v>4.0</v>
      </c>
      <c r="H23" s="5" t="s">
        <v>199</v>
      </c>
      <c r="I23" s="5">
        <v>5.0</v>
      </c>
      <c r="J23" s="5">
        <v>6.0</v>
      </c>
      <c r="K23" s="5">
        <v>2.0</v>
      </c>
      <c r="L23" s="5">
        <v>3.0</v>
      </c>
      <c r="M23" s="5">
        <v>2.0</v>
      </c>
      <c r="N23" s="5">
        <v>6.0</v>
      </c>
      <c r="O23" s="5">
        <v>6.0</v>
      </c>
      <c r="P23" s="5">
        <v>6.0</v>
      </c>
      <c r="Q23" s="5">
        <v>2.0</v>
      </c>
      <c r="R23" s="5">
        <v>2.0</v>
      </c>
      <c r="S23" s="5">
        <v>2.0</v>
      </c>
      <c r="T23" s="5">
        <v>5.0</v>
      </c>
      <c r="U23" s="5" t="s">
        <v>314</v>
      </c>
      <c r="V23" s="5" t="s">
        <v>206</v>
      </c>
      <c r="W23" s="5">
        <v>6.0</v>
      </c>
      <c r="X23" s="5">
        <v>6.0</v>
      </c>
      <c r="Y23" s="5">
        <v>6.0</v>
      </c>
      <c r="Z23" s="5">
        <v>6.0</v>
      </c>
      <c r="AA23" s="5">
        <v>6.0</v>
      </c>
      <c r="AB23" s="5">
        <v>5.0</v>
      </c>
      <c r="AC23" s="5" t="s">
        <v>315</v>
      </c>
      <c r="AD23" s="5" t="s">
        <v>206</v>
      </c>
      <c r="AE23" s="5">
        <v>6.0</v>
      </c>
      <c r="AF23" s="5">
        <v>6.0</v>
      </c>
      <c r="AG23" s="5">
        <v>5.0</v>
      </c>
      <c r="AH23" s="5">
        <v>2.0</v>
      </c>
      <c r="AI23" s="5">
        <v>4.0</v>
      </c>
      <c r="AJ23" s="5">
        <v>5.0</v>
      </c>
      <c r="AK23" s="5">
        <v>2.0</v>
      </c>
      <c r="AL23" s="5" t="s">
        <v>316</v>
      </c>
    </row>
    <row r="24">
      <c r="A24" s="8">
        <v>845.0</v>
      </c>
      <c r="B24" s="7">
        <v>45867.2125</v>
      </c>
      <c r="C24" s="5" t="s">
        <v>317</v>
      </c>
      <c r="D24" s="5" t="s">
        <v>318</v>
      </c>
      <c r="E24" s="5" t="s">
        <v>197</v>
      </c>
      <c r="F24" s="5">
        <v>3.0</v>
      </c>
      <c r="G24" s="5">
        <v>2.0</v>
      </c>
      <c r="H24" s="5" t="s">
        <v>199</v>
      </c>
      <c r="I24" s="5">
        <v>3.0</v>
      </c>
      <c r="J24" s="5">
        <v>5.0</v>
      </c>
      <c r="K24" s="5">
        <v>3.0</v>
      </c>
      <c r="L24" s="5">
        <v>4.0</v>
      </c>
      <c r="M24" s="5">
        <v>3.0</v>
      </c>
      <c r="N24" s="5">
        <v>5.0</v>
      </c>
      <c r="O24" s="5">
        <v>6.0</v>
      </c>
      <c r="P24" s="5">
        <v>4.0</v>
      </c>
      <c r="Q24" s="5">
        <v>2.0</v>
      </c>
      <c r="R24" s="5">
        <v>1.0</v>
      </c>
      <c r="S24" s="5">
        <v>4.0</v>
      </c>
      <c r="T24" s="5">
        <v>6.0</v>
      </c>
      <c r="U24" s="5" t="s">
        <v>319</v>
      </c>
      <c r="V24" s="5" t="s">
        <v>206</v>
      </c>
      <c r="W24" s="5">
        <v>3.0</v>
      </c>
      <c r="X24" s="5">
        <v>5.0</v>
      </c>
      <c r="Y24" s="5">
        <v>5.0</v>
      </c>
      <c r="Z24" s="5">
        <v>6.0</v>
      </c>
      <c r="AA24" s="5">
        <v>5.0</v>
      </c>
      <c r="AB24" s="5">
        <v>6.0</v>
      </c>
      <c r="AC24" s="5" t="s">
        <v>320</v>
      </c>
      <c r="AD24" s="5" t="s">
        <v>206</v>
      </c>
      <c r="AE24" s="5">
        <v>5.0</v>
      </c>
      <c r="AF24" s="5">
        <v>6.0</v>
      </c>
      <c r="AG24" s="5">
        <v>6.0</v>
      </c>
      <c r="AH24" s="5">
        <v>1.0</v>
      </c>
      <c r="AI24" s="5">
        <v>1.0</v>
      </c>
      <c r="AJ24" s="5">
        <v>1.0</v>
      </c>
      <c r="AK24" s="5">
        <v>1.0</v>
      </c>
      <c r="AL24" s="5" t="s">
        <v>321</v>
      </c>
    </row>
    <row r="25">
      <c r="A25" s="8">
        <v>353.0</v>
      </c>
      <c r="B25" s="7">
        <v>45867.22222222222</v>
      </c>
      <c r="C25" s="5" t="s">
        <v>322</v>
      </c>
      <c r="D25" s="5" t="s">
        <v>318</v>
      </c>
      <c r="E25" s="5" t="s">
        <v>211</v>
      </c>
      <c r="F25" s="5">
        <v>5.0</v>
      </c>
      <c r="G25" s="5">
        <v>4.0</v>
      </c>
      <c r="H25" s="5" t="s">
        <v>199</v>
      </c>
      <c r="I25" s="5">
        <v>6.0</v>
      </c>
      <c r="J25" s="5">
        <v>5.0</v>
      </c>
      <c r="K25" s="5">
        <v>3.0</v>
      </c>
      <c r="L25" s="5">
        <v>4.0</v>
      </c>
      <c r="M25" s="5">
        <v>4.0</v>
      </c>
      <c r="N25" s="5">
        <v>6.0</v>
      </c>
      <c r="O25" s="5">
        <v>6.0</v>
      </c>
      <c r="P25" s="5">
        <v>6.0</v>
      </c>
      <c r="Q25" s="5">
        <v>2.0</v>
      </c>
      <c r="R25" s="5">
        <v>3.0</v>
      </c>
      <c r="S25" s="5">
        <v>4.0</v>
      </c>
      <c r="T25" s="5">
        <v>5.0</v>
      </c>
      <c r="U25" s="5" t="s">
        <v>323</v>
      </c>
      <c r="V25" s="5" t="s">
        <v>206</v>
      </c>
      <c r="W25" s="5">
        <v>6.0</v>
      </c>
      <c r="X25" s="5">
        <v>6.0</v>
      </c>
      <c r="Y25" s="5">
        <v>6.0</v>
      </c>
      <c r="Z25" s="5">
        <v>7.0</v>
      </c>
      <c r="AA25" s="5">
        <v>7.0</v>
      </c>
      <c r="AB25" s="5">
        <v>6.0</v>
      </c>
      <c r="AC25" s="5" t="s">
        <v>324</v>
      </c>
      <c r="AD25" s="5" t="s">
        <v>206</v>
      </c>
      <c r="AE25" s="5">
        <v>6.0</v>
      </c>
      <c r="AF25" s="5">
        <v>6.0</v>
      </c>
      <c r="AG25" s="5">
        <v>6.0</v>
      </c>
      <c r="AH25" s="5">
        <v>1.0</v>
      </c>
      <c r="AI25" s="5">
        <v>1.0</v>
      </c>
      <c r="AJ25" s="5">
        <v>1.0</v>
      </c>
      <c r="AK25" s="5">
        <v>1.0</v>
      </c>
      <c r="AL25" s="5" t="s">
        <v>325</v>
      </c>
    </row>
    <row r="26">
      <c r="A26" s="8">
        <v>560.0</v>
      </c>
      <c r="B26" s="7">
        <v>45867.23125</v>
      </c>
      <c r="C26" s="5" t="s">
        <v>326</v>
      </c>
      <c r="D26" s="5" t="s">
        <v>318</v>
      </c>
      <c r="E26" s="5" t="s">
        <v>216</v>
      </c>
      <c r="F26" s="5">
        <v>4.0</v>
      </c>
      <c r="G26" s="5">
        <v>3.0</v>
      </c>
      <c r="H26" s="5" t="s">
        <v>199</v>
      </c>
      <c r="I26" s="5">
        <v>6.0</v>
      </c>
      <c r="J26" s="5">
        <v>6.0</v>
      </c>
      <c r="K26" s="5">
        <v>3.0</v>
      </c>
      <c r="L26" s="5">
        <v>3.0</v>
      </c>
      <c r="M26" s="5">
        <v>5.0</v>
      </c>
      <c r="N26" s="5">
        <v>6.0</v>
      </c>
      <c r="O26" s="5">
        <v>6.0</v>
      </c>
      <c r="P26" s="5">
        <v>5.0</v>
      </c>
      <c r="Q26" s="5">
        <v>3.0</v>
      </c>
      <c r="R26" s="5">
        <v>4.0</v>
      </c>
      <c r="S26" s="5">
        <v>3.0</v>
      </c>
      <c r="T26" s="5">
        <v>5.0</v>
      </c>
      <c r="U26" s="5" t="s">
        <v>327</v>
      </c>
      <c r="V26" s="5" t="s">
        <v>206</v>
      </c>
      <c r="W26" s="5">
        <v>6.0</v>
      </c>
      <c r="X26" s="5">
        <v>7.0</v>
      </c>
      <c r="Y26" s="5">
        <v>6.0</v>
      </c>
      <c r="Z26" s="5">
        <v>7.0</v>
      </c>
      <c r="AA26" s="5">
        <v>7.0</v>
      </c>
      <c r="AB26" s="5">
        <v>7.0</v>
      </c>
      <c r="AC26" s="5" t="s">
        <v>328</v>
      </c>
      <c r="AD26" s="5" t="s">
        <v>206</v>
      </c>
      <c r="AE26" s="5">
        <v>6.0</v>
      </c>
      <c r="AF26" s="5">
        <v>7.0</v>
      </c>
      <c r="AG26" s="5">
        <v>5.0</v>
      </c>
      <c r="AH26" s="5">
        <v>1.0</v>
      </c>
      <c r="AI26" s="5">
        <v>1.0</v>
      </c>
      <c r="AJ26" s="5">
        <v>1.0</v>
      </c>
      <c r="AK26" s="5">
        <v>1.0</v>
      </c>
      <c r="AL26" s="5" t="s">
        <v>329</v>
      </c>
    </row>
    <row r="27">
      <c r="A27" s="8">
        <v>990.0</v>
      </c>
      <c r="B27" s="7">
        <v>45867.240277777775</v>
      </c>
      <c r="C27" s="5" t="s">
        <v>330</v>
      </c>
      <c r="D27" s="5" t="s">
        <v>331</v>
      </c>
      <c r="E27" s="5" t="s">
        <v>197</v>
      </c>
      <c r="F27" s="5">
        <v>6.0</v>
      </c>
      <c r="G27" s="5">
        <v>6.0</v>
      </c>
      <c r="H27" s="5" t="s">
        <v>199</v>
      </c>
      <c r="I27" s="5">
        <v>6.0</v>
      </c>
      <c r="J27" s="5">
        <v>7.0</v>
      </c>
      <c r="K27" s="5">
        <v>5.0</v>
      </c>
      <c r="L27" s="5">
        <v>6.0</v>
      </c>
      <c r="M27" s="5">
        <v>6.0</v>
      </c>
      <c r="N27" s="5">
        <v>5.0</v>
      </c>
      <c r="O27" s="5">
        <v>5.0</v>
      </c>
      <c r="P27" s="5">
        <v>7.0</v>
      </c>
      <c r="Q27" s="5">
        <v>3.0</v>
      </c>
      <c r="R27" s="5">
        <v>5.0</v>
      </c>
      <c r="S27" s="5">
        <v>7.0</v>
      </c>
      <c r="T27" s="5">
        <v>2.0</v>
      </c>
      <c r="U27" s="5" t="s">
        <v>332</v>
      </c>
      <c r="V27" s="5" t="s">
        <v>206</v>
      </c>
      <c r="W27" s="5">
        <v>5.0</v>
      </c>
      <c r="X27" s="5">
        <v>7.0</v>
      </c>
      <c r="Y27" s="5">
        <v>7.0</v>
      </c>
      <c r="Z27" s="5">
        <v>7.0</v>
      </c>
      <c r="AA27" s="5">
        <v>7.0</v>
      </c>
      <c r="AB27" s="5">
        <v>4.0</v>
      </c>
      <c r="AC27" s="5" t="s">
        <v>333</v>
      </c>
      <c r="AD27" s="5" t="s">
        <v>206</v>
      </c>
      <c r="AE27" s="5">
        <v>7.0</v>
      </c>
      <c r="AF27" s="5">
        <v>6.0</v>
      </c>
      <c r="AG27" s="5">
        <v>7.0</v>
      </c>
      <c r="AH27" s="5">
        <v>2.0</v>
      </c>
      <c r="AI27" s="5">
        <v>1.0</v>
      </c>
      <c r="AJ27" s="5">
        <v>2.0</v>
      </c>
      <c r="AK27" s="5">
        <v>1.0</v>
      </c>
      <c r="AL27" s="5" t="s">
        <v>334</v>
      </c>
    </row>
    <row r="28">
      <c r="A28" s="8">
        <v>934.0</v>
      </c>
      <c r="B28" s="7">
        <v>45867.25208333333</v>
      </c>
      <c r="C28" s="5" t="s">
        <v>335</v>
      </c>
      <c r="D28" s="5" t="s">
        <v>331</v>
      </c>
      <c r="E28" s="5" t="s">
        <v>211</v>
      </c>
      <c r="F28" s="5">
        <v>5.0</v>
      </c>
      <c r="G28" s="5">
        <v>6.0</v>
      </c>
      <c r="H28" s="5" t="s">
        <v>199</v>
      </c>
      <c r="I28" s="5">
        <v>6.0</v>
      </c>
      <c r="J28" s="5">
        <v>6.0</v>
      </c>
      <c r="K28" s="5">
        <v>6.0</v>
      </c>
      <c r="L28" s="5">
        <v>6.0</v>
      </c>
      <c r="M28" s="5">
        <v>7.0</v>
      </c>
      <c r="N28" s="5">
        <v>6.0</v>
      </c>
      <c r="O28" s="5">
        <v>5.0</v>
      </c>
      <c r="P28" s="5">
        <v>7.0</v>
      </c>
      <c r="Q28" s="5">
        <v>6.0</v>
      </c>
      <c r="R28" s="5">
        <v>3.0</v>
      </c>
      <c r="S28" s="5">
        <v>6.0</v>
      </c>
      <c r="T28" s="5">
        <v>2.0</v>
      </c>
      <c r="U28" s="5" t="s">
        <v>336</v>
      </c>
      <c r="V28" s="5" t="s">
        <v>206</v>
      </c>
      <c r="W28" s="5">
        <v>6.0</v>
      </c>
      <c r="X28" s="5">
        <v>6.0</v>
      </c>
      <c r="Y28" s="5">
        <v>7.0</v>
      </c>
      <c r="Z28" s="5">
        <v>7.0</v>
      </c>
      <c r="AA28" s="5">
        <v>6.0</v>
      </c>
      <c r="AB28" s="5">
        <v>3.0</v>
      </c>
      <c r="AC28" s="5" t="s">
        <v>337</v>
      </c>
      <c r="AD28" s="5" t="s">
        <v>206</v>
      </c>
      <c r="AE28" s="5">
        <v>7.0</v>
      </c>
      <c r="AF28" s="5">
        <v>7.0</v>
      </c>
      <c r="AG28" s="5">
        <v>7.0</v>
      </c>
      <c r="AH28" s="5">
        <v>1.0</v>
      </c>
      <c r="AI28" s="5">
        <v>1.0</v>
      </c>
      <c r="AJ28" s="5">
        <v>1.0</v>
      </c>
      <c r="AK28" s="5">
        <v>1.0</v>
      </c>
      <c r="AL28" s="5" t="s">
        <v>338</v>
      </c>
    </row>
    <row r="29">
      <c r="A29" s="8">
        <v>468.0</v>
      </c>
      <c r="B29" s="7">
        <v>45867.25486111111</v>
      </c>
      <c r="C29" s="5" t="s">
        <v>339</v>
      </c>
      <c r="D29" s="5" t="s">
        <v>318</v>
      </c>
      <c r="E29" s="5" t="s">
        <v>263</v>
      </c>
      <c r="F29" s="5">
        <v>5.0</v>
      </c>
      <c r="G29" s="5">
        <v>4.0</v>
      </c>
      <c r="H29" s="5" t="s">
        <v>199</v>
      </c>
      <c r="I29" s="5">
        <v>5.0</v>
      </c>
      <c r="J29" s="5">
        <v>6.0</v>
      </c>
      <c r="K29" s="5">
        <v>4.0</v>
      </c>
      <c r="L29" s="5">
        <v>2.0</v>
      </c>
      <c r="M29" s="5">
        <v>4.0</v>
      </c>
      <c r="N29" s="5">
        <v>6.0</v>
      </c>
      <c r="O29" s="5">
        <v>6.0</v>
      </c>
      <c r="P29" s="5">
        <v>5.0</v>
      </c>
      <c r="Q29" s="5">
        <v>4.0</v>
      </c>
      <c r="R29" s="5">
        <v>3.0</v>
      </c>
      <c r="S29" s="5">
        <v>5.0</v>
      </c>
      <c r="T29" s="5">
        <v>5.0</v>
      </c>
      <c r="U29" s="5" t="s">
        <v>340</v>
      </c>
      <c r="V29" s="5" t="s">
        <v>206</v>
      </c>
      <c r="W29" s="5">
        <v>5.0</v>
      </c>
      <c r="X29" s="5">
        <v>7.0</v>
      </c>
      <c r="Y29" s="5">
        <v>6.0</v>
      </c>
      <c r="Z29" s="5">
        <v>7.0</v>
      </c>
      <c r="AA29" s="5">
        <v>7.0</v>
      </c>
      <c r="AB29" s="5">
        <v>7.0</v>
      </c>
      <c r="AC29" s="5" t="s">
        <v>341</v>
      </c>
      <c r="AD29" s="5" t="s">
        <v>206</v>
      </c>
      <c r="AE29" s="5">
        <v>6.0</v>
      </c>
      <c r="AF29" s="5">
        <v>3.0</v>
      </c>
      <c r="AG29" s="5">
        <v>5.0</v>
      </c>
      <c r="AH29" s="5">
        <v>4.0</v>
      </c>
      <c r="AI29" s="5">
        <v>1.0</v>
      </c>
      <c r="AJ29" s="5">
        <v>5.0</v>
      </c>
      <c r="AK29" s="5">
        <v>3.0</v>
      </c>
      <c r="AL29" s="5" t="s">
        <v>342</v>
      </c>
    </row>
    <row r="30">
      <c r="A30" s="8">
        <v>4924.0</v>
      </c>
      <c r="B30" s="7">
        <v>45867.26388888889</v>
      </c>
      <c r="C30" s="5" t="s">
        <v>343</v>
      </c>
      <c r="D30" s="5" t="s">
        <v>331</v>
      </c>
      <c r="E30" s="5" t="s">
        <v>216</v>
      </c>
      <c r="F30" s="5">
        <v>6.0</v>
      </c>
      <c r="G30" s="5">
        <v>6.0</v>
      </c>
      <c r="H30" s="5" t="s">
        <v>199</v>
      </c>
      <c r="I30" s="5">
        <v>6.0</v>
      </c>
      <c r="J30" s="5">
        <v>7.0</v>
      </c>
      <c r="K30" s="5">
        <v>6.0</v>
      </c>
      <c r="L30" s="5">
        <v>6.0</v>
      </c>
      <c r="M30" s="5">
        <v>6.0</v>
      </c>
      <c r="N30" s="5">
        <v>6.0</v>
      </c>
      <c r="O30" s="5">
        <v>5.0</v>
      </c>
      <c r="P30" s="5">
        <v>6.0</v>
      </c>
      <c r="Q30" s="5">
        <v>6.0</v>
      </c>
      <c r="R30" s="5">
        <v>3.0</v>
      </c>
      <c r="S30" s="5">
        <v>6.0</v>
      </c>
      <c r="T30" s="5">
        <v>5.0</v>
      </c>
      <c r="U30" s="5" t="s">
        <v>344</v>
      </c>
      <c r="V30" s="5" t="s">
        <v>206</v>
      </c>
      <c r="W30" s="5">
        <v>6.0</v>
      </c>
      <c r="X30" s="5">
        <v>6.0</v>
      </c>
      <c r="Y30" s="5">
        <v>6.0</v>
      </c>
      <c r="Z30" s="5">
        <v>6.0</v>
      </c>
      <c r="AA30" s="5">
        <v>6.0</v>
      </c>
      <c r="AB30" s="5">
        <v>6.0</v>
      </c>
      <c r="AC30" s="5" t="s">
        <v>345</v>
      </c>
      <c r="AD30" s="5" t="s">
        <v>206</v>
      </c>
      <c r="AE30" s="5">
        <v>6.0</v>
      </c>
      <c r="AF30" s="5">
        <v>7.0</v>
      </c>
      <c r="AG30" s="5">
        <v>6.0</v>
      </c>
      <c r="AH30" s="5">
        <v>1.0</v>
      </c>
      <c r="AI30" s="5">
        <v>1.0</v>
      </c>
      <c r="AJ30" s="5">
        <v>1.0</v>
      </c>
      <c r="AK30" s="5">
        <v>1.0</v>
      </c>
      <c r="AL30" s="5" t="s">
        <v>346</v>
      </c>
    </row>
    <row r="31">
      <c r="A31" s="8">
        <v>764.0</v>
      </c>
      <c r="B31" s="7">
        <v>45867.27569444444</v>
      </c>
      <c r="C31" s="5" t="s">
        <v>348</v>
      </c>
      <c r="D31" s="5" t="s">
        <v>331</v>
      </c>
      <c r="E31" s="5" t="s">
        <v>263</v>
      </c>
      <c r="F31" s="5">
        <v>7.0</v>
      </c>
      <c r="G31" s="5">
        <v>6.0</v>
      </c>
      <c r="H31" s="5" t="s">
        <v>199</v>
      </c>
      <c r="I31" s="5">
        <v>6.0</v>
      </c>
      <c r="J31" s="5">
        <v>6.0</v>
      </c>
      <c r="K31" s="5">
        <v>7.0</v>
      </c>
      <c r="L31" s="5">
        <v>6.0</v>
      </c>
      <c r="M31" s="5">
        <v>7.0</v>
      </c>
      <c r="N31" s="5">
        <v>6.0</v>
      </c>
      <c r="O31" s="5">
        <v>6.0</v>
      </c>
      <c r="P31" s="5">
        <v>5.0</v>
      </c>
      <c r="Q31" s="5">
        <v>6.0</v>
      </c>
      <c r="R31" s="5">
        <v>2.0</v>
      </c>
      <c r="S31" s="5">
        <v>6.0</v>
      </c>
      <c r="T31" s="5">
        <v>2.0</v>
      </c>
      <c r="U31" s="5" t="s">
        <v>349</v>
      </c>
      <c r="V31" s="5" t="s">
        <v>206</v>
      </c>
      <c r="W31" s="5">
        <v>5.0</v>
      </c>
      <c r="X31" s="5">
        <v>7.0</v>
      </c>
      <c r="Y31" s="5">
        <v>6.0</v>
      </c>
      <c r="Z31" s="5">
        <v>5.0</v>
      </c>
      <c r="AA31" s="5">
        <v>6.0</v>
      </c>
      <c r="AB31" s="5">
        <v>6.0</v>
      </c>
      <c r="AC31" s="5" t="s">
        <v>350</v>
      </c>
      <c r="AD31" s="5" t="s">
        <v>206</v>
      </c>
      <c r="AE31" s="5">
        <v>6.0</v>
      </c>
      <c r="AF31" s="5">
        <v>7.0</v>
      </c>
      <c r="AG31" s="5">
        <v>7.0</v>
      </c>
      <c r="AH31" s="5">
        <v>2.0</v>
      </c>
      <c r="AI31" s="5">
        <v>3.0</v>
      </c>
      <c r="AJ31" s="5">
        <v>2.0</v>
      </c>
      <c r="AK31" s="5">
        <v>1.0</v>
      </c>
      <c r="AL31" s="5" t="s">
        <v>351</v>
      </c>
    </row>
    <row r="32">
      <c r="A32" s="8">
        <v>1145.0</v>
      </c>
      <c r="B32" s="7">
        <v>45867.282638888886</v>
      </c>
      <c r="C32" s="5" t="s">
        <v>352</v>
      </c>
      <c r="D32" s="5" t="s">
        <v>353</v>
      </c>
      <c r="E32" s="5" t="s">
        <v>197</v>
      </c>
      <c r="F32" s="5">
        <v>2.0</v>
      </c>
      <c r="G32" s="5">
        <v>1.0</v>
      </c>
      <c r="H32" s="5" t="s">
        <v>199</v>
      </c>
      <c r="I32" s="5">
        <v>2.0</v>
      </c>
      <c r="J32" s="5">
        <v>5.0</v>
      </c>
      <c r="K32" s="5">
        <v>1.0</v>
      </c>
      <c r="L32" s="5">
        <v>4.0</v>
      </c>
      <c r="M32" s="5">
        <v>3.0</v>
      </c>
      <c r="N32" s="5">
        <v>2.0</v>
      </c>
      <c r="O32" s="5">
        <v>4.0</v>
      </c>
      <c r="P32" s="5">
        <v>3.0</v>
      </c>
      <c r="Q32" s="5">
        <v>1.0</v>
      </c>
      <c r="R32" s="5">
        <v>1.0</v>
      </c>
      <c r="S32" s="5">
        <v>3.0</v>
      </c>
      <c r="T32" s="5">
        <v>7.0</v>
      </c>
      <c r="U32" s="5" t="s">
        <v>354</v>
      </c>
      <c r="V32" s="5" t="s">
        <v>206</v>
      </c>
      <c r="W32" s="5">
        <v>4.0</v>
      </c>
      <c r="X32" s="5">
        <v>3.0</v>
      </c>
      <c r="Y32" s="5">
        <v>5.0</v>
      </c>
      <c r="Z32" s="5">
        <v>5.0</v>
      </c>
      <c r="AA32" s="5">
        <v>4.0</v>
      </c>
      <c r="AB32" s="5">
        <v>7.0</v>
      </c>
      <c r="AC32" s="5" t="s">
        <v>355</v>
      </c>
      <c r="AD32" s="5" t="s">
        <v>206</v>
      </c>
      <c r="AE32" s="5">
        <v>4.0</v>
      </c>
      <c r="AF32" s="5">
        <v>5.0</v>
      </c>
      <c r="AG32" s="5">
        <v>5.0</v>
      </c>
      <c r="AH32" s="5">
        <v>3.0</v>
      </c>
      <c r="AI32" s="5">
        <v>2.0</v>
      </c>
      <c r="AJ32" s="5">
        <v>5.0</v>
      </c>
      <c r="AK32" s="5">
        <v>1.0</v>
      </c>
      <c r="AL32" s="5" t="s">
        <v>356</v>
      </c>
    </row>
    <row r="33">
      <c r="A33" s="8">
        <v>418.0</v>
      </c>
      <c r="B33" s="7">
        <v>45867.29375</v>
      </c>
      <c r="C33" s="5" t="s">
        <v>357</v>
      </c>
      <c r="D33" s="5" t="s">
        <v>353</v>
      </c>
      <c r="E33" s="5" t="s">
        <v>263</v>
      </c>
      <c r="F33" s="5">
        <v>2.0</v>
      </c>
      <c r="G33" s="5">
        <v>4.0</v>
      </c>
      <c r="H33" s="5" t="s">
        <v>199</v>
      </c>
      <c r="I33" s="5">
        <v>3.0</v>
      </c>
      <c r="J33" s="5">
        <v>1.0</v>
      </c>
      <c r="K33" s="5">
        <v>1.0</v>
      </c>
      <c r="L33" s="5">
        <v>3.0</v>
      </c>
      <c r="M33" s="5">
        <v>3.0</v>
      </c>
      <c r="N33" s="5">
        <v>6.0</v>
      </c>
      <c r="O33" s="5">
        <v>6.0</v>
      </c>
      <c r="P33" s="5">
        <v>6.0</v>
      </c>
      <c r="Q33" s="5">
        <v>2.0</v>
      </c>
      <c r="R33" s="5">
        <v>1.0</v>
      </c>
      <c r="S33" s="5">
        <v>2.0</v>
      </c>
      <c r="T33" s="5">
        <v>7.0</v>
      </c>
      <c r="U33" s="11" t="s">
        <v>358</v>
      </c>
      <c r="V33" s="5" t="s">
        <v>206</v>
      </c>
      <c r="W33" s="5">
        <v>4.0</v>
      </c>
      <c r="X33" s="5">
        <v>5.0</v>
      </c>
      <c r="Y33" s="5">
        <v>6.0</v>
      </c>
      <c r="Z33" s="5">
        <v>3.0</v>
      </c>
      <c r="AA33" s="5">
        <v>7.0</v>
      </c>
      <c r="AB33" s="5">
        <v>5.0</v>
      </c>
      <c r="AC33" s="5" t="s">
        <v>359</v>
      </c>
      <c r="AD33" s="5" t="s">
        <v>206</v>
      </c>
      <c r="AE33" s="5">
        <v>5.0</v>
      </c>
      <c r="AF33" s="5">
        <v>6.0</v>
      </c>
      <c r="AG33" s="5">
        <v>3.0</v>
      </c>
      <c r="AH33" s="5">
        <v>3.0</v>
      </c>
      <c r="AI33" s="5">
        <v>3.0</v>
      </c>
      <c r="AJ33" s="5">
        <v>5.0</v>
      </c>
      <c r="AK33" s="5">
        <v>3.0</v>
      </c>
      <c r="AL33" s="5" t="s">
        <v>360</v>
      </c>
    </row>
    <row r="34">
      <c r="A34" s="8">
        <v>1716.0</v>
      </c>
      <c r="B34" s="7">
        <v>45867.29375</v>
      </c>
      <c r="C34" s="5" t="s">
        <v>361</v>
      </c>
      <c r="D34" s="5" t="s">
        <v>362</v>
      </c>
      <c r="E34" s="5" t="s">
        <v>216</v>
      </c>
      <c r="F34" s="5">
        <v>5.0</v>
      </c>
      <c r="G34" s="5">
        <v>7.0</v>
      </c>
      <c r="H34" s="5" t="s">
        <v>199</v>
      </c>
      <c r="I34" s="5">
        <v>6.0</v>
      </c>
      <c r="J34" s="5">
        <v>7.0</v>
      </c>
      <c r="K34" s="5">
        <v>3.0</v>
      </c>
      <c r="L34" s="5">
        <v>6.0</v>
      </c>
      <c r="M34" s="5">
        <v>7.0</v>
      </c>
      <c r="N34" s="5">
        <v>7.0</v>
      </c>
      <c r="O34" s="5">
        <v>7.0</v>
      </c>
      <c r="P34" s="5">
        <v>7.0</v>
      </c>
      <c r="Q34" s="5">
        <v>2.0</v>
      </c>
      <c r="R34" s="5">
        <v>5.0</v>
      </c>
      <c r="S34" s="5">
        <v>5.0</v>
      </c>
      <c r="T34" s="5">
        <v>4.0</v>
      </c>
      <c r="U34" s="11" t="s">
        <v>363</v>
      </c>
      <c r="V34" s="5" t="s">
        <v>206</v>
      </c>
      <c r="W34" s="5">
        <v>6.0</v>
      </c>
      <c r="X34" s="5">
        <v>6.0</v>
      </c>
      <c r="Y34" s="5">
        <v>7.0</v>
      </c>
      <c r="Z34" s="5">
        <v>7.0</v>
      </c>
      <c r="AA34" s="5">
        <v>7.0</v>
      </c>
      <c r="AB34" s="5">
        <v>7.0</v>
      </c>
      <c r="AC34" s="5" t="s">
        <v>364</v>
      </c>
      <c r="AD34" s="5" t="s">
        <v>206</v>
      </c>
      <c r="AE34" s="5">
        <v>7.0</v>
      </c>
      <c r="AF34" s="5">
        <v>6.0</v>
      </c>
      <c r="AG34" s="5">
        <v>7.0</v>
      </c>
      <c r="AH34" s="5">
        <v>1.0</v>
      </c>
      <c r="AI34" s="5">
        <v>1.0</v>
      </c>
      <c r="AJ34" s="5">
        <v>1.0</v>
      </c>
      <c r="AK34" s="5">
        <v>1.0</v>
      </c>
      <c r="AL34" s="11" t="s">
        <v>365</v>
      </c>
    </row>
    <row r="35">
      <c r="A35" s="8">
        <v>1001.0</v>
      </c>
      <c r="B35" s="7">
        <v>45867.305555555555</v>
      </c>
      <c r="C35" s="5" t="s">
        <v>366</v>
      </c>
      <c r="D35" s="5" t="s">
        <v>353</v>
      </c>
      <c r="E35" s="5" t="s">
        <v>216</v>
      </c>
      <c r="F35" s="5">
        <v>4.0</v>
      </c>
      <c r="G35" s="5">
        <v>2.0</v>
      </c>
      <c r="H35" s="5" t="s">
        <v>199</v>
      </c>
      <c r="I35" s="5">
        <v>4.0</v>
      </c>
      <c r="J35" s="5">
        <v>2.0</v>
      </c>
      <c r="K35" s="5">
        <v>1.0</v>
      </c>
      <c r="L35" s="5">
        <v>3.0</v>
      </c>
      <c r="M35" s="5">
        <v>6.0</v>
      </c>
      <c r="N35" s="5">
        <v>3.0</v>
      </c>
      <c r="O35" s="5">
        <v>6.0</v>
      </c>
      <c r="P35" s="5">
        <v>6.0</v>
      </c>
      <c r="Q35" s="5">
        <v>1.0</v>
      </c>
      <c r="R35" s="5">
        <v>1.0</v>
      </c>
      <c r="S35" s="5">
        <v>5.0</v>
      </c>
      <c r="T35" s="5">
        <v>7.0</v>
      </c>
      <c r="U35" s="5" t="s">
        <v>367</v>
      </c>
      <c r="V35" s="5" t="s">
        <v>206</v>
      </c>
      <c r="W35" s="5">
        <v>6.0</v>
      </c>
      <c r="X35" s="5">
        <v>4.0</v>
      </c>
      <c r="Y35" s="5">
        <v>5.0</v>
      </c>
      <c r="Z35" s="5">
        <v>6.0</v>
      </c>
      <c r="AA35" s="5">
        <v>6.0</v>
      </c>
      <c r="AB35" s="5">
        <v>4.0</v>
      </c>
      <c r="AC35" s="5" t="s">
        <v>368</v>
      </c>
      <c r="AD35" s="5" t="s">
        <v>206</v>
      </c>
      <c r="AE35" s="5">
        <v>4.0</v>
      </c>
      <c r="AF35" s="5">
        <v>6.0</v>
      </c>
      <c r="AG35" s="5">
        <v>5.0</v>
      </c>
      <c r="AH35" s="5">
        <v>1.0</v>
      </c>
      <c r="AI35" s="5">
        <v>1.0</v>
      </c>
      <c r="AJ35" s="5">
        <v>1.0</v>
      </c>
      <c r="AK35" s="5">
        <v>1.0</v>
      </c>
      <c r="AL35" s="5" t="s">
        <v>369</v>
      </c>
    </row>
    <row r="36">
      <c r="A36" s="8">
        <v>594.0</v>
      </c>
      <c r="B36" s="7">
        <v>45867.31458333333</v>
      </c>
      <c r="C36" s="5" t="s">
        <v>370</v>
      </c>
      <c r="D36" s="5" t="s">
        <v>353</v>
      </c>
      <c r="E36" s="5" t="s">
        <v>211</v>
      </c>
      <c r="F36" s="5">
        <v>5.0</v>
      </c>
      <c r="G36" s="5">
        <v>1.0</v>
      </c>
      <c r="H36" s="5" t="s">
        <v>199</v>
      </c>
      <c r="I36" s="5">
        <v>1.0</v>
      </c>
      <c r="J36" s="5">
        <v>5.0</v>
      </c>
      <c r="K36" s="5">
        <v>3.0</v>
      </c>
      <c r="L36" s="5">
        <v>2.0</v>
      </c>
      <c r="M36" s="5">
        <v>6.0</v>
      </c>
      <c r="N36" s="5">
        <v>4.0</v>
      </c>
      <c r="O36" s="5">
        <v>5.0</v>
      </c>
      <c r="P36" s="5">
        <v>5.0</v>
      </c>
      <c r="Q36" s="5">
        <v>6.0</v>
      </c>
      <c r="R36" s="5">
        <v>3.0</v>
      </c>
      <c r="S36" s="5">
        <v>5.0</v>
      </c>
      <c r="T36" s="5">
        <v>4.0</v>
      </c>
      <c r="U36" s="5" t="s">
        <v>371</v>
      </c>
      <c r="V36" s="5" t="s">
        <v>206</v>
      </c>
      <c r="W36" s="5">
        <v>6.0</v>
      </c>
      <c r="X36" s="5">
        <v>5.0</v>
      </c>
      <c r="Y36" s="5">
        <v>5.0</v>
      </c>
      <c r="Z36" s="5">
        <v>2.0</v>
      </c>
      <c r="AA36" s="5">
        <v>4.0</v>
      </c>
      <c r="AB36" s="5">
        <v>1.0</v>
      </c>
      <c r="AC36" s="5" t="s">
        <v>372</v>
      </c>
      <c r="AD36" s="5" t="s">
        <v>206</v>
      </c>
      <c r="AE36" s="5">
        <v>5.0</v>
      </c>
      <c r="AF36" s="5">
        <v>5.0</v>
      </c>
      <c r="AG36" s="5">
        <v>6.0</v>
      </c>
      <c r="AH36" s="5">
        <v>1.0</v>
      </c>
      <c r="AI36" s="5">
        <v>1.0</v>
      </c>
      <c r="AJ36" s="5">
        <v>1.0</v>
      </c>
      <c r="AK36" s="5">
        <v>1.0</v>
      </c>
      <c r="AL36" s="5" t="s">
        <v>373</v>
      </c>
    </row>
    <row r="37">
      <c r="A37" s="8">
        <v>1333.0</v>
      </c>
      <c r="B37" s="7">
        <v>45867.34583333333</v>
      </c>
      <c r="C37" s="5" t="s">
        <v>374</v>
      </c>
      <c r="D37" s="5" t="s">
        <v>362</v>
      </c>
      <c r="E37" s="5" t="s">
        <v>263</v>
      </c>
      <c r="F37" s="5">
        <v>6.0</v>
      </c>
      <c r="G37" s="5">
        <v>6.0</v>
      </c>
      <c r="H37" s="5" t="s">
        <v>199</v>
      </c>
      <c r="I37" s="5">
        <v>7.0</v>
      </c>
      <c r="J37" s="5">
        <v>3.0</v>
      </c>
      <c r="K37" s="5">
        <v>5.0</v>
      </c>
      <c r="L37" s="5">
        <v>6.0</v>
      </c>
      <c r="M37" s="5">
        <v>7.0</v>
      </c>
      <c r="N37" s="5">
        <v>7.0</v>
      </c>
      <c r="O37" s="5">
        <v>7.0</v>
      </c>
      <c r="P37" s="5">
        <v>7.0</v>
      </c>
      <c r="Q37" s="5">
        <v>5.0</v>
      </c>
      <c r="R37" s="5">
        <v>5.0</v>
      </c>
      <c r="S37" s="5">
        <v>7.0</v>
      </c>
      <c r="T37" s="5">
        <v>5.0</v>
      </c>
      <c r="U37" s="5" t="s">
        <v>375</v>
      </c>
      <c r="V37" s="5" t="s">
        <v>206</v>
      </c>
      <c r="W37" s="5">
        <v>6.0</v>
      </c>
      <c r="X37" s="5">
        <v>7.0</v>
      </c>
      <c r="Y37" s="5">
        <v>7.0</v>
      </c>
      <c r="Z37" s="5">
        <v>3.0</v>
      </c>
      <c r="AA37" s="5">
        <v>4.0</v>
      </c>
      <c r="AB37" s="5">
        <v>4.0</v>
      </c>
      <c r="AC37" s="5" t="s">
        <v>376</v>
      </c>
      <c r="AD37" s="5" t="s">
        <v>206</v>
      </c>
      <c r="AE37" s="5">
        <v>6.0</v>
      </c>
      <c r="AF37" s="5">
        <v>6.0</v>
      </c>
      <c r="AG37" s="5">
        <v>6.0</v>
      </c>
      <c r="AH37" s="5">
        <v>2.0</v>
      </c>
      <c r="AI37" s="5">
        <v>6.0</v>
      </c>
      <c r="AJ37" s="5">
        <v>2.0</v>
      </c>
      <c r="AK37" s="5">
        <v>2.0</v>
      </c>
      <c r="AL37" s="5" t="s">
        <v>377</v>
      </c>
    </row>
    <row r="38">
      <c r="A38" s="8">
        <v>1140.0</v>
      </c>
      <c r="B38" s="7">
        <v>45868.02847222222</v>
      </c>
      <c r="C38" s="5" t="s">
        <v>378</v>
      </c>
      <c r="D38" s="5" t="s">
        <v>379</v>
      </c>
      <c r="E38" s="5" t="s">
        <v>197</v>
      </c>
      <c r="F38" s="5">
        <v>6.0</v>
      </c>
      <c r="G38" s="5">
        <v>6.0</v>
      </c>
      <c r="H38" s="5" t="s">
        <v>199</v>
      </c>
      <c r="I38" s="5">
        <v>6.0</v>
      </c>
      <c r="J38" s="5">
        <v>7.0</v>
      </c>
      <c r="K38" s="5">
        <v>7.0</v>
      </c>
      <c r="L38" s="5">
        <v>6.0</v>
      </c>
      <c r="M38" s="5">
        <v>7.0</v>
      </c>
      <c r="N38" s="5">
        <v>7.0</v>
      </c>
      <c r="O38" s="5">
        <v>7.0</v>
      </c>
      <c r="P38" s="5">
        <v>6.0</v>
      </c>
      <c r="Q38" s="5">
        <v>6.0</v>
      </c>
      <c r="R38" s="5">
        <v>5.0</v>
      </c>
      <c r="S38" s="5">
        <v>6.0</v>
      </c>
      <c r="T38" s="5">
        <v>5.0</v>
      </c>
      <c r="U38" s="5" t="s">
        <v>380</v>
      </c>
      <c r="V38" s="5" t="s">
        <v>206</v>
      </c>
      <c r="W38" s="5">
        <v>7.0</v>
      </c>
      <c r="X38" s="5">
        <v>7.0</v>
      </c>
      <c r="Y38" s="5">
        <v>7.0</v>
      </c>
      <c r="Z38" s="5">
        <v>7.0</v>
      </c>
      <c r="AA38" s="5">
        <v>7.0</v>
      </c>
      <c r="AB38" s="5">
        <v>6.0</v>
      </c>
      <c r="AC38" s="5" t="s">
        <v>381</v>
      </c>
      <c r="AD38" s="5" t="s">
        <v>206</v>
      </c>
      <c r="AE38" s="5">
        <v>6.0</v>
      </c>
      <c r="AF38" s="5">
        <v>6.0</v>
      </c>
      <c r="AG38" s="5">
        <v>7.0</v>
      </c>
      <c r="AH38" s="5">
        <v>2.0</v>
      </c>
      <c r="AI38" s="5">
        <v>1.0</v>
      </c>
      <c r="AJ38" s="5">
        <v>2.0</v>
      </c>
      <c r="AK38" s="5">
        <v>1.0</v>
      </c>
      <c r="AL38" s="5" t="s">
        <v>382</v>
      </c>
    </row>
    <row r="39">
      <c r="A39" s="8">
        <v>2166.0</v>
      </c>
      <c r="B39" s="7">
        <v>45868.040972222225</v>
      </c>
      <c r="C39" s="5" t="s">
        <v>384</v>
      </c>
      <c r="D39" s="5" t="s">
        <v>385</v>
      </c>
      <c r="E39" s="5" t="s">
        <v>211</v>
      </c>
      <c r="F39" s="5">
        <v>4.0</v>
      </c>
      <c r="G39" s="5">
        <v>5.0</v>
      </c>
      <c r="H39" s="5" t="s">
        <v>199</v>
      </c>
      <c r="I39" s="5">
        <v>6.0</v>
      </c>
      <c r="J39" s="5">
        <v>6.0</v>
      </c>
      <c r="K39" s="5">
        <v>3.0</v>
      </c>
      <c r="L39" s="5">
        <v>3.0</v>
      </c>
      <c r="M39" s="5">
        <v>6.0</v>
      </c>
      <c r="N39" s="5">
        <v>5.0</v>
      </c>
      <c r="O39" s="5">
        <v>5.0</v>
      </c>
      <c r="P39" s="5">
        <v>6.0</v>
      </c>
      <c r="Q39" s="5">
        <v>4.0</v>
      </c>
      <c r="R39" s="5">
        <v>4.0</v>
      </c>
      <c r="S39" s="5">
        <v>5.0</v>
      </c>
      <c r="T39" s="5">
        <v>4.0</v>
      </c>
      <c r="U39" s="5" t="s">
        <v>386</v>
      </c>
      <c r="V39" s="5" t="s">
        <v>206</v>
      </c>
      <c r="W39" s="5">
        <v>6.0</v>
      </c>
      <c r="X39" s="5">
        <v>6.0</v>
      </c>
      <c r="Y39" s="5">
        <v>7.0</v>
      </c>
      <c r="Z39" s="5">
        <v>6.0</v>
      </c>
      <c r="AA39" s="5">
        <v>5.0</v>
      </c>
      <c r="AB39" s="5">
        <v>4.0</v>
      </c>
      <c r="AC39" s="5" t="s">
        <v>387</v>
      </c>
      <c r="AD39" s="5" t="s">
        <v>206</v>
      </c>
      <c r="AE39" s="5">
        <v>7.0</v>
      </c>
      <c r="AF39" s="5">
        <v>6.0</v>
      </c>
      <c r="AG39" s="5">
        <v>6.0</v>
      </c>
      <c r="AH39" s="5">
        <v>1.0</v>
      </c>
      <c r="AI39" s="5">
        <v>1.0</v>
      </c>
      <c r="AJ39" s="5">
        <v>1.0</v>
      </c>
      <c r="AK39" s="5">
        <v>1.0</v>
      </c>
      <c r="AL39" s="5" t="s">
        <v>388</v>
      </c>
    </row>
    <row r="40">
      <c r="A40" s="8">
        <v>1527.0</v>
      </c>
      <c r="B40" s="7">
        <v>45868.041666666664</v>
      </c>
      <c r="C40" s="5" t="s">
        <v>390</v>
      </c>
      <c r="D40" s="5" t="s">
        <v>379</v>
      </c>
      <c r="E40" s="5" t="s">
        <v>211</v>
      </c>
      <c r="F40" s="5">
        <v>6.0</v>
      </c>
      <c r="G40" s="5">
        <v>6.0</v>
      </c>
      <c r="H40" s="5" t="s">
        <v>199</v>
      </c>
      <c r="I40" s="5">
        <v>6.0</v>
      </c>
      <c r="J40" s="5">
        <v>7.0</v>
      </c>
      <c r="K40" s="5">
        <v>7.0</v>
      </c>
      <c r="L40" s="5">
        <v>6.0</v>
      </c>
      <c r="M40" s="5">
        <v>7.0</v>
      </c>
      <c r="N40" s="5">
        <v>7.0</v>
      </c>
      <c r="O40" s="5">
        <v>7.0</v>
      </c>
      <c r="P40" s="5">
        <v>6.0</v>
      </c>
      <c r="Q40" s="5">
        <v>6.0</v>
      </c>
      <c r="R40" s="5">
        <v>4.0</v>
      </c>
      <c r="S40" s="5">
        <v>6.0</v>
      </c>
      <c r="T40" s="5">
        <v>2.0</v>
      </c>
      <c r="U40" s="5" t="s">
        <v>391</v>
      </c>
      <c r="V40" s="5" t="s">
        <v>206</v>
      </c>
      <c r="W40" s="5">
        <v>6.0</v>
      </c>
      <c r="X40" s="5">
        <v>6.0</v>
      </c>
      <c r="Y40" s="5">
        <v>6.0</v>
      </c>
      <c r="Z40" s="5">
        <v>7.0</v>
      </c>
      <c r="AA40" s="5">
        <v>6.0</v>
      </c>
      <c r="AB40" s="5">
        <v>7.0</v>
      </c>
      <c r="AC40" s="5" t="s">
        <v>392</v>
      </c>
      <c r="AD40" s="5" t="s">
        <v>206</v>
      </c>
      <c r="AE40" s="5">
        <v>7.0</v>
      </c>
      <c r="AF40" s="5">
        <v>7.0</v>
      </c>
      <c r="AG40" s="5">
        <v>6.0</v>
      </c>
      <c r="AH40" s="5">
        <v>1.0</v>
      </c>
      <c r="AI40" s="5">
        <v>1.0</v>
      </c>
      <c r="AJ40" s="5">
        <v>1.0</v>
      </c>
      <c r="AK40" s="5">
        <v>1.0</v>
      </c>
      <c r="AL40" s="5" t="s">
        <v>393</v>
      </c>
    </row>
    <row r="41">
      <c r="A41" s="8">
        <v>866.0</v>
      </c>
      <c r="B41" s="7">
        <v>45868.05416666667</v>
      </c>
      <c r="C41" s="5" t="s">
        <v>394</v>
      </c>
      <c r="D41" s="5" t="s">
        <v>379</v>
      </c>
      <c r="E41" s="5" t="s">
        <v>216</v>
      </c>
      <c r="F41" s="5">
        <v>6.0</v>
      </c>
      <c r="G41" s="5">
        <v>5.0</v>
      </c>
      <c r="H41" s="5" t="s">
        <v>199</v>
      </c>
      <c r="I41" s="5">
        <v>7.0</v>
      </c>
      <c r="J41" s="5">
        <v>7.0</v>
      </c>
      <c r="K41" s="5">
        <v>7.0</v>
      </c>
      <c r="L41" s="5">
        <v>6.0</v>
      </c>
      <c r="M41" s="5">
        <v>6.0</v>
      </c>
      <c r="N41" s="5">
        <v>7.0</v>
      </c>
      <c r="O41" s="5">
        <v>7.0</v>
      </c>
      <c r="P41" s="5">
        <v>6.0</v>
      </c>
      <c r="Q41" s="5">
        <v>5.0</v>
      </c>
      <c r="R41" s="5">
        <v>6.0</v>
      </c>
      <c r="S41" s="5">
        <v>6.0</v>
      </c>
      <c r="T41" s="5">
        <v>3.0</v>
      </c>
      <c r="U41" s="5" t="s">
        <v>395</v>
      </c>
      <c r="V41" s="5" t="s">
        <v>206</v>
      </c>
      <c r="W41" s="5">
        <v>6.0</v>
      </c>
      <c r="X41" s="5">
        <v>6.0</v>
      </c>
      <c r="Y41" s="5">
        <v>7.0</v>
      </c>
      <c r="Z41" s="5">
        <v>7.0</v>
      </c>
      <c r="AA41" s="5">
        <v>7.0</v>
      </c>
      <c r="AB41" s="5">
        <v>7.0</v>
      </c>
      <c r="AC41" s="5" t="s">
        <v>396</v>
      </c>
      <c r="AD41" s="5" t="s">
        <v>206</v>
      </c>
      <c r="AE41" s="5">
        <v>6.0</v>
      </c>
      <c r="AF41" s="5">
        <v>6.0</v>
      </c>
      <c r="AG41" s="5">
        <v>6.0</v>
      </c>
      <c r="AH41" s="5">
        <v>1.0</v>
      </c>
      <c r="AI41" s="5">
        <v>1.0</v>
      </c>
      <c r="AJ41" s="5">
        <v>1.0</v>
      </c>
      <c r="AK41" s="5">
        <v>1.0</v>
      </c>
      <c r="AL41" s="5" t="s">
        <v>397</v>
      </c>
    </row>
    <row r="42">
      <c r="A42" s="8">
        <v>863.0</v>
      </c>
      <c r="B42" s="7">
        <v>45868.055555555555</v>
      </c>
      <c r="C42" s="5" t="s">
        <v>398</v>
      </c>
      <c r="D42" s="5" t="s">
        <v>385</v>
      </c>
      <c r="E42" s="5" t="s">
        <v>197</v>
      </c>
      <c r="F42" s="5">
        <v>7.0</v>
      </c>
      <c r="G42" s="5">
        <v>6.0</v>
      </c>
      <c r="H42" s="5" t="s">
        <v>199</v>
      </c>
      <c r="I42" s="5">
        <v>6.0</v>
      </c>
      <c r="J42" s="5">
        <v>6.0</v>
      </c>
      <c r="K42" s="5">
        <v>7.0</v>
      </c>
      <c r="L42" s="5">
        <v>6.0</v>
      </c>
      <c r="M42" s="5">
        <v>7.0</v>
      </c>
      <c r="N42" s="5">
        <v>6.0</v>
      </c>
      <c r="O42" s="5">
        <v>6.0</v>
      </c>
      <c r="P42" s="5">
        <v>6.0</v>
      </c>
      <c r="Q42" s="5">
        <v>4.0</v>
      </c>
      <c r="R42" s="5">
        <v>4.0</v>
      </c>
      <c r="S42" s="5">
        <v>6.0</v>
      </c>
      <c r="T42" s="5">
        <v>5.0</v>
      </c>
      <c r="U42" s="5" t="s">
        <v>399</v>
      </c>
      <c r="V42" s="5" t="s">
        <v>206</v>
      </c>
      <c r="W42" s="5">
        <v>6.0</v>
      </c>
      <c r="X42" s="5">
        <v>6.0</v>
      </c>
      <c r="Y42" s="5">
        <v>7.0</v>
      </c>
      <c r="Z42" s="5">
        <v>6.0</v>
      </c>
      <c r="AA42" s="5">
        <v>6.0</v>
      </c>
      <c r="AB42" s="5">
        <v>4.0</v>
      </c>
      <c r="AC42" s="5" t="s">
        <v>400</v>
      </c>
      <c r="AD42" s="5" t="s">
        <v>206</v>
      </c>
      <c r="AE42" s="5">
        <v>6.0</v>
      </c>
      <c r="AF42" s="5">
        <v>6.0</v>
      </c>
      <c r="AG42" s="5">
        <v>6.0</v>
      </c>
      <c r="AH42" s="5">
        <v>2.0</v>
      </c>
      <c r="AI42" s="5">
        <v>1.0</v>
      </c>
      <c r="AJ42" s="5">
        <v>2.0</v>
      </c>
      <c r="AK42" s="5">
        <v>1.0</v>
      </c>
      <c r="AL42" s="5" t="s">
        <v>401</v>
      </c>
    </row>
    <row r="43">
      <c r="A43" s="8">
        <v>942.0</v>
      </c>
      <c r="B43" s="7">
        <v>45868.07083333333</v>
      </c>
      <c r="C43" s="5" t="s">
        <v>402</v>
      </c>
      <c r="D43" s="5" t="s">
        <v>385</v>
      </c>
      <c r="E43" s="5" t="s">
        <v>263</v>
      </c>
      <c r="F43" s="5">
        <v>6.0</v>
      </c>
      <c r="G43" s="5">
        <v>5.0</v>
      </c>
      <c r="H43" s="5" t="s">
        <v>199</v>
      </c>
      <c r="I43" s="5">
        <v>6.0</v>
      </c>
      <c r="J43" s="5">
        <v>5.0</v>
      </c>
      <c r="K43" s="5">
        <v>7.0</v>
      </c>
      <c r="L43" s="5">
        <v>5.0</v>
      </c>
      <c r="M43" s="5">
        <v>7.0</v>
      </c>
      <c r="N43" s="5">
        <v>6.0</v>
      </c>
      <c r="O43" s="5">
        <v>5.0</v>
      </c>
      <c r="P43" s="5">
        <v>6.0</v>
      </c>
      <c r="Q43" s="5">
        <v>6.0</v>
      </c>
      <c r="R43" s="5">
        <v>2.0</v>
      </c>
      <c r="S43" s="5">
        <v>6.0</v>
      </c>
      <c r="T43" s="5">
        <v>5.0</v>
      </c>
      <c r="U43" s="5" t="s">
        <v>403</v>
      </c>
      <c r="V43" s="5" t="s">
        <v>206</v>
      </c>
      <c r="W43" s="5">
        <v>6.0</v>
      </c>
      <c r="X43" s="5">
        <v>6.0</v>
      </c>
      <c r="Y43" s="5">
        <v>6.0</v>
      </c>
      <c r="Z43" s="5">
        <v>6.0</v>
      </c>
      <c r="AA43" s="5">
        <v>6.0</v>
      </c>
      <c r="AB43" s="5">
        <v>4.0</v>
      </c>
      <c r="AC43" s="5" t="s">
        <v>404</v>
      </c>
      <c r="AD43" s="5" t="s">
        <v>206</v>
      </c>
      <c r="AE43" s="5">
        <v>6.0</v>
      </c>
      <c r="AF43" s="5">
        <v>5.0</v>
      </c>
      <c r="AG43" s="5">
        <v>5.0</v>
      </c>
      <c r="AH43" s="5">
        <v>2.0</v>
      </c>
      <c r="AI43" s="5">
        <v>2.0</v>
      </c>
      <c r="AJ43" s="5">
        <v>5.0</v>
      </c>
      <c r="AK43" s="5">
        <v>2.0</v>
      </c>
      <c r="AL43" s="5" t="s">
        <v>405</v>
      </c>
    </row>
    <row r="44">
      <c r="A44" s="8">
        <v>659.0</v>
      </c>
      <c r="B44" s="7">
        <v>45868.072916666664</v>
      </c>
      <c r="C44" s="5" t="s">
        <v>406</v>
      </c>
      <c r="D44" s="5" t="s">
        <v>379</v>
      </c>
      <c r="E44" s="5" t="s">
        <v>263</v>
      </c>
      <c r="F44" s="5">
        <v>6.0</v>
      </c>
      <c r="G44" s="5">
        <v>6.0</v>
      </c>
      <c r="H44" s="5" t="s">
        <v>199</v>
      </c>
      <c r="I44" s="5">
        <v>6.0</v>
      </c>
      <c r="J44" s="5">
        <v>6.0</v>
      </c>
      <c r="K44" s="5">
        <v>6.0</v>
      </c>
      <c r="L44" s="5">
        <v>6.0</v>
      </c>
      <c r="M44" s="5">
        <v>7.0</v>
      </c>
      <c r="N44" s="5">
        <v>7.0</v>
      </c>
      <c r="O44" s="5">
        <v>7.0</v>
      </c>
      <c r="P44" s="5">
        <v>7.0</v>
      </c>
      <c r="Q44" s="5">
        <v>5.0</v>
      </c>
      <c r="R44" s="5">
        <v>6.0</v>
      </c>
      <c r="S44" s="5">
        <v>6.0</v>
      </c>
      <c r="T44" s="5">
        <v>6.0</v>
      </c>
      <c r="U44" s="5" t="s">
        <v>407</v>
      </c>
      <c r="V44" s="5" t="s">
        <v>206</v>
      </c>
      <c r="W44" s="5">
        <v>6.0</v>
      </c>
      <c r="X44" s="5">
        <v>7.0</v>
      </c>
      <c r="Y44" s="5">
        <v>7.0</v>
      </c>
      <c r="Z44" s="5">
        <v>7.0</v>
      </c>
      <c r="AA44" s="5">
        <v>7.0</v>
      </c>
      <c r="AB44" s="5">
        <v>7.0</v>
      </c>
      <c r="AC44" s="5" t="s">
        <v>408</v>
      </c>
      <c r="AD44" s="5" t="s">
        <v>206</v>
      </c>
      <c r="AE44" s="5">
        <v>7.0</v>
      </c>
      <c r="AF44" s="5">
        <v>7.0</v>
      </c>
      <c r="AG44" s="5">
        <v>7.0</v>
      </c>
      <c r="AH44" s="5">
        <v>1.0</v>
      </c>
      <c r="AI44" s="5">
        <v>1.0</v>
      </c>
      <c r="AJ44" s="5">
        <v>1.0</v>
      </c>
      <c r="AK44" s="5">
        <v>1.0</v>
      </c>
      <c r="AL44" s="5" t="s">
        <v>409</v>
      </c>
    </row>
    <row r="45">
      <c r="A45" s="8">
        <v>380.0</v>
      </c>
      <c r="B45" s="7">
        <v>45868.08541666667</v>
      </c>
      <c r="C45" s="5" t="s">
        <v>410</v>
      </c>
      <c r="D45" s="5" t="s">
        <v>411</v>
      </c>
      <c r="E45" s="5" t="s">
        <v>263</v>
      </c>
      <c r="F45" s="5">
        <v>3.0</v>
      </c>
      <c r="G45" s="5">
        <v>3.0</v>
      </c>
      <c r="H45" s="5" t="s">
        <v>199</v>
      </c>
      <c r="I45" s="5">
        <v>6.0</v>
      </c>
      <c r="J45" s="5">
        <v>6.0</v>
      </c>
      <c r="K45" s="5">
        <v>3.0</v>
      </c>
      <c r="L45" s="5">
        <v>3.0</v>
      </c>
      <c r="M45" s="5">
        <v>5.0</v>
      </c>
      <c r="N45" s="5">
        <v>6.0</v>
      </c>
      <c r="O45" s="5">
        <v>6.0</v>
      </c>
      <c r="P45" s="5">
        <v>6.0</v>
      </c>
      <c r="Q45" s="5">
        <v>3.0</v>
      </c>
      <c r="R45" s="5">
        <v>4.0</v>
      </c>
      <c r="S45" s="5">
        <v>6.0</v>
      </c>
      <c r="T45" s="5">
        <v>2.0</v>
      </c>
      <c r="U45" s="11" t="s">
        <v>412</v>
      </c>
      <c r="V45" s="5" t="s">
        <v>206</v>
      </c>
      <c r="W45" s="5">
        <v>5.0</v>
      </c>
      <c r="X45" s="5">
        <v>5.0</v>
      </c>
      <c r="Y45" s="5">
        <v>5.0</v>
      </c>
      <c r="Z45" s="5">
        <v>5.0</v>
      </c>
      <c r="AA45" s="5">
        <v>5.0</v>
      </c>
      <c r="AB45" s="5">
        <v>6.0</v>
      </c>
      <c r="AC45" s="5" t="s">
        <v>413</v>
      </c>
      <c r="AD45" s="5" t="s">
        <v>206</v>
      </c>
      <c r="AE45" s="5">
        <v>6.0</v>
      </c>
      <c r="AF45" s="5">
        <v>7.0</v>
      </c>
      <c r="AG45" s="5">
        <v>6.0</v>
      </c>
      <c r="AH45" s="5">
        <v>2.0</v>
      </c>
      <c r="AI45" s="5">
        <v>2.0</v>
      </c>
      <c r="AJ45" s="5">
        <v>1.0</v>
      </c>
      <c r="AK45" s="5">
        <v>2.0</v>
      </c>
      <c r="AL45" s="5" t="s">
        <v>414</v>
      </c>
    </row>
    <row r="46">
      <c r="A46" s="8">
        <v>1190.0</v>
      </c>
      <c r="B46" s="7">
        <v>45868.08541666667</v>
      </c>
      <c r="C46" s="5" t="s">
        <v>415</v>
      </c>
      <c r="D46" s="5" t="s">
        <v>385</v>
      </c>
      <c r="E46" s="5" t="s">
        <v>216</v>
      </c>
      <c r="F46" s="5">
        <v>3.0</v>
      </c>
      <c r="G46" s="5">
        <v>5.0</v>
      </c>
      <c r="H46" s="5" t="s">
        <v>199</v>
      </c>
      <c r="I46" s="5">
        <v>4.0</v>
      </c>
      <c r="J46" s="5">
        <v>3.0</v>
      </c>
      <c r="K46" s="5">
        <v>3.0</v>
      </c>
      <c r="L46" s="5">
        <v>5.0</v>
      </c>
      <c r="M46" s="5">
        <v>6.0</v>
      </c>
      <c r="N46" s="5">
        <v>6.0</v>
      </c>
      <c r="O46" s="5">
        <v>6.0</v>
      </c>
      <c r="P46" s="5">
        <v>5.0</v>
      </c>
      <c r="Q46" s="5">
        <v>3.0</v>
      </c>
      <c r="R46" s="5">
        <v>3.0</v>
      </c>
      <c r="S46" s="5">
        <v>6.0</v>
      </c>
      <c r="T46" s="5">
        <v>5.0</v>
      </c>
      <c r="U46" s="5" t="s">
        <v>416</v>
      </c>
      <c r="V46" s="5" t="s">
        <v>206</v>
      </c>
      <c r="W46" s="5">
        <v>6.0</v>
      </c>
      <c r="X46" s="5">
        <v>5.0</v>
      </c>
      <c r="Y46" s="5">
        <v>6.0</v>
      </c>
      <c r="Z46" s="5">
        <v>5.0</v>
      </c>
      <c r="AA46" s="5">
        <v>3.0</v>
      </c>
      <c r="AB46" s="5">
        <v>4.0</v>
      </c>
      <c r="AC46" s="5" t="s">
        <v>417</v>
      </c>
      <c r="AD46" s="5" t="s">
        <v>206</v>
      </c>
      <c r="AE46" s="5">
        <v>6.0</v>
      </c>
      <c r="AF46" s="5">
        <v>5.0</v>
      </c>
      <c r="AG46" s="5">
        <v>3.0</v>
      </c>
      <c r="AH46" s="5">
        <v>1.0</v>
      </c>
      <c r="AI46" s="5">
        <v>1.0</v>
      </c>
      <c r="AJ46" s="5">
        <v>2.0</v>
      </c>
      <c r="AK46" s="5">
        <v>1.0</v>
      </c>
      <c r="AL46" s="5" t="s">
        <v>418</v>
      </c>
    </row>
    <row r="47">
      <c r="A47" s="8">
        <v>627.0</v>
      </c>
      <c r="B47" s="7">
        <v>45868.089583333334</v>
      </c>
      <c r="C47" s="5" t="s">
        <v>419</v>
      </c>
      <c r="D47" s="5" t="s">
        <v>411</v>
      </c>
      <c r="E47" s="5" t="s">
        <v>211</v>
      </c>
      <c r="F47" s="5">
        <v>2.0</v>
      </c>
      <c r="G47" s="5">
        <v>2.0</v>
      </c>
      <c r="H47" s="5" t="s">
        <v>199</v>
      </c>
      <c r="I47" s="5">
        <v>2.0</v>
      </c>
      <c r="J47" s="5">
        <v>1.0</v>
      </c>
      <c r="K47" s="5">
        <v>1.0</v>
      </c>
      <c r="L47" s="5">
        <v>2.0</v>
      </c>
      <c r="M47" s="5">
        <v>6.0</v>
      </c>
      <c r="N47" s="5">
        <v>4.0</v>
      </c>
      <c r="O47" s="5">
        <v>5.0</v>
      </c>
      <c r="P47" s="5">
        <v>5.0</v>
      </c>
      <c r="Q47" s="5">
        <v>1.0</v>
      </c>
      <c r="R47" s="5">
        <v>4.0</v>
      </c>
      <c r="S47" s="5">
        <v>2.0</v>
      </c>
      <c r="T47" s="5">
        <v>6.0</v>
      </c>
      <c r="U47" s="5" t="s">
        <v>420</v>
      </c>
      <c r="V47" s="5" t="s">
        <v>206</v>
      </c>
      <c r="W47" s="5">
        <v>1.0</v>
      </c>
      <c r="X47" s="5">
        <v>3.0</v>
      </c>
      <c r="Y47" s="5">
        <v>1.0</v>
      </c>
      <c r="Z47" s="5">
        <v>4.0</v>
      </c>
      <c r="AA47" s="5">
        <v>5.0</v>
      </c>
      <c r="AB47" s="5">
        <v>6.0</v>
      </c>
      <c r="AC47" s="5" t="s">
        <v>421</v>
      </c>
      <c r="AD47" s="5" t="s">
        <v>206</v>
      </c>
      <c r="AE47" s="5">
        <v>5.0</v>
      </c>
      <c r="AF47" s="5">
        <v>4.0</v>
      </c>
      <c r="AG47" s="5">
        <v>4.0</v>
      </c>
      <c r="AH47" s="5">
        <v>1.0</v>
      </c>
      <c r="AI47" s="5">
        <v>1.0</v>
      </c>
      <c r="AJ47" s="5">
        <v>1.0</v>
      </c>
      <c r="AK47" s="5">
        <v>1.0</v>
      </c>
      <c r="AL47" s="5" t="s">
        <v>422</v>
      </c>
    </row>
    <row r="48">
      <c r="A48" s="8">
        <v>323.0</v>
      </c>
      <c r="B48" s="7">
        <v>45868.09583333333</v>
      </c>
      <c r="C48" s="5" t="s">
        <v>423</v>
      </c>
      <c r="D48" s="5" t="s">
        <v>411</v>
      </c>
      <c r="E48" s="5" t="s">
        <v>197</v>
      </c>
      <c r="F48" s="5">
        <v>4.0</v>
      </c>
      <c r="G48" s="5">
        <v>3.0</v>
      </c>
      <c r="H48" s="5" t="s">
        <v>199</v>
      </c>
      <c r="I48" s="5">
        <v>5.0</v>
      </c>
      <c r="J48" s="5">
        <v>6.0</v>
      </c>
      <c r="K48" s="5">
        <v>4.0</v>
      </c>
      <c r="L48" s="5">
        <v>4.0</v>
      </c>
      <c r="M48" s="5">
        <v>6.0</v>
      </c>
      <c r="N48" s="5">
        <v>6.0</v>
      </c>
      <c r="O48" s="5">
        <v>6.0</v>
      </c>
      <c r="P48" s="5">
        <v>6.0</v>
      </c>
      <c r="Q48" s="5">
        <v>5.0</v>
      </c>
      <c r="R48" s="5">
        <v>4.0</v>
      </c>
      <c r="S48" s="5">
        <v>6.0</v>
      </c>
      <c r="T48" s="5">
        <v>4.0</v>
      </c>
      <c r="U48" s="11" t="s">
        <v>424</v>
      </c>
      <c r="V48" s="5" t="s">
        <v>206</v>
      </c>
      <c r="W48" s="5">
        <v>4.0</v>
      </c>
      <c r="X48" s="5">
        <v>5.0</v>
      </c>
      <c r="Y48" s="5">
        <v>6.0</v>
      </c>
      <c r="Z48" s="5">
        <v>4.0</v>
      </c>
      <c r="AA48" s="5">
        <v>6.0</v>
      </c>
      <c r="AB48" s="5">
        <v>6.0</v>
      </c>
      <c r="AC48" s="11" t="s">
        <v>425</v>
      </c>
      <c r="AD48" s="10"/>
      <c r="AE48" s="5">
        <v>6.0</v>
      </c>
      <c r="AF48" s="5">
        <v>6.0</v>
      </c>
      <c r="AG48" s="5">
        <v>6.0</v>
      </c>
      <c r="AH48" s="5">
        <v>1.0</v>
      </c>
      <c r="AI48" s="5">
        <v>1.0</v>
      </c>
      <c r="AJ48" s="5">
        <v>1.0</v>
      </c>
      <c r="AK48" s="5">
        <v>1.0</v>
      </c>
      <c r="AL48" s="5" t="s">
        <v>426</v>
      </c>
    </row>
    <row r="49">
      <c r="A49" s="8">
        <v>885.0</v>
      </c>
      <c r="B49" s="7">
        <v>45868.10208333333</v>
      </c>
      <c r="C49" s="5" t="s">
        <v>427</v>
      </c>
      <c r="D49" s="5" t="s">
        <v>428</v>
      </c>
      <c r="E49" s="5" t="s">
        <v>216</v>
      </c>
      <c r="F49" s="5">
        <v>4.0</v>
      </c>
      <c r="G49" s="5">
        <v>6.0</v>
      </c>
      <c r="H49" s="5" t="s">
        <v>199</v>
      </c>
      <c r="I49" s="5">
        <v>6.0</v>
      </c>
      <c r="J49" s="5">
        <v>6.0</v>
      </c>
      <c r="K49" s="5">
        <v>6.0</v>
      </c>
      <c r="L49" s="5">
        <v>3.0</v>
      </c>
      <c r="M49" s="5">
        <v>6.0</v>
      </c>
      <c r="N49" s="5">
        <v>6.0</v>
      </c>
      <c r="O49" s="5">
        <v>6.0</v>
      </c>
      <c r="P49" s="5">
        <v>6.0</v>
      </c>
      <c r="Q49" s="5">
        <v>3.0</v>
      </c>
      <c r="R49" s="5">
        <v>4.0</v>
      </c>
      <c r="S49" s="5">
        <v>6.0</v>
      </c>
      <c r="T49" s="5">
        <v>6.0</v>
      </c>
      <c r="U49" s="5" t="s">
        <v>429</v>
      </c>
      <c r="V49" s="5" t="s">
        <v>206</v>
      </c>
      <c r="W49" s="5">
        <v>5.0</v>
      </c>
      <c r="X49" s="5">
        <v>5.0</v>
      </c>
      <c r="Y49" s="5">
        <v>5.0</v>
      </c>
      <c r="Z49" s="5">
        <v>6.0</v>
      </c>
      <c r="AA49" s="5">
        <v>4.0</v>
      </c>
      <c r="AB49" s="5">
        <v>5.0</v>
      </c>
      <c r="AC49" s="5" t="s">
        <v>430</v>
      </c>
      <c r="AD49" s="5" t="s">
        <v>206</v>
      </c>
      <c r="AE49" s="5">
        <v>6.0</v>
      </c>
      <c r="AF49" s="5">
        <v>5.0</v>
      </c>
      <c r="AG49" s="5">
        <v>4.0</v>
      </c>
      <c r="AH49" s="5">
        <v>1.0</v>
      </c>
      <c r="AI49" s="5">
        <v>1.0</v>
      </c>
      <c r="AJ49" s="5">
        <v>1.0</v>
      </c>
      <c r="AK49" s="5">
        <v>1.0</v>
      </c>
      <c r="AL49" s="5" t="s">
        <v>431</v>
      </c>
    </row>
    <row r="50">
      <c r="A50" s="8">
        <v>1034.0</v>
      </c>
      <c r="B50" s="7">
        <v>45868.16805555556</v>
      </c>
      <c r="C50" s="5" t="s">
        <v>432</v>
      </c>
      <c r="D50" s="5" t="s">
        <v>433</v>
      </c>
      <c r="E50" s="5" t="s">
        <v>216</v>
      </c>
      <c r="F50" s="5">
        <v>3.0</v>
      </c>
      <c r="G50" s="5">
        <v>2.0</v>
      </c>
      <c r="H50" s="5" t="s">
        <v>199</v>
      </c>
      <c r="I50" s="5">
        <v>5.0</v>
      </c>
      <c r="J50" s="5">
        <v>4.0</v>
      </c>
      <c r="K50" s="5">
        <v>2.0</v>
      </c>
      <c r="L50" s="5">
        <v>2.0</v>
      </c>
      <c r="M50" s="5">
        <v>2.0</v>
      </c>
      <c r="N50" s="5">
        <v>6.0</v>
      </c>
      <c r="O50" s="5">
        <v>6.0</v>
      </c>
      <c r="P50" s="5">
        <v>3.0</v>
      </c>
      <c r="Q50" s="5">
        <v>2.0</v>
      </c>
      <c r="R50" s="5">
        <v>2.0</v>
      </c>
      <c r="S50" s="5">
        <v>6.0</v>
      </c>
      <c r="T50" s="5">
        <v>6.0</v>
      </c>
      <c r="U50" s="5" t="s">
        <v>434</v>
      </c>
      <c r="V50" s="5" t="s">
        <v>206</v>
      </c>
      <c r="W50" s="5">
        <v>6.0</v>
      </c>
      <c r="X50" s="5">
        <v>4.0</v>
      </c>
      <c r="Y50" s="5">
        <v>3.0</v>
      </c>
      <c r="Z50" s="5">
        <v>6.0</v>
      </c>
      <c r="AA50" s="5">
        <v>4.0</v>
      </c>
      <c r="AB50" s="5">
        <v>2.0</v>
      </c>
      <c r="AC50" s="5" t="s">
        <v>435</v>
      </c>
      <c r="AD50" s="5" t="s">
        <v>206</v>
      </c>
      <c r="AE50" s="5">
        <v>6.0</v>
      </c>
      <c r="AF50" s="5">
        <v>5.0</v>
      </c>
      <c r="AG50" s="5">
        <v>3.0</v>
      </c>
      <c r="AH50" s="5">
        <v>2.0</v>
      </c>
      <c r="AI50" s="5">
        <v>2.0</v>
      </c>
      <c r="AJ50" s="5">
        <v>1.0</v>
      </c>
      <c r="AK50" s="5">
        <v>1.0</v>
      </c>
      <c r="AL50" s="11" t="s">
        <v>436</v>
      </c>
    </row>
    <row r="51">
      <c r="A51" s="8">
        <v>1006.0</v>
      </c>
      <c r="B51" s="7">
        <v>45868.180555555555</v>
      </c>
      <c r="C51" s="5" t="s">
        <v>437</v>
      </c>
      <c r="D51" s="5" t="s">
        <v>433</v>
      </c>
      <c r="E51" s="5" t="s">
        <v>211</v>
      </c>
      <c r="F51" s="5">
        <v>2.0</v>
      </c>
      <c r="G51" s="5">
        <v>5.0</v>
      </c>
      <c r="H51" s="5" t="s">
        <v>199</v>
      </c>
      <c r="I51" s="5">
        <v>6.0</v>
      </c>
      <c r="J51" s="5">
        <v>5.0</v>
      </c>
      <c r="K51" s="5">
        <v>4.0</v>
      </c>
      <c r="L51" s="5">
        <v>5.0</v>
      </c>
      <c r="M51" s="5">
        <v>5.0</v>
      </c>
      <c r="N51" s="5">
        <v>7.0</v>
      </c>
      <c r="O51" s="5">
        <v>6.0</v>
      </c>
      <c r="P51" s="5">
        <v>3.0</v>
      </c>
      <c r="Q51" s="5">
        <v>5.0</v>
      </c>
      <c r="R51" s="5">
        <v>5.0</v>
      </c>
      <c r="S51" s="5">
        <v>6.0</v>
      </c>
      <c r="T51" s="5">
        <v>6.0</v>
      </c>
      <c r="U51" s="11" t="s">
        <v>438</v>
      </c>
      <c r="V51" s="5" t="s">
        <v>206</v>
      </c>
      <c r="W51" s="5">
        <v>6.0</v>
      </c>
      <c r="X51" s="5">
        <v>4.0</v>
      </c>
      <c r="Y51" s="5">
        <v>5.0</v>
      </c>
      <c r="Z51" s="5">
        <v>5.0</v>
      </c>
      <c r="AA51" s="5">
        <v>5.0</v>
      </c>
      <c r="AB51" s="5">
        <v>6.0</v>
      </c>
      <c r="AC51" s="11" t="s">
        <v>439</v>
      </c>
      <c r="AD51" s="5" t="s">
        <v>206</v>
      </c>
      <c r="AE51" s="5">
        <v>5.0</v>
      </c>
      <c r="AF51" s="5">
        <v>6.0</v>
      </c>
      <c r="AG51" s="5">
        <v>7.0</v>
      </c>
      <c r="AH51" s="5">
        <v>1.0</v>
      </c>
      <c r="AI51" s="5">
        <v>2.0</v>
      </c>
      <c r="AJ51" s="5">
        <v>1.0</v>
      </c>
      <c r="AK51" s="5">
        <v>1.0</v>
      </c>
      <c r="AL51" s="5" t="s">
        <v>440</v>
      </c>
    </row>
    <row r="52">
      <c r="A52" s="8">
        <v>961.0</v>
      </c>
      <c r="B52" s="7">
        <v>45868.183333333334</v>
      </c>
      <c r="C52" s="5" t="s">
        <v>441</v>
      </c>
      <c r="D52" s="5" t="s">
        <v>442</v>
      </c>
      <c r="E52" s="5" t="s">
        <v>197</v>
      </c>
      <c r="F52" s="5">
        <v>3.0</v>
      </c>
      <c r="G52" s="5">
        <v>5.0</v>
      </c>
      <c r="H52" s="5" t="s">
        <v>199</v>
      </c>
      <c r="I52" s="5">
        <v>3.0</v>
      </c>
      <c r="J52" s="5">
        <v>5.0</v>
      </c>
      <c r="K52" s="5">
        <v>5.0</v>
      </c>
      <c r="L52" s="5">
        <v>6.0</v>
      </c>
      <c r="M52" s="5">
        <v>6.0</v>
      </c>
      <c r="N52" s="5">
        <v>6.0</v>
      </c>
      <c r="O52" s="5">
        <v>6.0</v>
      </c>
      <c r="P52" s="5">
        <v>6.0</v>
      </c>
      <c r="Q52" s="5">
        <v>4.0</v>
      </c>
      <c r="R52" s="5">
        <v>5.0</v>
      </c>
      <c r="S52" s="5">
        <v>6.0</v>
      </c>
      <c r="T52" s="5">
        <v>4.0</v>
      </c>
      <c r="U52" s="5" t="s">
        <v>443</v>
      </c>
      <c r="V52" s="5" t="s">
        <v>206</v>
      </c>
      <c r="W52" s="5">
        <v>3.0</v>
      </c>
      <c r="X52" s="5">
        <v>3.0</v>
      </c>
      <c r="Y52" s="5">
        <v>3.0</v>
      </c>
      <c r="Z52" s="5">
        <v>3.0</v>
      </c>
      <c r="AA52" s="5">
        <v>4.0</v>
      </c>
      <c r="AB52" s="5">
        <v>5.0</v>
      </c>
      <c r="AC52" s="5" t="s">
        <v>444</v>
      </c>
      <c r="AD52" s="5" t="s">
        <v>206</v>
      </c>
      <c r="AE52" s="5">
        <v>4.0</v>
      </c>
      <c r="AF52" s="5">
        <v>5.0</v>
      </c>
      <c r="AG52" s="5">
        <v>5.0</v>
      </c>
      <c r="AH52" s="5">
        <v>2.0</v>
      </c>
      <c r="AI52" s="5">
        <v>3.0</v>
      </c>
      <c r="AJ52" s="5">
        <v>5.0</v>
      </c>
      <c r="AK52" s="5">
        <v>3.0</v>
      </c>
      <c r="AL52" s="5" t="s">
        <v>445</v>
      </c>
    </row>
    <row r="53">
      <c r="A53" s="8">
        <v>829.0</v>
      </c>
      <c r="B53" s="7">
        <v>45868.19375</v>
      </c>
      <c r="C53" s="5" t="s">
        <v>446</v>
      </c>
      <c r="D53" s="5" t="s">
        <v>442</v>
      </c>
      <c r="E53" s="5" t="s">
        <v>197</v>
      </c>
      <c r="F53" s="5">
        <v>5.0</v>
      </c>
      <c r="G53" s="5">
        <v>3.0</v>
      </c>
      <c r="H53" s="5" t="s">
        <v>199</v>
      </c>
      <c r="I53" s="5">
        <v>4.0</v>
      </c>
      <c r="J53" s="5">
        <v>5.0</v>
      </c>
      <c r="K53" s="5">
        <v>7.0</v>
      </c>
      <c r="L53" s="5">
        <v>6.0</v>
      </c>
      <c r="M53" s="5">
        <v>7.0</v>
      </c>
      <c r="N53" s="5">
        <v>7.0</v>
      </c>
      <c r="O53" s="5">
        <v>6.0</v>
      </c>
      <c r="P53" s="5">
        <v>6.0</v>
      </c>
      <c r="Q53" s="5">
        <v>3.0</v>
      </c>
      <c r="R53" s="5">
        <v>5.0</v>
      </c>
      <c r="S53" s="5">
        <v>5.0</v>
      </c>
      <c r="T53" s="5">
        <v>5.0</v>
      </c>
      <c r="U53" s="5" t="s">
        <v>447</v>
      </c>
      <c r="V53" s="5" t="s">
        <v>206</v>
      </c>
      <c r="W53" s="5">
        <v>5.0</v>
      </c>
      <c r="X53" s="5">
        <v>5.0</v>
      </c>
      <c r="Y53" s="5">
        <v>4.0</v>
      </c>
      <c r="Z53" s="5">
        <v>5.0</v>
      </c>
      <c r="AA53" s="5">
        <v>3.0</v>
      </c>
      <c r="AB53" s="5">
        <v>5.0</v>
      </c>
      <c r="AC53" s="5" t="s">
        <v>448</v>
      </c>
      <c r="AD53" s="5" t="s">
        <v>206</v>
      </c>
      <c r="AE53" s="5">
        <v>6.0</v>
      </c>
      <c r="AF53" s="5">
        <v>6.0</v>
      </c>
      <c r="AG53" s="5">
        <v>6.0</v>
      </c>
      <c r="AH53" s="5">
        <v>2.0</v>
      </c>
      <c r="AI53" s="5">
        <v>1.0</v>
      </c>
      <c r="AJ53" s="5">
        <v>2.0</v>
      </c>
      <c r="AK53" s="5">
        <v>1.0</v>
      </c>
      <c r="AL53" s="5" t="s">
        <v>449</v>
      </c>
    </row>
    <row r="54">
      <c r="A54" s="8">
        <v>1471.0</v>
      </c>
      <c r="B54" s="7">
        <v>45868.20138888889</v>
      </c>
      <c r="C54" s="5" t="s">
        <v>450</v>
      </c>
      <c r="D54" s="5" t="s">
        <v>433</v>
      </c>
      <c r="E54" s="5" t="s">
        <v>197</v>
      </c>
      <c r="F54" s="5">
        <v>6.0</v>
      </c>
      <c r="G54" s="5">
        <v>6.0</v>
      </c>
      <c r="H54" s="5" t="s">
        <v>199</v>
      </c>
      <c r="I54" s="5">
        <v>6.0</v>
      </c>
      <c r="J54" s="5">
        <v>7.0</v>
      </c>
      <c r="K54" s="5">
        <v>7.0</v>
      </c>
      <c r="L54" s="5">
        <v>6.0</v>
      </c>
      <c r="M54" s="5">
        <v>4.0</v>
      </c>
      <c r="N54" s="5">
        <v>6.0</v>
      </c>
      <c r="O54" s="5">
        <v>6.0</v>
      </c>
      <c r="P54" s="5">
        <v>6.0</v>
      </c>
      <c r="Q54" s="5">
        <v>6.0</v>
      </c>
      <c r="R54" s="5">
        <v>5.0</v>
      </c>
      <c r="S54" s="5">
        <v>7.0</v>
      </c>
      <c r="T54" s="5">
        <v>6.0</v>
      </c>
      <c r="U54" s="11" t="s">
        <v>451</v>
      </c>
      <c r="V54" s="5" t="s">
        <v>206</v>
      </c>
      <c r="W54" s="5">
        <v>6.0</v>
      </c>
      <c r="X54" s="5">
        <v>6.0</v>
      </c>
      <c r="Y54" s="5">
        <v>6.0</v>
      </c>
      <c r="Z54" s="5">
        <v>5.0</v>
      </c>
      <c r="AA54" s="5">
        <v>5.0</v>
      </c>
      <c r="AB54" s="5">
        <v>6.0</v>
      </c>
      <c r="AC54" s="5" t="s">
        <v>452</v>
      </c>
      <c r="AD54" s="5" t="s">
        <v>206</v>
      </c>
      <c r="AE54" s="5">
        <v>6.0</v>
      </c>
      <c r="AF54" s="5">
        <v>2.0</v>
      </c>
      <c r="AG54" s="5">
        <v>7.0</v>
      </c>
      <c r="AH54" s="5">
        <v>2.0</v>
      </c>
      <c r="AI54" s="5">
        <v>2.0</v>
      </c>
      <c r="AJ54" s="5">
        <v>5.0</v>
      </c>
      <c r="AK54" s="5">
        <v>6.0</v>
      </c>
      <c r="AL54" s="11" t="s">
        <v>453</v>
      </c>
    </row>
    <row r="55">
      <c r="A55" s="8">
        <v>626.0</v>
      </c>
      <c r="B55" s="7">
        <v>45868.20208333333</v>
      </c>
      <c r="C55" s="5" t="s">
        <v>454</v>
      </c>
      <c r="D55" s="5" t="s">
        <v>442</v>
      </c>
      <c r="E55" s="5" t="s">
        <v>216</v>
      </c>
      <c r="F55" s="5">
        <v>5.0</v>
      </c>
      <c r="G55" s="5">
        <v>5.0</v>
      </c>
      <c r="H55" s="5" t="s">
        <v>199</v>
      </c>
      <c r="I55" s="5">
        <v>5.0</v>
      </c>
      <c r="J55" s="5">
        <v>5.0</v>
      </c>
      <c r="K55" s="5">
        <v>6.0</v>
      </c>
      <c r="L55" s="5">
        <v>5.0</v>
      </c>
      <c r="M55" s="5">
        <v>5.0</v>
      </c>
      <c r="N55" s="5">
        <v>5.0</v>
      </c>
      <c r="O55" s="5">
        <v>5.0</v>
      </c>
      <c r="P55" s="5">
        <v>5.0</v>
      </c>
      <c r="Q55" s="5">
        <v>4.0</v>
      </c>
      <c r="R55" s="5">
        <v>3.0</v>
      </c>
      <c r="S55" s="5">
        <v>5.0</v>
      </c>
      <c r="T55" s="5">
        <v>2.0</v>
      </c>
      <c r="U55" s="5" t="s">
        <v>455</v>
      </c>
      <c r="V55" s="5" t="s">
        <v>206</v>
      </c>
      <c r="W55" s="5">
        <v>5.0</v>
      </c>
      <c r="X55" s="5">
        <v>5.0</v>
      </c>
      <c r="Y55" s="5">
        <v>5.0</v>
      </c>
      <c r="Z55" s="5">
        <v>6.0</v>
      </c>
      <c r="AA55" s="5">
        <v>6.0</v>
      </c>
      <c r="AB55" s="5">
        <v>6.0</v>
      </c>
      <c r="AC55" s="5" t="s">
        <v>456</v>
      </c>
      <c r="AD55" s="5" t="s">
        <v>206</v>
      </c>
      <c r="AE55" s="5">
        <v>6.0</v>
      </c>
      <c r="AF55" s="5">
        <v>6.0</v>
      </c>
      <c r="AG55" s="5">
        <v>6.0</v>
      </c>
      <c r="AH55" s="5">
        <v>2.0</v>
      </c>
      <c r="AI55" s="5">
        <v>2.0</v>
      </c>
      <c r="AJ55" s="5">
        <v>2.0</v>
      </c>
      <c r="AK55" s="5">
        <v>2.0</v>
      </c>
      <c r="AL55" s="5" t="s">
        <v>457</v>
      </c>
    </row>
    <row r="56">
      <c r="A56" s="8">
        <v>319.0</v>
      </c>
      <c r="B56" s="7">
        <v>45868.21527777778</v>
      </c>
      <c r="C56" s="5" t="s">
        <v>458</v>
      </c>
      <c r="D56" s="5" t="s">
        <v>442</v>
      </c>
      <c r="E56" s="5" t="s">
        <v>263</v>
      </c>
      <c r="F56" s="5">
        <v>5.0</v>
      </c>
      <c r="G56" s="5">
        <v>5.0</v>
      </c>
      <c r="H56" s="5" t="s">
        <v>199</v>
      </c>
      <c r="I56" s="5">
        <v>6.0</v>
      </c>
      <c r="J56" s="5">
        <v>5.0</v>
      </c>
      <c r="K56" s="5">
        <v>5.0</v>
      </c>
      <c r="L56" s="5">
        <v>6.0</v>
      </c>
      <c r="M56" s="5">
        <v>6.0</v>
      </c>
      <c r="N56" s="5">
        <v>6.0</v>
      </c>
      <c r="O56" s="5">
        <v>6.0</v>
      </c>
      <c r="P56" s="5">
        <v>6.0</v>
      </c>
      <c r="Q56" s="5">
        <v>5.0</v>
      </c>
      <c r="R56" s="5">
        <v>4.0</v>
      </c>
      <c r="S56" s="5">
        <v>6.0</v>
      </c>
      <c r="T56" s="5">
        <v>4.0</v>
      </c>
      <c r="U56" s="5" t="s">
        <v>459</v>
      </c>
      <c r="V56" s="5" t="s">
        <v>206</v>
      </c>
      <c r="W56" s="5">
        <v>6.0</v>
      </c>
      <c r="X56" s="5">
        <v>6.0</v>
      </c>
      <c r="Y56" s="5">
        <v>6.0</v>
      </c>
      <c r="Z56" s="5">
        <v>4.0</v>
      </c>
      <c r="AA56" s="5">
        <v>6.0</v>
      </c>
      <c r="AB56" s="5">
        <v>6.0</v>
      </c>
      <c r="AC56" s="5" t="s">
        <v>460</v>
      </c>
      <c r="AD56" s="5" t="s">
        <v>206</v>
      </c>
      <c r="AE56" s="5">
        <v>5.0</v>
      </c>
      <c r="AF56" s="5">
        <v>5.0</v>
      </c>
      <c r="AG56" s="5">
        <v>4.0</v>
      </c>
      <c r="AH56" s="5">
        <v>3.0</v>
      </c>
      <c r="AI56" s="5">
        <v>3.0</v>
      </c>
      <c r="AJ56" s="5">
        <v>5.0</v>
      </c>
      <c r="AK56" s="5">
        <v>5.0</v>
      </c>
      <c r="AL56" s="5" t="s">
        <v>461</v>
      </c>
    </row>
    <row r="57">
      <c r="A57" s="8">
        <v>746.0</v>
      </c>
      <c r="B57" s="7">
        <v>45868.21597222222</v>
      </c>
      <c r="C57" s="5" t="s">
        <v>462</v>
      </c>
      <c r="D57" s="5" t="s">
        <v>433</v>
      </c>
      <c r="E57" s="5" t="s">
        <v>263</v>
      </c>
      <c r="F57" s="5">
        <v>6.0</v>
      </c>
      <c r="G57" s="5">
        <v>5.0</v>
      </c>
      <c r="H57" s="5" t="s">
        <v>199</v>
      </c>
      <c r="I57" s="5">
        <v>6.0</v>
      </c>
      <c r="J57" s="5">
        <v>7.0</v>
      </c>
      <c r="K57" s="5">
        <v>6.0</v>
      </c>
      <c r="L57" s="5">
        <v>6.0</v>
      </c>
      <c r="M57" s="5">
        <v>5.0</v>
      </c>
      <c r="N57" s="5">
        <v>6.0</v>
      </c>
      <c r="O57" s="5">
        <v>6.0</v>
      </c>
      <c r="P57" s="5">
        <v>6.0</v>
      </c>
      <c r="Q57" s="5">
        <v>2.0</v>
      </c>
      <c r="R57" s="5">
        <v>3.0</v>
      </c>
      <c r="S57" s="5">
        <v>5.0</v>
      </c>
      <c r="T57" s="5">
        <v>6.0</v>
      </c>
      <c r="U57" s="11" t="s">
        <v>463</v>
      </c>
      <c r="V57" s="5" t="s">
        <v>206</v>
      </c>
      <c r="W57" s="5">
        <v>6.0</v>
      </c>
      <c r="X57" s="5">
        <v>6.0</v>
      </c>
      <c r="Y57" s="5">
        <v>6.0</v>
      </c>
      <c r="Z57" s="5">
        <v>5.0</v>
      </c>
      <c r="AA57" s="5">
        <v>5.0</v>
      </c>
      <c r="AB57" s="5">
        <v>6.0</v>
      </c>
      <c r="AC57" s="5" t="s">
        <v>464</v>
      </c>
      <c r="AD57" s="5" t="s">
        <v>206</v>
      </c>
      <c r="AE57" s="5">
        <v>6.0</v>
      </c>
      <c r="AF57" s="5">
        <v>5.0</v>
      </c>
      <c r="AG57" s="5">
        <v>7.0</v>
      </c>
      <c r="AH57" s="5">
        <v>2.0</v>
      </c>
      <c r="AI57" s="5">
        <v>2.0</v>
      </c>
      <c r="AJ57" s="5">
        <v>6.0</v>
      </c>
      <c r="AK57" s="5">
        <v>5.0</v>
      </c>
      <c r="AL57" s="11" t="s">
        <v>465</v>
      </c>
    </row>
    <row r="58">
      <c r="A58" s="8">
        <v>459.0</v>
      </c>
      <c r="B58" s="7">
        <v>45868.222916666666</v>
      </c>
      <c r="C58" s="5" t="s">
        <v>466</v>
      </c>
      <c r="D58" s="5" t="s">
        <v>411</v>
      </c>
      <c r="E58" s="5" t="s">
        <v>211</v>
      </c>
      <c r="F58" s="5">
        <v>3.0</v>
      </c>
      <c r="G58" s="5">
        <v>3.0</v>
      </c>
      <c r="H58" s="5" t="s">
        <v>199</v>
      </c>
      <c r="I58" s="5">
        <v>5.0</v>
      </c>
      <c r="J58" s="5">
        <v>5.0</v>
      </c>
      <c r="K58" s="5">
        <v>4.0</v>
      </c>
      <c r="L58" s="5">
        <v>5.0</v>
      </c>
      <c r="M58" s="5">
        <v>5.0</v>
      </c>
      <c r="N58" s="5">
        <v>6.0</v>
      </c>
      <c r="O58" s="5">
        <v>5.0</v>
      </c>
      <c r="P58" s="5">
        <v>5.0</v>
      </c>
      <c r="Q58" s="5">
        <v>4.0</v>
      </c>
      <c r="R58" s="5">
        <v>4.0</v>
      </c>
      <c r="S58" s="5">
        <v>5.0</v>
      </c>
      <c r="T58" s="5">
        <v>7.0</v>
      </c>
      <c r="U58" s="5" t="s">
        <v>467</v>
      </c>
      <c r="V58" s="5" t="s">
        <v>206</v>
      </c>
      <c r="W58" s="5">
        <v>5.0</v>
      </c>
      <c r="X58" s="5">
        <v>6.0</v>
      </c>
      <c r="Y58" s="5">
        <v>6.0</v>
      </c>
      <c r="Z58" s="5">
        <v>5.0</v>
      </c>
      <c r="AA58" s="5">
        <v>4.0</v>
      </c>
      <c r="AB58" s="5">
        <v>5.0</v>
      </c>
      <c r="AC58" s="5" t="s">
        <v>413</v>
      </c>
      <c r="AD58" s="5" t="s">
        <v>206</v>
      </c>
      <c r="AE58" s="5">
        <v>5.0</v>
      </c>
      <c r="AF58" s="5">
        <v>5.0</v>
      </c>
      <c r="AG58" s="5">
        <v>6.0</v>
      </c>
      <c r="AH58" s="5">
        <v>1.0</v>
      </c>
      <c r="AI58" s="5">
        <v>1.0</v>
      </c>
      <c r="AJ58" s="5">
        <v>1.0</v>
      </c>
      <c r="AK58" s="5">
        <v>1.0</v>
      </c>
      <c r="AL58" s="5" t="s">
        <v>413</v>
      </c>
    </row>
    <row r="59">
      <c r="A59" s="8">
        <v>309.0</v>
      </c>
      <c r="B59" s="7">
        <v>45868.22986111111</v>
      </c>
      <c r="C59" s="5" t="s">
        <v>468</v>
      </c>
      <c r="D59" s="5" t="s">
        <v>411</v>
      </c>
      <c r="E59" s="5" t="s">
        <v>216</v>
      </c>
      <c r="F59" s="5">
        <v>4.0</v>
      </c>
      <c r="G59" s="5">
        <v>2.0</v>
      </c>
      <c r="H59" s="5" t="s">
        <v>199</v>
      </c>
      <c r="I59" s="5">
        <v>5.0</v>
      </c>
      <c r="J59" s="5">
        <v>6.0</v>
      </c>
      <c r="K59" s="5">
        <v>3.0</v>
      </c>
      <c r="L59" s="5">
        <v>2.0</v>
      </c>
      <c r="M59" s="5">
        <v>5.0</v>
      </c>
      <c r="N59" s="5">
        <v>5.0</v>
      </c>
      <c r="O59" s="5">
        <v>5.0</v>
      </c>
      <c r="P59" s="5">
        <v>5.0</v>
      </c>
      <c r="Q59" s="5">
        <v>3.0</v>
      </c>
      <c r="R59" s="5">
        <v>4.0</v>
      </c>
      <c r="S59" s="5">
        <v>5.0</v>
      </c>
      <c r="T59" s="5">
        <v>3.0</v>
      </c>
      <c r="U59" s="5" t="s">
        <v>413</v>
      </c>
      <c r="V59" s="5" t="s">
        <v>206</v>
      </c>
      <c r="W59" s="5">
        <v>5.0</v>
      </c>
      <c r="X59" s="5">
        <v>5.0</v>
      </c>
      <c r="Y59" s="5">
        <v>4.0</v>
      </c>
      <c r="Z59" s="5">
        <v>5.0</v>
      </c>
      <c r="AA59" s="5">
        <v>5.0</v>
      </c>
      <c r="AB59" s="5">
        <v>5.0</v>
      </c>
      <c r="AC59" s="5" t="s">
        <v>413</v>
      </c>
      <c r="AD59" s="5" t="s">
        <v>206</v>
      </c>
      <c r="AE59" s="5">
        <v>6.0</v>
      </c>
      <c r="AF59" s="5">
        <v>5.0</v>
      </c>
      <c r="AG59" s="5">
        <v>5.0</v>
      </c>
      <c r="AH59" s="5">
        <v>1.0</v>
      </c>
      <c r="AI59" s="5">
        <v>1.0</v>
      </c>
      <c r="AJ59" s="5">
        <v>1.0</v>
      </c>
      <c r="AK59" s="5">
        <v>1.0</v>
      </c>
      <c r="AL59" s="5" t="s">
        <v>413</v>
      </c>
    </row>
    <row r="60">
      <c r="A60" s="8">
        <v>723.0</v>
      </c>
      <c r="B60" s="7">
        <v>45868.2375</v>
      </c>
      <c r="C60" s="5" t="s">
        <v>469</v>
      </c>
      <c r="D60" s="5" t="s">
        <v>470</v>
      </c>
      <c r="E60" s="5" t="s">
        <v>197</v>
      </c>
      <c r="F60" s="5">
        <v>5.0</v>
      </c>
      <c r="G60" s="5">
        <v>6.0</v>
      </c>
      <c r="H60" s="5" t="s">
        <v>199</v>
      </c>
      <c r="I60" s="5">
        <v>6.0</v>
      </c>
      <c r="J60" s="5">
        <v>6.0</v>
      </c>
      <c r="K60" s="5">
        <v>6.0</v>
      </c>
      <c r="L60" s="5">
        <v>6.0</v>
      </c>
      <c r="M60" s="5">
        <v>5.0</v>
      </c>
      <c r="N60" s="5">
        <v>6.0</v>
      </c>
      <c r="O60" s="5">
        <v>6.0</v>
      </c>
      <c r="P60" s="5">
        <v>6.0</v>
      </c>
      <c r="Q60" s="5">
        <v>4.0</v>
      </c>
      <c r="R60" s="5">
        <v>4.0</v>
      </c>
      <c r="S60" s="5">
        <v>5.0</v>
      </c>
      <c r="T60" s="5">
        <v>5.0</v>
      </c>
      <c r="U60" s="5" t="s">
        <v>471</v>
      </c>
      <c r="V60" s="5" t="s">
        <v>206</v>
      </c>
      <c r="W60" s="5">
        <v>4.0</v>
      </c>
      <c r="X60" s="5">
        <v>4.0</v>
      </c>
      <c r="Y60" s="5">
        <v>5.0</v>
      </c>
      <c r="Z60" s="5">
        <v>6.0</v>
      </c>
      <c r="AA60" s="5">
        <v>5.0</v>
      </c>
      <c r="AB60" s="5">
        <v>6.0</v>
      </c>
      <c r="AC60" s="5" t="s">
        <v>472</v>
      </c>
      <c r="AD60" s="5" t="s">
        <v>206</v>
      </c>
      <c r="AE60" s="5">
        <v>5.0</v>
      </c>
      <c r="AF60" s="5">
        <v>6.0</v>
      </c>
      <c r="AG60" s="5">
        <v>6.0</v>
      </c>
      <c r="AH60" s="5">
        <v>5.0</v>
      </c>
      <c r="AI60" s="5">
        <v>5.0</v>
      </c>
      <c r="AJ60" s="5">
        <v>7.0</v>
      </c>
      <c r="AK60" s="5">
        <v>2.0</v>
      </c>
      <c r="AL60" s="5" t="s">
        <v>473</v>
      </c>
    </row>
    <row r="61">
      <c r="A61" s="8">
        <v>488.0</v>
      </c>
      <c r="B61" s="7">
        <v>45868.24930555555</v>
      </c>
      <c r="C61" s="5" t="s">
        <v>474</v>
      </c>
      <c r="D61" s="5" t="s">
        <v>470</v>
      </c>
      <c r="E61" s="5" t="s">
        <v>263</v>
      </c>
      <c r="F61" s="5">
        <v>6.0</v>
      </c>
      <c r="G61" s="5">
        <v>6.0</v>
      </c>
      <c r="H61" s="5" t="s">
        <v>199</v>
      </c>
      <c r="I61" s="5">
        <v>6.0</v>
      </c>
      <c r="J61" s="5">
        <v>5.0</v>
      </c>
      <c r="K61" s="5">
        <v>6.0</v>
      </c>
      <c r="L61" s="5">
        <v>6.0</v>
      </c>
      <c r="M61" s="5">
        <v>6.0</v>
      </c>
      <c r="N61" s="5">
        <v>6.0</v>
      </c>
      <c r="O61" s="5">
        <v>7.0</v>
      </c>
      <c r="P61" s="5">
        <v>6.0</v>
      </c>
      <c r="Q61" s="5">
        <v>6.0</v>
      </c>
      <c r="R61" s="5">
        <v>5.0</v>
      </c>
      <c r="S61" s="5">
        <v>6.0</v>
      </c>
      <c r="T61" s="5">
        <v>7.0</v>
      </c>
      <c r="U61" s="5" t="s">
        <v>475</v>
      </c>
      <c r="V61" s="5" t="s">
        <v>206</v>
      </c>
      <c r="W61" s="5">
        <v>6.0</v>
      </c>
      <c r="X61" s="5">
        <v>5.0</v>
      </c>
      <c r="Y61" s="5">
        <v>6.0</v>
      </c>
      <c r="Z61" s="5">
        <v>5.0</v>
      </c>
      <c r="AA61" s="5">
        <v>5.0</v>
      </c>
      <c r="AB61" s="5">
        <v>5.0</v>
      </c>
      <c r="AC61" s="5" t="s">
        <v>476</v>
      </c>
      <c r="AD61" s="5" t="s">
        <v>206</v>
      </c>
      <c r="AE61" s="5">
        <v>6.0</v>
      </c>
      <c r="AF61" s="5">
        <v>6.0</v>
      </c>
      <c r="AG61" s="5">
        <v>6.0</v>
      </c>
      <c r="AH61" s="5">
        <v>5.0</v>
      </c>
      <c r="AI61" s="5">
        <v>5.0</v>
      </c>
      <c r="AJ61" s="5">
        <v>6.0</v>
      </c>
      <c r="AK61" s="5">
        <v>4.0</v>
      </c>
      <c r="AL61" s="5" t="s">
        <v>477</v>
      </c>
    </row>
    <row r="62">
      <c r="A62" s="8">
        <v>675.0</v>
      </c>
      <c r="B62" s="7">
        <v>45868.256944444445</v>
      </c>
      <c r="C62" s="5" t="s">
        <v>478</v>
      </c>
      <c r="D62" s="5" t="s">
        <v>428</v>
      </c>
      <c r="E62" s="5" t="s">
        <v>197</v>
      </c>
      <c r="F62" s="5">
        <v>3.0</v>
      </c>
      <c r="G62" s="5">
        <v>2.0</v>
      </c>
      <c r="H62" s="5" t="s">
        <v>199</v>
      </c>
      <c r="I62" s="5">
        <v>5.0</v>
      </c>
      <c r="J62" s="5">
        <v>5.0</v>
      </c>
      <c r="K62" s="5">
        <v>2.0</v>
      </c>
      <c r="L62" s="5">
        <v>2.0</v>
      </c>
      <c r="M62" s="5">
        <v>2.0</v>
      </c>
      <c r="N62" s="5">
        <v>5.0</v>
      </c>
      <c r="O62" s="5">
        <v>5.0</v>
      </c>
      <c r="P62" s="5">
        <v>5.0</v>
      </c>
      <c r="Q62" s="5">
        <v>2.0</v>
      </c>
      <c r="R62" s="5">
        <v>4.0</v>
      </c>
      <c r="S62" s="5">
        <v>5.0</v>
      </c>
      <c r="T62" s="5">
        <v>2.0</v>
      </c>
      <c r="U62" s="5" t="s">
        <v>479</v>
      </c>
      <c r="V62" s="5" t="s">
        <v>206</v>
      </c>
      <c r="W62" s="5">
        <v>5.0</v>
      </c>
      <c r="X62" s="5">
        <v>5.0</v>
      </c>
      <c r="Y62" s="5">
        <v>5.0</v>
      </c>
      <c r="Z62" s="5">
        <v>3.0</v>
      </c>
      <c r="AA62" s="5">
        <v>3.0</v>
      </c>
      <c r="AB62" s="5">
        <v>5.0</v>
      </c>
      <c r="AC62" s="5" t="s">
        <v>480</v>
      </c>
      <c r="AD62" s="5" t="s">
        <v>206</v>
      </c>
      <c r="AE62" s="5">
        <v>5.0</v>
      </c>
      <c r="AF62" s="5">
        <v>5.0</v>
      </c>
      <c r="AG62" s="5">
        <v>4.0</v>
      </c>
      <c r="AH62" s="5">
        <v>5.0</v>
      </c>
      <c r="AI62" s="5">
        <v>5.0</v>
      </c>
      <c r="AJ62" s="5">
        <v>5.0</v>
      </c>
      <c r="AK62" s="5">
        <v>3.0</v>
      </c>
      <c r="AL62" s="5" t="s">
        <v>481</v>
      </c>
    </row>
    <row r="63">
      <c r="A63" s="8">
        <v>735.0</v>
      </c>
      <c r="B63" s="7">
        <v>45868.25833333333</v>
      </c>
      <c r="C63" s="5" t="s">
        <v>482</v>
      </c>
      <c r="D63" s="5" t="s">
        <v>470</v>
      </c>
      <c r="E63" s="5" t="s">
        <v>211</v>
      </c>
      <c r="F63" s="5">
        <v>4.0</v>
      </c>
      <c r="G63" s="5">
        <v>6.0</v>
      </c>
      <c r="H63" s="5" t="s">
        <v>199</v>
      </c>
      <c r="I63" s="5">
        <v>5.0</v>
      </c>
      <c r="J63" s="5">
        <v>5.0</v>
      </c>
      <c r="K63" s="5">
        <v>5.0</v>
      </c>
      <c r="L63" s="5">
        <v>5.0</v>
      </c>
      <c r="M63" s="5">
        <v>4.0</v>
      </c>
      <c r="N63" s="5">
        <v>5.0</v>
      </c>
      <c r="O63" s="5">
        <v>6.0</v>
      </c>
      <c r="P63" s="5">
        <v>6.0</v>
      </c>
      <c r="Q63" s="5">
        <v>3.0</v>
      </c>
      <c r="R63" s="5">
        <v>4.0</v>
      </c>
      <c r="S63" s="5">
        <v>6.0</v>
      </c>
      <c r="T63" s="5">
        <v>6.0</v>
      </c>
      <c r="U63" s="5" t="s">
        <v>483</v>
      </c>
      <c r="V63" s="5" t="s">
        <v>206</v>
      </c>
      <c r="W63" s="5">
        <v>5.0</v>
      </c>
      <c r="X63" s="5">
        <v>4.0</v>
      </c>
      <c r="Y63" s="5">
        <v>5.0</v>
      </c>
      <c r="Z63" s="5">
        <v>3.0</v>
      </c>
      <c r="AA63" s="5">
        <v>3.0</v>
      </c>
      <c r="AB63" s="5">
        <v>6.0</v>
      </c>
      <c r="AC63" s="5" t="s">
        <v>484</v>
      </c>
      <c r="AD63" s="5" t="s">
        <v>206</v>
      </c>
      <c r="AE63" s="5">
        <v>6.0</v>
      </c>
      <c r="AF63" s="5">
        <v>6.0</v>
      </c>
      <c r="AG63" s="5">
        <v>4.0</v>
      </c>
      <c r="AH63" s="5">
        <v>5.0</v>
      </c>
      <c r="AI63" s="5">
        <v>4.0</v>
      </c>
      <c r="AJ63" s="5">
        <v>6.0</v>
      </c>
      <c r="AK63" s="5">
        <v>3.0</v>
      </c>
      <c r="AL63" s="5" t="s">
        <v>485</v>
      </c>
    </row>
    <row r="64">
      <c r="A64" s="8">
        <v>537.0</v>
      </c>
      <c r="B64" s="7">
        <v>45868.26527777778</v>
      </c>
      <c r="C64" s="5" t="s">
        <v>486</v>
      </c>
      <c r="D64" s="5" t="s">
        <v>470</v>
      </c>
      <c r="E64" s="5" t="s">
        <v>216</v>
      </c>
      <c r="F64" s="5">
        <v>6.0</v>
      </c>
      <c r="G64" s="5">
        <v>6.0</v>
      </c>
      <c r="H64" s="5" t="s">
        <v>199</v>
      </c>
      <c r="I64" s="5">
        <v>7.0</v>
      </c>
      <c r="J64" s="5">
        <v>6.0</v>
      </c>
      <c r="K64" s="5">
        <v>4.0</v>
      </c>
      <c r="L64" s="5">
        <v>6.0</v>
      </c>
      <c r="M64" s="5">
        <v>5.0</v>
      </c>
      <c r="N64" s="5">
        <v>6.0</v>
      </c>
      <c r="O64" s="5">
        <v>6.0</v>
      </c>
      <c r="P64" s="5">
        <v>6.0</v>
      </c>
      <c r="Q64" s="5">
        <v>5.0</v>
      </c>
      <c r="R64" s="5">
        <v>5.0</v>
      </c>
      <c r="S64" s="5">
        <v>6.0</v>
      </c>
      <c r="T64" s="5">
        <v>5.0</v>
      </c>
      <c r="U64" s="5" t="s">
        <v>487</v>
      </c>
      <c r="V64" s="5" t="s">
        <v>206</v>
      </c>
      <c r="W64" s="5">
        <v>6.0</v>
      </c>
      <c r="X64" s="5">
        <v>6.0</v>
      </c>
      <c r="Y64" s="5">
        <v>6.0</v>
      </c>
      <c r="Z64" s="5">
        <v>5.0</v>
      </c>
      <c r="AA64" s="5">
        <v>6.0</v>
      </c>
      <c r="AB64" s="5">
        <v>6.0</v>
      </c>
      <c r="AC64" s="5" t="s">
        <v>488</v>
      </c>
      <c r="AD64" s="5" t="s">
        <v>206</v>
      </c>
      <c r="AE64" s="5">
        <v>6.0</v>
      </c>
      <c r="AF64" s="5">
        <v>6.0</v>
      </c>
      <c r="AG64" s="5">
        <v>6.0</v>
      </c>
      <c r="AH64" s="5">
        <v>4.0</v>
      </c>
      <c r="AI64" s="5">
        <v>4.0</v>
      </c>
      <c r="AJ64" s="5">
        <v>5.0</v>
      </c>
      <c r="AK64" s="5">
        <v>3.0</v>
      </c>
      <c r="AL64" s="5" t="s">
        <v>489</v>
      </c>
    </row>
    <row r="65">
      <c r="A65" s="8">
        <v>616.0</v>
      </c>
      <c r="B65" s="7">
        <v>45868.27222222222</v>
      </c>
      <c r="C65" s="5" t="s">
        <v>491</v>
      </c>
      <c r="D65" s="5" t="s">
        <v>428</v>
      </c>
      <c r="E65" s="5" t="s">
        <v>263</v>
      </c>
      <c r="F65" s="5">
        <v>2.0</v>
      </c>
      <c r="G65" s="5">
        <v>1.0</v>
      </c>
      <c r="H65" s="5" t="s">
        <v>199</v>
      </c>
      <c r="I65" s="5">
        <v>5.0</v>
      </c>
      <c r="J65" s="5">
        <v>4.0</v>
      </c>
      <c r="K65" s="5">
        <v>2.0</v>
      </c>
      <c r="L65" s="5">
        <v>2.0</v>
      </c>
      <c r="M65" s="5">
        <v>6.0</v>
      </c>
      <c r="N65" s="5">
        <v>5.0</v>
      </c>
      <c r="O65" s="5">
        <v>6.0</v>
      </c>
      <c r="P65" s="5">
        <v>6.0</v>
      </c>
      <c r="Q65" s="5">
        <v>2.0</v>
      </c>
      <c r="R65" s="5">
        <v>6.0</v>
      </c>
      <c r="S65" s="5">
        <v>5.0</v>
      </c>
      <c r="T65" s="5">
        <v>5.0</v>
      </c>
      <c r="U65" s="5" t="s">
        <v>492</v>
      </c>
      <c r="V65" s="5" t="s">
        <v>206</v>
      </c>
      <c r="W65" s="5">
        <v>2.0</v>
      </c>
      <c r="X65" s="5">
        <v>2.0</v>
      </c>
      <c r="Y65" s="5">
        <v>2.0</v>
      </c>
      <c r="Z65" s="5">
        <v>2.0</v>
      </c>
      <c r="AA65" s="5">
        <v>7.0</v>
      </c>
      <c r="AB65" s="5">
        <v>1.0</v>
      </c>
      <c r="AC65" s="5" t="s">
        <v>493</v>
      </c>
      <c r="AD65" s="5" t="s">
        <v>206</v>
      </c>
      <c r="AE65" s="5">
        <v>6.0</v>
      </c>
      <c r="AF65" s="5">
        <v>2.0</v>
      </c>
      <c r="AG65" s="5">
        <v>3.0</v>
      </c>
      <c r="AH65" s="5">
        <v>7.0</v>
      </c>
      <c r="AI65" s="5">
        <v>7.0</v>
      </c>
      <c r="AJ65" s="5">
        <v>7.0</v>
      </c>
      <c r="AK65" s="5">
        <v>6.0</v>
      </c>
      <c r="AL65" s="5" t="s">
        <v>494</v>
      </c>
    </row>
    <row r="66">
      <c r="A66" s="8">
        <v>1057.0</v>
      </c>
      <c r="B66" s="7">
        <v>45868.290972222225</v>
      </c>
      <c r="C66" s="5" t="s">
        <v>495</v>
      </c>
      <c r="D66" s="5" t="s">
        <v>496</v>
      </c>
      <c r="E66" s="5" t="s">
        <v>263</v>
      </c>
      <c r="F66" s="5">
        <v>2.0</v>
      </c>
      <c r="G66" s="5">
        <v>3.0</v>
      </c>
      <c r="H66" s="5" t="s">
        <v>199</v>
      </c>
      <c r="I66" s="5">
        <v>5.0</v>
      </c>
      <c r="J66" s="5">
        <v>6.0</v>
      </c>
      <c r="K66" s="5">
        <v>2.0</v>
      </c>
      <c r="L66" s="5">
        <v>6.0</v>
      </c>
      <c r="M66" s="5">
        <v>3.0</v>
      </c>
      <c r="N66" s="5">
        <v>6.0</v>
      </c>
      <c r="O66" s="5">
        <v>7.0</v>
      </c>
      <c r="P66" s="5">
        <v>7.0</v>
      </c>
      <c r="Q66" s="5">
        <v>4.0</v>
      </c>
      <c r="R66" s="5">
        <v>3.0</v>
      </c>
      <c r="S66" s="5">
        <v>5.0</v>
      </c>
      <c r="T66" s="5">
        <v>2.0</v>
      </c>
      <c r="U66" s="11" t="s">
        <v>497</v>
      </c>
      <c r="V66" s="5" t="s">
        <v>206</v>
      </c>
      <c r="W66" s="5">
        <v>3.0</v>
      </c>
      <c r="X66" s="5">
        <v>6.0</v>
      </c>
      <c r="Y66" s="5">
        <v>5.0</v>
      </c>
      <c r="Z66" s="5">
        <v>4.0</v>
      </c>
      <c r="AA66" s="5">
        <v>2.0</v>
      </c>
      <c r="AB66" s="5">
        <v>4.0</v>
      </c>
      <c r="AC66" s="11" t="s">
        <v>498</v>
      </c>
      <c r="AD66" s="5" t="s">
        <v>206</v>
      </c>
      <c r="AE66" s="5">
        <v>5.0</v>
      </c>
      <c r="AF66" s="5">
        <v>1.0</v>
      </c>
      <c r="AG66" s="5">
        <v>6.0</v>
      </c>
      <c r="AH66" s="5">
        <v>4.0</v>
      </c>
      <c r="AI66" s="5">
        <v>1.0</v>
      </c>
      <c r="AJ66" s="5">
        <v>2.0</v>
      </c>
      <c r="AK66" s="5">
        <v>2.0</v>
      </c>
      <c r="AL66" s="5" t="s">
        <v>499</v>
      </c>
    </row>
    <row r="67">
      <c r="A67" s="8">
        <v>1105.0</v>
      </c>
      <c r="B67" s="7">
        <v>45868.294444444444</v>
      </c>
      <c r="C67" s="5" t="s">
        <v>500</v>
      </c>
      <c r="D67" s="5" t="s">
        <v>501</v>
      </c>
      <c r="E67" s="5" t="s">
        <v>211</v>
      </c>
      <c r="F67" s="5">
        <v>5.0</v>
      </c>
      <c r="G67" s="5">
        <v>6.0</v>
      </c>
      <c r="H67" s="5" t="s">
        <v>199</v>
      </c>
      <c r="I67" s="5">
        <v>6.0</v>
      </c>
      <c r="J67" s="5">
        <v>6.0</v>
      </c>
      <c r="K67" s="5">
        <v>4.0</v>
      </c>
      <c r="L67" s="5">
        <v>5.0</v>
      </c>
      <c r="M67" s="5">
        <v>6.0</v>
      </c>
      <c r="N67" s="5">
        <v>6.0</v>
      </c>
      <c r="O67" s="5">
        <v>6.0</v>
      </c>
      <c r="P67" s="5">
        <v>6.0</v>
      </c>
      <c r="Q67" s="5">
        <v>6.0</v>
      </c>
      <c r="R67" s="5">
        <v>4.0</v>
      </c>
      <c r="S67" s="5">
        <v>6.0</v>
      </c>
      <c r="T67" s="5">
        <v>1.0</v>
      </c>
      <c r="U67" s="5" t="s">
        <v>502</v>
      </c>
      <c r="V67" s="5" t="s">
        <v>206</v>
      </c>
      <c r="W67" s="5">
        <v>6.0</v>
      </c>
      <c r="X67" s="5">
        <v>7.0</v>
      </c>
      <c r="Y67" s="5">
        <v>7.0</v>
      </c>
      <c r="Z67" s="5">
        <v>7.0</v>
      </c>
      <c r="AA67" s="5">
        <v>6.0</v>
      </c>
      <c r="AB67" s="5">
        <v>7.0</v>
      </c>
      <c r="AC67" s="5" t="s">
        <v>503</v>
      </c>
      <c r="AD67" s="5" t="s">
        <v>206</v>
      </c>
      <c r="AE67" s="5">
        <v>7.0</v>
      </c>
      <c r="AF67" s="5">
        <v>6.0</v>
      </c>
      <c r="AG67" s="5">
        <v>7.0</v>
      </c>
      <c r="AH67" s="5">
        <v>1.0</v>
      </c>
      <c r="AI67" s="5">
        <v>1.0</v>
      </c>
      <c r="AJ67" s="5">
        <v>1.0</v>
      </c>
      <c r="AK67" s="5">
        <v>1.0</v>
      </c>
      <c r="AL67" s="5" t="s">
        <v>504</v>
      </c>
    </row>
    <row r="68">
      <c r="A68" s="8">
        <v>553.0</v>
      </c>
      <c r="B68" s="7">
        <v>45868.30763888889</v>
      </c>
      <c r="C68" s="5" t="s">
        <v>505</v>
      </c>
      <c r="D68" s="5" t="s">
        <v>496</v>
      </c>
      <c r="E68" s="5" t="s">
        <v>216</v>
      </c>
      <c r="F68" s="5">
        <v>4.0</v>
      </c>
      <c r="G68" s="5">
        <v>4.0</v>
      </c>
      <c r="H68" s="5" t="s">
        <v>199</v>
      </c>
      <c r="I68" s="5">
        <v>7.0</v>
      </c>
      <c r="J68" s="5">
        <v>7.0</v>
      </c>
      <c r="K68" s="5">
        <v>5.0</v>
      </c>
      <c r="L68" s="5">
        <v>3.0</v>
      </c>
      <c r="M68" s="5">
        <v>5.0</v>
      </c>
      <c r="N68" s="5">
        <v>7.0</v>
      </c>
      <c r="O68" s="5">
        <v>7.0</v>
      </c>
      <c r="P68" s="5">
        <v>7.0</v>
      </c>
      <c r="Q68" s="5">
        <v>4.0</v>
      </c>
      <c r="R68" s="5">
        <v>2.0</v>
      </c>
      <c r="S68" s="5">
        <v>7.0</v>
      </c>
      <c r="T68" s="5">
        <v>1.0</v>
      </c>
      <c r="U68" s="5" t="s">
        <v>506</v>
      </c>
      <c r="V68" s="5" t="s">
        <v>206</v>
      </c>
      <c r="W68" s="5">
        <v>7.0</v>
      </c>
      <c r="X68" s="5">
        <v>6.0</v>
      </c>
      <c r="Y68" s="5">
        <v>6.0</v>
      </c>
      <c r="Z68" s="5">
        <v>7.0</v>
      </c>
      <c r="AA68" s="5">
        <v>7.0</v>
      </c>
      <c r="AB68" s="5">
        <v>7.0</v>
      </c>
      <c r="AC68" s="5" t="s">
        <v>507</v>
      </c>
      <c r="AD68" s="5" t="s">
        <v>206</v>
      </c>
      <c r="AE68" s="5">
        <v>7.0</v>
      </c>
      <c r="AF68" s="5">
        <v>7.0</v>
      </c>
      <c r="AG68" s="5">
        <v>7.0</v>
      </c>
      <c r="AH68" s="5">
        <v>1.0</v>
      </c>
      <c r="AI68" s="5">
        <v>1.0</v>
      </c>
      <c r="AJ68" s="5">
        <v>1.0</v>
      </c>
      <c r="AK68" s="5">
        <v>1.0</v>
      </c>
      <c r="AL68" s="5" t="s">
        <v>508</v>
      </c>
    </row>
    <row r="69">
      <c r="A69" s="8">
        <v>729.0</v>
      </c>
      <c r="B69" s="7">
        <v>45868.30972222222</v>
      </c>
      <c r="C69" s="5" t="s">
        <v>509</v>
      </c>
      <c r="D69" s="5" t="s">
        <v>501</v>
      </c>
      <c r="E69" s="5" t="s">
        <v>263</v>
      </c>
      <c r="F69" s="5">
        <v>6.0</v>
      </c>
      <c r="G69" s="5">
        <v>6.0</v>
      </c>
      <c r="H69" s="5" t="s">
        <v>199</v>
      </c>
      <c r="I69" s="5">
        <v>7.0</v>
      </c>
      <c r="J69" s="5">
        <v>7.0</v>
      </c>
      <c r="K69" s="5">
        <v>6.0</v>
      </c>
      <c r="L69" s="5">
        <v>6.0</v>
      </c>
      <c r="M69" s="5">
        <v>7.0</v>
      </c>
      <c r="N69" s="5">
        <v>7.0</v>
      </c>
      <c r="O69" s="5">
        <v>7.0</v>
      </c>
      <c r="P69" s="5">
        <v>7.0</v>
      </c>
      <c r="Q69" s="5">
        <v>6.0</v>
      </c>
      <c r="R69" s="5">
        <v>6.0</v>
      </c>
      <c r="S69" s="5">
        <v>6.0</v>
      </c>
      <c r="T69" s="5">
        <v>4.0</v>
      </c>
      <c r="U69" s="5" t="s">
        <v>510</v>
      </c>
      <c r="V69" s="5" t="s">
        <v>206</v>
      </c>
      <c r="W69" s="5">
        <v>6.0</v>
      </c>
      <c r="X69" s="5">
        <v>7.0</v>
      </c>
      <c r="Y69" s="5">
        <v>7.0</v>
      </c>
      <c r="Z69" s="5">
        <v>7.0</v>
      </c>
      <c r="AA69" s="5">
        <v>7.0</v>
      </c>
      <c r="AB69" s="5">
        <v>7.0</v>
      </c>
      <c r="AC69" s="5" t="s">
        <v>511</v>
      </c>
      <c r="AD69" s="5" t="s">
        <v>206</v>
      </c>
      <c r="AE69" s="5">
        <v>7.0</v>
      </c>
      <c r="AF69" s="5">
        <v>6.0</v>
      </c>
      <c r="AG69" s="5">
        <v>7.0</v>
      </c>
      <c r="AH69" s="5">
        <v>1.0</v>
      </c>
      <c r="AI69" s="5">
        <v>1.0</v>
      </c>
      <c r="AJ69" s="5">
        <v>2.0</v>
      </c>
      <c r="AK69" s="5">
        <v>1.0</v>
      </c>
      <c r="AL69" s="5" t="s">
        <v>512</v>
      </c>
    </row>
    <row r="70">
      <c r="A70" s="8">
        <v>806.0</v>
      </c>
      <c r="B70" s="7">
        <v>45868.322222222225</v>
      </c>
      <c r="C70" s="5" t="s">
        <v>513</v>
      </c>
      <c r="D70" s="5" t="s">
        <v>496</v>
      </c>
      <c r="E70" s="5" t="s">
        <v>211</v>
      </c>
      <c r="F70" s="5">
        <v>4.0</v>
      </c>
      <c r="G70" s="5">
        <v>4.0</v>
      </c>
      <c r="H70" s="5" t="s">
        <v>199</v>
      </c>
      <c r="I70" s="5">
        <v>4.0</v>
      </c>
      <c r="J70" s="5">
        <v>7.0</v>
      </c>
      <c r="K70" s="5">
        <v>3.0</v>
      </c>
      <c r="L70" s="5">
        <v>4.0</v>
      </c>
      <c r="M70" s="5">
        <v>7.0</v>
      </c>
      <c r="N70" s="5">
        <v>7.0</v>
      </c>
      <c r="O70" s="5">
        <v>7.0</v>
      </c>
      <c r="P70" s="5">
        <v>7.0</v>
      </c>
      <c r="Q70" s="5">
        <v>2.0</v>
      </c>
      <c r="R70" s="5">
        <v>1.0</v>
      </c>
      <c r="S70" s="5">
        <v>7.0</v>
      </c>
      <c r="T70" s="5">
        <v>1.0</v>
      </c>
      <c r="U70" s="5" t="s">
        <v>514</v>
      </c>
      <c r="V70" s="5" t="s">
        <v>206</v>
      </c>
      <c r="W70" s="5">
        <v>6.0</v>
      </c>
      <c r="X70" s="5">
        <v>7.0</v>
      </c>
      <c r="Y70" s="5">
        <v>6.0</v>
      </c>
      <c r="Z70" s="5">
        <v>6.0</v>
      </c>
      <c r="AA70" s="5">
        <v>5.0</v>
      </c>
      <c r="AB70" s="5">
        <v>5.0</v>
      </c>
      <c r="AC70" s="5" t="s">
        <v>515</v>
      </c>
      <c r="AD70" s="5" t="s">
        <v>206</v>
      </c>
      <c r="AE70" s="5">
        <v>7.0</v>
      </c>
      <c r="AF70" s="5">
        <v>7.0</v>
      </c>
      <c r="AG70" s="5">
        <v>7.0</v>
      </c>
      <c r="AH70" s="5">
        <v>1.0</v>
      </c>
      <c r="AI70" s="5">
        <v>1.0</v>
      </c>
      <c r="AJ70" s="5">
        <v>1.0</v>
      </c>
      <c r="AK70" s="5">
        <v>1.0</v>
      </c>
      <c r="AL70" s="5" t="s">
        <v>516</v>
      </c>
    </row>
    <row r="71">
      <c r="A71" s="8">
        <v>612.0</v>
      </c>
      <c r="B71" s="7">
        <v>45868.32361111111</v>
      </c>
      <c r="C71" s="5" t="s">
        <v>517</v>
      </c>
      <c r="D71" s="5" t="s">
        <v>501</v>
      </c>
      <c r="E71" s="5" t="s">
        <v>197</v>
      </c>
      <c r="F71" s="5">
        <v>6.0</v>
      </c>
      <c r="G71" s="5">
        <v>6.0</v>
      </c>
      <c r="H71" s="5" t="s">
        <v>199</v>
      </c>
      <c r="I71" s="5">
        <v>7.0</v>
      </c>
      <c r="J71" s="5">
        <v>7.0</v>
      </c>
      <c r="K71" s="5">
        <v>7.0</v>
      </c>
      <c r="L71" s="5">
        <v>6.0</v>
      </c>
      <c r="M71" s="5">
        <v>7.0</v>
      </c>
      <c r="N71" s="5">
        <v>7.0</v>
      </c>
      <c r="O71" s="5">
        <v>7.0</v>
      </c>
      <c r="P71" s="5">
        <v>7.0</v>
      </c>
      <c r="Q71" s="5">
        <v>6.0</v>
      </c>
      <c r="R71" s="5">
        <v>6.0</v>
      </c>
      <c r="S71" s="5">
        <v>7.0</v>
      </c>
      <c r="T71" s="5">
        <v>2.0</v>
      </c>
      <c r="U71" s="5" t="s">
        <v>518</v>
      </c>
      <c r="V71" s="5" t="s">
        <v>206</v>
      </c>
      <c r="W71" s="5">
        <v>7.0</v>
      </c>
      <c r="X71" s="5">
        <v>7.0</v>
      </c>
      <c r="Y71" s="5">
        <v>7.0</v>
      </c>
      <c r="Z71" s="5">
        <v>7.0</v>
      </c>
      <c r="AA71" s="5">
        <v>7.0</v>
      </c>
      <c r="AB71" s="5">
        <v>7.0</v>
      </c>
      <c r="AC71" s="5" t="s">
        <v>519</v>
      </c>
      <c r="AD71" s="5" t="s">
        <v>206</v>
      </c>
      <c r="AE71" s="5">
        <v>7.0</v>
      </c>
      <c r="AF71" s="5">
        <v>6.0</v>
      </c>
      <c r="AG71" s="5">
        <v>7.0</v>
      </c>
      <c r="AH71" s="5">
        <v>1.0</v>
      </c>
      <c r="AI71" s="5">
        <v>1.0</v>
      </c>
      <c r="AJ71" s="5">
        <v>1.0</v>
      </c>
      <c r="AK71" s="5">
        <v>1.0</v>
      </c>
      <c r="AL71" s="5" t="s">
        <v>520</v>
      </c>
    </row>
    <row r="72">
      <c r="A72" s="8">
        <v>561.0</v>
      </c>
      <c r="B72" s="7">
        <v>45868.334027777775</v>
      </c>
      <c r="C72" s="5" t="s">
        <v>521</v>
      </c>
      <c r="D72" s="5" t="s">
        <v>496</v>
      </c>
      <c r="E72" s="5" t="s">
        <v>197</v>
      </c>
      <c r="F72" s="5">
        <v>2.0</v>
      </c>
      <c r="G72" s="5">
        <v>2.0</v>
      </c>
      <c r="H72" s="5" t="s">
        <v>199</v>
      </c>
      <c r="I72" s="5">
        <v>3.0</v>
      </c>
      <c r="J72" s="5">
        <v>4.0</v>
      </c>
      <c r="K72" s="5">
        <v>2.0</v>
      </c>
      <c r="L72" s="5">
        <v>4.0</v>
      </c>
      <c r="M72" s="5">
        <v>6.0</v>
      </c>
      <c r="N72" s="5">
        <v>4.0</v>
      </c>
      <c r="O72" s="5">
        <v>6.0</v>
      </c>
      <c r="P72" s="5">
        <v>2.0</v>
      </c>
      <c r="Q72" s="5">
        <v>6.0</v>
      </c>
      <c r="R72" s="5">
        <v>1.0</v>
      </c>
      <c r="S72" s="5">
        <v>4.0</v>
      </c>
      <c r="T72" s="5">
        <v>1.0</v>
      </c>
      <c r="U72" s="5" t="s">
        <v>522</v>
      </c>
      <c r="V72" s="5" t="s">
        <v>206</v>
      </c>
      <c r="W72" s="5">
        <v>2.0</v>
      </c>
      <c r="X72" s="5">
        <v>4.0</v>
      </c>
      <c r="Y72" s="5">
        <v>4.0</v>
      </c>
      <c r="Z72" s="5">
        <v>6.0</v>
      </c>
      <c r="AA72" s="5">
        <v>6.0</v>
      </c>
      <c r="AB72" s="5">
        <v>2.0</v>
      </c>
      <c r="AC72" s="5" t="s">
        <v>523</v>
      </c>
      <c r="AD72" s="5" t="s">
        <v>206</v>
      </c>
      <c r="AE72" s="5">
        <v>1.0</v>
      </c>
      <c r="AF72" s="5">
        <v>1.0</v>
      </c>
      <c r="AG72" s="5">
        <v>5.0</v>
      </c>
      <c r="AH72" s="5">
        <v>7.0</v>
      </c>
      <c r="AI72" s="5">
        <v>5.0</v>
      </c>
      <c r="AJ72" s="5">
        <v>7.0</v>
      </c>
      <c r="AK72" s="5">
        <v>7.0</v>
      </c>
      <c r="AL72" s="5" t="s">
        <v>524</v>
      </c>
    </row>
    <row r="73">
      <c r="A73" s="8">
        <v>862.0</v>
      </c>
      <c r="B73" s="7">
        <v>45868.33611111111</v>
      </c>
      <c r="C73" s="5" t="s">
        <v>525</v>
      </c>
      <c r="D73" s="5" t="s">
        <v>501</v>
      </c>
      <c r="E73" s="5" t="s">
        <v>216</v>
      </c>
      <c r="F73" s="5">
        <v>5.0</v>
      </c>
      <c r="G73" s="5">
        <v>6.0</v>
      </c>
      <c r="H73" s="5" t="s">
        <v>199</v>
      </c>
      <c r="I73" s="5">
        <v>7.0</v>
      </c>
      <c r="J73" s="5">
        <v>6.0</v>
      </c>
      <c r="K73" s="5">
        <v>6.0</v>
      </c>
      <c r="L73" s="5">
        <v>5.0</v>
      </c>
      <c r="M73" s="5">
        <v>7.0</v>
      </c>
      <c r="N73" s="5">
        <v>7.0</v>
      </c>
      <c r="O73" s="5">
        <v>7.0</v>
      </c>
      <c r="P73" s="5">
        <v>7.0</v>
      </c>
      <c r="Q73" s="5">
        <v>6.0</v>
      </c>
      <c r="R73" s="5">
        <v>6.0</v>
      </c>
      <c r="S73" s="5">
        <v>7.0</v>
      </c>
      <c r="T73" s="5">
        <v>2.0</v>
      </c>
      <c r="U73" s="5" t="s">
        <v>526</v>
      </c>
      <c r="V73" s="5" t="s">
        <v>206</v>
      </c>
      <c r="W73" s="5">
        <v>7.0</v>
      </c>
      <c r="X73" s="5">
        <v>7.0</v>
      </c>
      <c r="Y73" s="5">
        <v>7.0</v>
      </c>
      <c r="Z73" s="5">
        <v>7.0</v>
      </c>
      <c r="AA73" s="5">
        <v>6.0</v>
      </c>
      <c r="AB73" s="5">
        <v>7.0</v>
      </c>
      <c r="AC73" s="5" t="s">
        <v>527</v>
      </c>
      <c r="AD73" s="5" t="s">
        <v>206</v>
      </c>
      <c r="AE73" s="5">
        <v>7.0</v>
      </c>
      <c r="AF73" s="5">
        <v>6.0</v>
      </c>
      <c r="AG73" s="5">
        <v>7.0</v>
      </c>
      <c r="AH73" s="5">
        <v>1.0</v>
      </c>
      <c r="AI73" s="5">
        <v>1.0</v>
      </c>
      <c r="AJ73" s="5">
        <v>1.0</v>
      </c>
      <c r="AK73" s="5">
        <v>1.0</v>
      </c>
      <c r="AL73" s="5" t="s">
        <v>528</v>
      </c>
    </row>
    <row r="74">
      <c r="A74" s="8">
        <v>1029.0</v>
      </c>
      <c r="B74" s="7">
        <v>45869.02222222222</v>
      </c>
      <c r="C74" s="5" t="s">
        <v>530</v>
      </c>
      <c r="D74" s="5" t="s">
        <v>531</v>
      </c>
      <c r="E74" s="5" t="s">
        <v>216</v>
      </c>
      <c r="F74" s="5">
        <v>5.0</v>
      </c>
      <c r="G74" s="5">
        <v>3.0</v>
      </c>
      <c r="H74" s="5" t="s">
        <v>199</v>
      </c>
      <c r="I74" s="5">
        <v>2.0</v>
      </c>
      <c r="J74" s="5">
        <v>5.0</v>
      </c>
      <c r="K74" s="5">
        <v>5.0</v>
      </c>
      <c r="L74" s="5">
        <v>5.0</v>
      </c>
      <c r="M74" s="5">
        <v>6.0</v>
      </c>
      <c r="N74" s="5">
        <v>6.0</v>
      </c>
      <c r="O74" s="5">
        <v>6.0</v>
      </c>
      <c r="P74" s="5">
        <v>2.0</v>
      </c>
      <c r="Q74" s="5">
        <v>3.0</v>
      </c>
      <c r="R74" s="5">
        <v>2.0</v>
      </c>
      <c r="S74" s="5">
        <v>6.0</v>
      </c>
      <c r="T74" s="5">
        <v>6.0</v>
      </c>
      <c r="U74" s="5" t="s">
        <v>532</v>
      </c>
      <c r="V74" s="5" t="s">
        <v>206</v>
      </c>
      <c r="W74" s="5">
        <v>6.0</v>
      </c>
      <c r="X74" s="5">
        <v>5.0</v>
      </c>
      <c r="Y74" s="5">
        <v>5.0</v>
      </c>
      <c r="Z74" s="5">
        <v>5.0</v>
      </c>
      <c r="AA74" s="5">
        <v>6.0</v>
      </c>
      <c r="AB74" s="5">
        <v>2.0</v>
      </c>
      <c r="AC74" s="5" t="s">
        <v>533</v>
      </c>
      <c r="AD74" s="5" t="s">
        <v>206</v>
      </c>
      <c r="AE74" s="5">
        <v>2.0</v>
      </c>
      <c r="AF74" s="5">
        <v>7.0</v>
      </c>
      <c r="AG74" s="5">
        <v>5.0</v>
      </c>
      <c r="AH74" s="5">
        <v>3.0</v>
      </c>
      <c r="AI74" s="5">
        <v>1.0</v>
      </c>
      <c r="AJ74" s="5">
        <v>1.0</v>
      </c>
      <c r="AK74" s="5">
        <v>1.0</v>
      </c>
      <c r="AL74" s="5" t="s">
        <v>534</v>
      </c>
    </row>
    <row r="75">
      <c r="A75" s="8">
        <v>1118.0</v>
      </c>
      <c r="B75" s="7">
        <v>45869.02847222222</v>
      </c>
      <c r="C75" s="5" t="s">
        <v>535</v>
      </c>
      <c r="D75" s="5" t="s">
        <v>536</v>
      </c>
      <c r="E75" s="5" t="s">
        <v>197</v>
      </c>
      <c r="F75" s="5">
        <v>5.0</v>
      </c>
      <c r="G75" s="5">
        <v>3.0</v>
      </c>
      <c r="H75" s="5" t="s">
        <v>199</v>
      </c>
      <c r="I75" s="5">
        <v>7.0</v>
      </c>
      <c r="J75" s="5">
        <v>7.0</v>
      </c>
      <c r="K75" s="5">
        <v>5.0</v>
      </c>
      <c r="L75" s="5">
        <v>5.0</v>
      </c>
      <c r="M75" s="5">
        <v>6.0</v>
      </c>
      <c r="N75" s="5">
        <v>6.0</v>
      </c>
      <c r="O75" s="5">
        <v>7.0</v>
      </c>
      <c r="P75" s="5">
        <v>7.0</v>
      </c>
      <c r="Q75" s="5">
        <v>6.0</v>
      </c>
      <c r="R75" s="5">
        <v>2.0</v>
      </c>
      <c r="S75" s="5">
        <v>7.0</v>
      </c>
      <c r="T75" s="5">
        <v>6.0</v>
      </c>
      <c r="U75" s="5" t="s">
        <v>537</v>
      </c>
      <c r="V75" s="5" t="s">
        <v>206</v>
      </c>
      <c r="W75" s="5">
        <v>4.0</v>
      </c>
      <c r="X75" s="5">
        <v>7.0</v>
      </c>
      <c r="Y75" s="5">
        <v>7.0</v>
      </c>
      <c r="Z75" s="5">
        <v>3.0</v>
      </c>
      <c r="AA75" s="5">
        <v>5.0</v>
      </c>
      <c r="AB75" s="5">
        <v>4.0</v>
      </c>
      <c r="AC75" s="5" t="s">
        <v>538</v>
      </c>
      <c r="AE75" s="5">
        <v>7.0</v>
      </c>
      <c r="AF75" s="5">
        <v>7.0</v>
      </c>
      <c r="AG75" s="5">
        <v>7.0</v>
      </c>
      <c r="AH75" s="5">
        <v>1.0</v>
      </c>
      <c r="AI75" s="5">
        <v>1.0</v>
      </c>
      <c r="AJ75" s="5">
        <v>1.0</v>
      </c>
      <c r="AK75" s="5">
        <v>1.0</v>
      </c>
      <c r="AL75" s="11" t="s">
        <v>539</v>
      </c>
    </row>
    <row r="76">
      <c r="A76" s="8">
        <v>497.0</v>
      </c>
      <c r="B76" s="7">
        <v>45869.041666666664</v>
      </c>
      <c r="C76" s="5" t="s">
        <v>540</v>
      </c>
      <c r="D76" s="5" t="s">
        <v>531</v>
      </c>
      <c r="E76" s="5" t="s">
        <v>197</v>
      </c>
      <c r="F76" s="5">
        <v>6.0</v>
      </c>
      <c r="G76" s="5">
        <v>2.0</v>
      </c>
      <c r="H76" s="5" t="s">
        <v>199</v>
      </c>
      <c r="I76" s="5">
        <v>3.0</v>
      </c>
      <c r="J76" s="5">
        <v>5.0</v>
      </c>
      <c r="K76" s="5">
        <v>6.0</v>
      </c>
      <c r="L76" s="5">
        <v>3.0</v>
      </c>
      <c r="M76" s="5">
        <v>5.0</v>
      </c>
      <c r="N76" s="5">
        <v>6.0</v>
      </c>
      <c r="O76" s="5">
        <v>5.0</v>
      </c>
      <c r="P76" s="5">
        <v>2.0</v>
      </c>
      <c r="Q76" s="5">
        <v>2.0</v>
      </c>
      <c r="R76" s="5">
        <v>2.0</v>
      </c>
      <c r="S76" s="5">
        <v>5.0</v>
      </c>
      <c r="T76" s="5">
        <v>5.0</v>
      </c>
      <c r="U76" s="5" t="s">
        <v>541</v>
      </c>
      <c r="V76" s="5" t="s">
        <v>206</v>
      </c>
      <c r="W76" s="5">
        <v>5.0</v>
      </c>
      <c r="X76" s="5">
        <v>6.0</v>
      </c>
      <c r="Y76" s="5">
        <v>5.0</v>
      </c>
      <c r="Z76" s="5">
        <v>3.0</v>
      </c>
      <c r="AA76" s="5">
        <v>5.0</v>
      </c>
      <c r="AB76" s="5">
        <v>6.0</v>
      </c>
      <c r="AC76" s="5" t="s">
        <v>542</v>
      </c>
      <c r="AE76" s="5">
        <v>5.0</v>
      </c>
      <c r="AF76" s="5">
        <v>2.0</v>
      </c>
      <c r="AG76" s="5">
        <v>6.0</v>
      </c>
      <c r="AH76" s="5">
        <v>2.0</v>
      </c>
      <c r="AI76" s="5">
        <v>2.0</v>
      </c>
      <c r="AJ76" s="5">
        <v>5.0</v>
      </c>
      <c r="AK76" s="5">
        <v>5.0</v>
      </c>
      <c r="AL76" s="5" t="s">
        <v>543</v>
      </c>
    </row>
    <row r="77">
      <c r="A77" s="8">
        <v>1473.0</v>
      </c>
      <c r="B77" s="7">
        <v>45869.04722222222</v>
      </c>
      <c r="C77" s="5" t="s">
        <v>544</v>
      </c>
      <c r="D77" s="5" t="s">
        <v>536</v>
      </c>
      <c r="E77" s="5" t="s">
        <v>211</v>
      </c>
      <c r="F77" s="5">
        <v>5.0</v>
      </c>
      <c r="G77" s="5">
        <v>5.0</v>
      </c>
      <c r="H77" s="5" t="s">
        <v>199</v>
      </c>
      <c r="I77" s="5">
        <v>7.0</v>
      </c>
      <c r="J77" s="5">
        <v>7.0</v>
      </c>
      <c r="K77" s="5">
        <v>5.0</v>
      </c>
      <c r="L77" s="5">
        <v>5.0</v>
      </c>
      <c r="M77" s="5">
        <v>6.0</v>
      </c>
      <c r="N77" s="5">
        <v>6.0</v>
      </c>
      <c r="O77" s="5">
        <v>7.0</v>
      </c>
      <c r="P77" s="5">
        <v>7.0</v>
      </c>
      <c r="Q77" s="5">
        <v>6.0</v>
      </c>
      <c r="R77" s="5">
        <v>2.0</v>
      </c>
      <c r="S77" s="5">
        <v>6.0</v>
      </c>
      <c r="T77" s="5">
        <v>4.0</v>
      </c>
      <c r="U77" s="5" t="s">
        <v>545</v>
      </c>
      <c r="V77" s="5" t="s">
        <v>206</v>
      </c>
      <c r="W77" s="5">
        <v>4.0</v>
      </c>
      <c r="X77" s="5">
        <v>3.0</v>
      </c>
      <c r="Y77" s="5">
        <v>6.0</v>
      </c>
      <c r="Z77" s="5">
        <v>6.0</v>
      </c>
      <c r="AA77" s="5">
        <v>5.0</v>
      </c>
      <c r="AB77" s="5">
        <v>4.0</v>
      </c>
      <c r="AC77" s="5" t="s">
        <v>546</v>
      </c>
      <c r="AD77" s="5" t="s">
        <v>206</v>
      </c>
      <c r="AE77" s="5">
        <v>6.0</v>
      </c>
      <c r="AF77" s="5">
        <v>7.0</v>
      </c>
      <c r="AG77" s="5">
        <v>7.0</v>
      </c>
      <c r="AH77" s="5">
        <v>1.0</v>
      </c>
      <c r="AI77" s="5">
        <v>1.0</v>
      </c>
      <c r="AJ77" s="5">
        <v>1.0</v>
      </c>
      <c r="AK77" s="5">
        <v>1.0</v>
      </c>
      <c r="AL77" s="5" t="s">
        <v>547</v>
      </c>
    </row>
    <row r="78">
      <c r="A78" s="8">
        <v>554.0</v>
      </c>
      <c r="B78" s="7">
        <v>45869.052777777775</v>
      </c>
      <c r="C78" s="5" t="s">
        <v>548</v>
      </c>
      <c r="D78" s="5" t="s">
        <v>531</v>
      </c>
      <c r="E78" s="5" t="s">
        <v>263</v>
      </c>
      <c r="F78" s="5">
        <v>5.0</v>
      </c>
      <c r="G78" s="5">
        <v>2.0</v>
      </c>
      <c r="H78" s="5" t="s">
        <v>199</v>
      </c>
      <c r="I78" s="5">
        <v>4.0</v>
      </c>
      <c r="J78" s="5">
        <v>3.0</v>
      </c>
      <c r="K78" s="5">
        <v>4.0</v>
      </c>
      <c r="L78" s="5">
        <v>3.0</v>
      </c>
      <c r="M78" s="5">
        <v>5.0</v>
      </c>
      <c r="N78" s="5">
        <v>5.0</v>
      </c>
      <c r="O78" s="5">
        <v>6.0</v>
      </c>
      <c r="P78" s="5">
        <v>3.0</v>
      </c>
      <c r="Q78" s="5">
        <v>3.0</v>
      </c>
      <c r="R78" s="5">
        <v>4.0</v>
      </c>
      <c r="S78" s="5">
        <v>5.0</v>
      </c>
      <c r="T78" s="5">
        <v>5.0</v>
      </c>
      <c r="U78" s="5" t="s">
        <v>549</v>
      </c>
      <c r="V78" s="5" t="s">
        <v>206</v>
      </c>
      <c r="W78" s="5">
        <v>3.0</v>
      </c>
      <c r="X78" s="5">
        <v>5.0</v>
      </c>
      <c r="Y78" s="5">
        <v>3.0</v>
      </c>
      <c r="Z78" s="5">
        <v>3.0</v>
      </c>
      <c r="AA78" s="5">
        <v>3.0</v>
      </c>
      <c r="AB78" s="5">
        <v>3.0</v>
      </c>
      <c r="AC78" s="5" t="s">
        <v>550</v>
      </c>
      <c r="AE78" s="5">
        <v>5.0</v>
      </c>
      <c r="AF78" s="5">
        <v>2.0</v>
      </c>
      <c r="AG78" s="5">
        <v>3.0</v>
      </c>
      <c r="AH78" s="5">
        <v>2.0</v>
      </c>
      <c r="AI78" s="5">
        <v>3.0</v>
      </c>
      <c r="AJ78" s="5">
        <v>5.0</v>
      </c>
      <c r="AK78" s="5">
        <v>3.0</v>
      </c>
      <c r="AL78" s="5" t="s">
        <v>551</v>
      </c>
    </row>
    <row r="79">
      <c r="A79" s="8">
        <v>794.0</v>
      </c>
      <c r="B79" s="7">
        <v>45869.0625</v>
      </c>
      <c r="C79" s="5" t="s">
        <v>552</v>
      </c>
      <c r="D79" s="5" t="s">
        <v>244</v>
      </c>
      <c r="E79" s="5" t="s">
        <v>197</v>
      </c>
      <c r="F79" s="5">
        <v>5.0</v>
      </c>
      <c r="G79" s="5">
        <v>2.0</v>
      </c>
      <c r="H79" s="5" t="s">
        <v>199</v>
      </c>
      <c r="I79" s="5">
        <v>6.0</v>
      </c>
      <c r="J79" s="5">
        <v>1.0</v>
      </c>
      <c r="K79" s="5">
        <v>7.0</v>
      </c>
      <c r="L79" s="5">
        <v>1.0</v>
      </c>
      <c r="M79" s="5">
        <v>2.0</v>
      </c>
      <c r="N79" s="5">
        <v>5.0</v>
      </c>
      <c r="O79" s="5">
        <v>5.0</v>
      </c>
      <c r="P79" s="5">
        <v>2.0</v>
      </c>
      <c r="Q79" s="5">
        <v>1.0</v>
      </c>
      <c r="R79" s="5">
        <v>5.0</v>
      </c>
      <c r="S79" s="5">
        <v>4.0</v>
      </c>
      <c r="T79" s="5">
        <v>7.0</v>
      </c>
      <c r="U79" s="5" t="s">
        <v>553</v>
      </c>
      <c r="V79" s="5" t="s">
        <v>206</v>
      </c>
      <c r="W79" s="5">
        <v>6.0</v>
      </c>
      <c r="X79" s="5">
        <v>6.0</v>
      </c>
      <c r="Y79" s="5">
        <v>7.0</v>
      </c>
      <c r="Z79" s="5">
        <v>7.0</v>
      </c>
      <c r="AA79" s="5">
        <v>5.0</v>
      </c>
      <c r="AB79" s="5">
        <v>6.0</v>
      </c>
      <c r="AC79" s="5" t="s">
        <v>554</v>
      </c>
      <c r="AD79" s="5" t="s">
        <v>206</v>
      </c>
      <c r="AE79" s="5">
        <v>7.0</v>
      </c>
      <c r="AF79" s="5">
        <v>6.0</v>
      </c>
      <c r="AG79" s="5">
        <v>7.0</v>
      </c>
      <c r="AH79" s="5">
        <v>1.0</v>
      </c>
      <c r="AI79" s="5">
        <v>1.0</v>
      </c>
      <c r="AJ79" s="5">
        <v>5.0</v>
      </c>
      <c r="AK79" s="5">
        <v>1.0</v>
      </c>
      <c r="AL79" s="5" t="s">
        <v>555</v>
      </c>
    </row>
    <row r="80">
      <c r="A80" s="8">
        <v>680.0</v>
      </c>
      <c r="B80" s="7">
        <v>45869.06458333333</v>
      </c>
      <c r="C80" s="5" t="s">
        <v>556</v>
      </c>
      <c r="D80" s="5" t="s">
        <v>531</v>
      </c>
      <c r="E80" s="5" t="s">
        <v>211</v>
      </c>
      <c r="F80" s="5">
        <v>3.0</v>
      </c>
      <c r="G80" s="5">
        <v>3.0</v>
      </c>
      <c r="H80" s="5" t="s">
        <v>199</v>
      </c>
      <c r="I80" s="5">
        <v>3.0</v>
      </c>
      <c r="J80" s="5">
        <v>5.0</v>
      </c>
      <c r="K80" s="5">
        <v>5.0</v>
      </c>
      <c r="L80" s="5">
        <v>3.0</v>
      </c>
      <c r="M80" s="5">
        <v>5.0</v>
      </c>
      <c r="N80" s="5">
        <v>6.0</v>
      </c>
      <c r="O80" s="5">
        <v>5.0</v>
      </c>
      <c r="P80" s="5">
        <v>6.0</v>
      </c>
      <c r="Q80" s="5">
        <v>2.0</v>
      </c>
      <c r="R80" s="5">
        <v>5.0</v>
      </c>
      <c r="S80" s="5">
        <v>6.0</v>
      </c>
      <c r="T80" s="5">
        <v>5.0</v>
      </c>
      <c r="U80" s="5" t="s">
        <v>557</v>
      </c>
      <c r="V80" s="5" t="s">
        <v>206</v>
      </c>
      <c r="W80" s="5">
        <v>4.0</v>
      </c>
      <c r="X80" s="5">
        <v>5.0</v>
      </c>
      <c r="Y80" s="5">
        <v>5.0</v>
      </c>
      <c r="Z80" s="5">
        <v>6.0</v>
      </c>
      <c r="AA80" s="5">
        <v>5.0</v>
      </c>
      <c r="AB80" s="5">
        <v>5.0</v>
      </c>
      <c r="AC80" s="5" t="s">
        <v>558</v>
      </c>
      <c r="AD80" s="5" t="s">
        <v>206</v>
      </c>
      <c r="AE80" s="5">
        <v>3.0</v>
      </c>
      <c r="AF80" s="5">
        <v>5.0</v>
      </c>
      <c r="AG80" s="5">
        <v>5.0</v>
      </c>
      <c r="AH80" s="5">
        <v>1.0</v>
      </c>
      <c r="AI80" s="5">
        <v>1.0</v>
      </c>
      <c r="AJ80" s="5">
        <v>2.0</v>
      </c>
      <c r="AK80" s="5">
        <v>1.0</v>
      </c>
      <c r="AL80" s="5" t="s">
        <v>559</v>
      </c>
    </row>
    <row r="81">
      <c r="A81" s="8">
        <v>1077.0</v>
      </c>
      <c r="B81" s="7">
        <v>45869.06875</v>
      </c>
      <c r="C81" s="5" t="s">
        <v>560</v>
      </c>
      <c r="D81" s="5" t="s">
        <v>536</v>
      </c>
      <c r="E81" s="5" t="s">
        <v>216</v>
      </c>
      <c r="F81" s="5">
        <v>5.0</v>
      </c>
      <c r="G81" s="5">
        <v>5.0</v>
      </c>
      <c r="H81" s="5" t="s">
        <v>199</v>
      </c>
      <c r="I81" s="5">
        <v>7.0</v>
      </c>
      <c r="J81" s="5">
        <v>7.0</v>
      </c>
      <c r="K81" s="5">
        <v>5.0</v>
      </c>
      <c r="L81" s="5">
        <v>5.0</v>
      </c>
      <c r="M81" s="5">
        <v>6.0</v>
      </c>
      <c r="N81" s="5">
        <v>6.0</v>
      </c>
      <c r="O81" s="5">
        <v>7.0</v>
      </c>
      <c r="P81" s="5">
        <v>7.0</v>
      </c>
      <c r="Q81" s="5">
        <v>5.0</v>
      </c>
      <c r="R81" s="5">
        <v>3.0</v>
      </c>
      <c r="S81" s="5">
        <v>6.0</v>
      </c>
      <c r="T81" s="5">
        <v>3.0</v>
      </c>
      <c r="U81" s="5" t="s">
        <v>561</v>
      </c>
      <c r="V81" s="5" t="s">
        <v>206</v>
      </c>
      <c r="W81" s="5">
        <v>6.0</v>
      </c>
      <c r="X81" s="5">
        <v>7.0</v>
      </c>
      <c r="Y81" s="5">
        <v>7.0</v>
      </c>
      <c r="Z81" s="5">
        <v>7.0</v>
      </c>
      <c r="AA81" s="5">
        <v>5.0</v>
      </c>
      <c r="AB81" s="5">
        <v>4.0</v>
      </c>
      <c r="AC81" s="5" t="s">
        <v>562</v>
      </c>
      <c r="AD81" s="5" t="s">
        <v>206</v>
      </c>
      <c r="AE81" s="5">
        <v>6.0</v>
      </c>
      <c r="AF81" s="5">
        <v>7.0</v>
      </c>
      <c r="AG81" s="5">
        <v>7.0</v>
      </c>
      <c r="AH81" s="5">
        <v>1.0</v>
      </c>
      <c r="AI81" s="5">
        <v>1.0</v>
      </c>
      <c r="AJ81" s="5">
        <v>1.0</v>
      </c>
      <c r="AK81" s="5">
        <v>1.0</v>
      </c>
      <c r="AL81" s="5" t="s">
        <v>563</v>
      </c>
    </row>
    <row r="82">
      <c r="A82" s="8">
        <v>1145.0</v>
      </c>
      <c r="B82" s="7">
        <v>45869.07986111111</v>
      </c>
      <c r="C82" s="5" t="s">
        <v>564</v>
      </c>
      <c r="D82" s="5" t="s">
        <v>244</v>
      </c>
      <c r="E82" s="5" t="s">
        <v>211</v>
      </c>
      <c r="F82" s="5">
        <v>4.0</v>
      </c>
      <c r="G82" s="5">
        <v>2.0</v>
      </c>
      <c r="H82" s="5" t="s">
        <v>199</v>
      </c>
      <c r="I82" s="5">
        <v>6.0</v>
      </c>
      <c r="J82" s="5">
        <v>2.0</v>
      </c>
      <c r="K82" s="5">
        <v>2.0</v>
      </c>
      <c r="L82" s="5">
        <v>2.0</v>
      </c>
      <c r="M82" s="5">
        <v>1.0</v>
      </c>
      <c r="N82" s="5">
        <v>2.0</v>
      </c>
      <c r="O82" s="5">
        <v>2.0</v>
      </c>
      <c r="P82" s="5">
        <v>3.0</v>
      </c>
      <c r="Q82" s="5">
        <v>1.0</v>
      </c>
      <c r="R82" s="5">
        <v>2.0</v>
      </c>
      <c r="S82" s="5">
        <v>2.0</v>
      </c>
      <c r="T82" s="5">
        <v>7.0</v>
      </c>
      <c r="U82" s="5" t="s">
        <v>565</v>
      </c>
      <c r="V82" s="5" t="s">
        <v>206</v>
      </c>
      <c r="W82" s="5">
        <v>5.0</v>
      </c>
      <c r="X82" s="5">
        <v>2.0</v>
      </c>
      <c r="Y82" s="5">
        <v>2.0</v>
      </c>
      <c r="Z82" s="5">
        <v>2.0</v>
      </c>
      <c r="AA82" s="5">
        <v>2.0</v>
      </c>
      <c r="AB82" s="5">
        <v>4.0</v>
      </c>
      <c r="AC82" s="5" t="s">
        <v>566</v>
      </c>
      <c r="AD82" s="5" t="s">
        <v>206</v>
      </c>
      <c r="AE82" s="5">
        <v>6.0</v>
      </c>
      <c r="AF82" s="5">
        <v>6.0</v>
      </c>
      <c r="AG82" s="5">
        <v>1.0</v>
      </c>
      <c r="AH82" s="5">
        <v>1.0</v>
      </c>
      <c r="AI82" s="5">
        <v>1.0</v>
      </c>
      <c r="AJ82" s="5">
        <v>1.0</v>
      </c>
      <c r="AK82" s="5">
        <v>1.0</v>
      </c>
      <c r="AL82" s="5" t="s">
        <v>567</v>
      </c>
    </row>
    <row r="83">
      <c r="A83" s="8">
        <v>1139.0</v>
      </c>
      <c r="B83" s="7">
        <v>45869.08611111111</v>
      </c>
      <c r="C83" s="5" t="s">
        <v>568</v>
      </c>
      <c r="D83" s="5" t="s">
        <v>536</v>
      </c>
      <c r="E83" s="5" t="s">
        <v>263</v>
      </c>
      <c r="F83" s="5">
        <v>6.0</v>
      </c>
      <c r="G83" s="5">
        <v>3.0</v>
      </c>
      <c r="H83" s="5" t="s">
        <v>199</v>
      </c>
      <c r="I83" s="5">
        <v>7.0</v>
      </c>
      <c r="J83" s="5">
        <v>7.0</v>
      </c>
      <c r="K83" s="5">
        <v>6.0</v>
      </c>
      <c r="L83" s="5">
        <v>5.0</v>
      </c>
      <c r="M83" s="5">
        <v>6.0</v>
      </c>
      <c r="N83" s="5">
        <v>5.0</v>
      </c>
      <c r="O83" s="5">
        <v>5.0</v>
      </c>
      <c r="P83" s="5">
        <v>7.0</v>
      </c>
      <c r="Q83" s="5">
        <v>5.0</v>
      </c>
      <c r="R83" s="5">
        <v>3.0</v>
      </c>
      <c r="S83" s="5">
        <v>5.0</v>
      </c>
      <c r="T83" s="5">
        <v>4.0</v>
      </c>
      <c r="U83" s="5" t="s">
        <v>569</v>
      </c>
      <c r="V83" s="5" t="s">
        <v>206</v>
      </c>
      <c r="W83" s="5">
        <v>6.0</v>
      </c>
      <c r="X83" s="5">
        <v>6.0</v>
      </c>
      <c r="Y83" s="5">
        <v>7.0</v>
      </c>
      <c r="Z83" s="5">
        <v>7.0</v>
      </c>
      <c r="AA83" s="5">
        <v>6.0</v>
      </c>
      <c r="AB83" s="5">
        <v>4.0</v>
      </c>
      <c r="AC83" s="5" t="s">
        <v>570</v>
      </c>
      <c r="AD83" s="5" t="s">
        <v>206</v>
      </c>
      <c r="AE83" s="5">
        <v>7.0</v>
      </c>
      <c r="AF83" s="5">
        <v>7.0</v>
      </c>
      <c r="AG83" s="5">
        <v>7.0</v>
      </c>
      <c r="AH83" s="5">
        <v>1.0</v>
      </c>
      <c r="AI83" s="5">
        <v>1.0</v>
      </c>
      <c r="AJ83" s="5">
        <v>1.0</v>
      </c>
      <c r="AK83" s="5">
        <v>1.0</v>
      </c>
      <c r="AL83" s="5" t="s">
        <v>571</v>
      </c>
    </row>
    <row r="84">
      <c r="A84" s="8">
        <v>1024.0</v>
      </c>
      <c r="B84" s="7">
        <v>45869.092361111114</v>
      </c>
      <c r="C84" s="5" t="s">
        <v>572</v>
      </c>
      <c r="D84" s="5" t="s">
        <v>573</v>
      </c>
      <c r="E84" s="5" t="s">
        <v>211</v>
      </c>
      <c r="F84" s="5">
        <v>6.0</v>
      </c>
      <c r="G84" s="5">
        <v>5.0</v>
      </c>
      <c r="H84" s="5" t="s">
        <v>199</v>
      </c>
      <c r="I84" s="5">
        <v>4.0</v>
      </c>
      <c r="J84" s="5">
        <v>7.0</v>
      </c>
      <c r="K84" s="5">
        <v>6.0</v>
      </c>
      <c r="L84" s="5">
        <v>6.0</v>
      </c>
      <c r="M84" s="5">
        <v>7.0</v>
      </c>
      <c r="N84" s="5">
        <v>7.0</v>
      </c>
      <c r="O84" s="5">
        <v>5.0</v>
      </c>
      <c r="P84" s="5">
        <v>6.0</v>
      </c>
      <c r="Q84" s="5">
        <v>4.0</v>
      </c>
      <c r="R84" s="5">
        <v>3.0</v>
      </c>
      <c r="S84" s="5">
        <v>7.0</v>
      </c>
      <c r="T84" s="5">
        <v>5.0</v>
      </c>
      <c r="U84" s="5" t="s">
        <v>574</v>
      </c>
      <c r="V84" s="5" t="s">
        <v>206</v>
      </c>
      <c r="W84" s="5">
        <v>3.0</v>
      </c>
      <c r="X84" s="5">
        <v>7.0</v>
      </c>
      <c r="Y84" s="5">
        <v>7.0</v>
      </c>
      <c r="Z84" s="5">
        <v>3.0</v>
      </c>
      <c r="AA84" s="5">
        <v>6.0</v>
      </c>
      <c r="AB84" s="5">
        <v>7.0</v>
      </c>
      <c r="AC84" s="5" t="s">
        <v>575</v>
      </c>
      <c r="AD84" s="5" t="s">
        <v>206</v>
      </c>
      <c r="AE84" s="5">
        <v>5.0</v>
      </c>
      <c r="AF84" s="5">
        <v>5.0</v>
      </c>
      <c r="AG84" s="5">
        <v>7.0</v>
      </c>
      <c r="AH84" s="5">
        <v>1.0</v>
      </c>
      <c r="AI84" s="5">
        <v>1.0</v>
      </c>
      <c r="AJ84" s="5">
        <v>1.0</v>
      </c>
      <c r="AK84" s="5">
        <v>1.0</v>
      </c>
      <c r="AL84" s="5" t="s">
        <v>576</v>
      </c>
    </row>
    <row r="85">
      <c r="A85" s="8">
        <v>646.0</v>
      </c>
      <c r="B85" s="7">
        <v>45869.10486111111</v>
      </c>
      <c r="C85" s="5" t="s">
        <v>577</v>
      </c>
      <c r="D85" s="5" t="s">
        <v>573</v>
      </c>
      <c r="E85" s="5" t="s">
        <v>263</v>
      </c>
      <c r="F85" s="5">
        <v>7.0</v>
      </c>
      <c r="G85" s="5">
        <v>6.0</v>
      </c>
      <c r="H85" s="5" t="s">
        <v>199</v>
      </c>
      <c r="I85" s="5">
        <v>6.0</v>
      </c>
      <c r="J85" s="5">
        <v>7.0</v>
      </c>
      <c r="K85" s="5">
        <v>7.0</v>
      </c>
      <c r="L85" s="5">
        <v>3.0</v>
      </c>
      <c r="M85" s="5">
        <v>7.0</v>
      </c>
      <c r="N85" s="5">
        <v>7.0</v>
      </c>
      <c r="O85" s="5">
        <v>7.0</v>
      </c>
      <c r="P85" s="5">
        <v>6.0</v>
      </c>
      <c r="Q85" s="5">
        <v>6.0</v>
      </c>
      <c r="R85" s="5">
        <v>6.0</v>
      </c>
      <c r="S85" s="5">
        <v>7.0</v>
      </c>
      <c r="T85" s="5">
        <v>3.0</v>
      </c>
      <c r="U85" s="5" t="s">
        <v>578</v>
      </c>
      <c r="V85" s="5" t="s">
        <v>206</v>
      </c>
      <c r="W85" s="5">
        <v>5.0</v>
      </c>
      <c r="X85" s="5">
        <v>7.0</v>
      </c>
      <c r="Y85" s="5">
        <v>7.0</v>
      </c>
      <c r="Z85" s="5">
        <v>7.0</v>
      </c>
      <c r="AA85" s="5">
        <v>7.0</v>
      </c>
      <c r="AB85" s="5">
        <v>7.0</v>
      </c>
      <c r="AC85" s="5" t="s">
        <v>579</v>
      </c>
      <c r="AD85" s="5" t="s">
        <v>206</v>
      </c>
      <c r="AE85" s="5">
        <v>7.0</v>
      </c>
      <c r="AF85" s="5">
        <v>3.0</v>
      </c>
      <c r="AG85" s="5">
        <v>7.0</v>
      </c>
      <c r="AH85" s="5">
        <v>5.0</v>
      </c>
      <c r="AI85" s="5">
        <v>6.0</v>
      </c>
      <c r="AJ85" s="5">
        <v>1.0</v>
      </c>
      <c r="AK85" s="5">
        <v>1.0</v>
      </c>
      <c r="AL85" s="5" t="s">
        <v>580</v>
      </c>
    </row>
    <row r="86">
      <c r="A86" s="8">
        <v>1424.0</v>
      </c>
      <c r="B86" s="7">
        <v>45869.10902777778</v>
      </c>
      <c r="C86" s="5" t="s">
        <v>581</v>
      </c>
      <c r="D86" s="5" t="s">
        <v>582</v>
      </c>
      <c r="E86" s="5" t="s">
        <v>197</v>
      </c>
      <c r="F86" s="5">
        <v>6.0</v>
      </c>
      <c r="G86" s="5">
        <v>6.0</v>
      </c>
      <c r="H86" s="5" t="s">
        <v>199</v>
      </c>
      <c r="I86" s="5">
        <v>7.0</v>
      </c>
      <c r="J86" s="5">
        <v>7.0</v>
      </c>
      <c r="K86" s="5">
        <v>5.0</v>
      </c>
      <c r="L86" s="5">
        <v>6.0</v>
      </c>
      <c r="M86" s="5">
        <v>7.0</v>
      </c>
      <c r="N86" s="5">
        <v>6.0</v>
      </c>
      <c r="O86" s="5">
        <v>6.0</v>
      </c>
      <c r="P86" s="5">
        <v>7.0</v>
      </c>
      <c r="Q86" s="5">
        <v>6.0</v>
      </c>
      <c r="R86" s="5">
        <v>5.0</v>
      </c>
      <c r="S86" s="5">
        <v>7.0</v>
      </c>
      <c r="T86" s="5">
        <v>6.0</v>
      </c>
      <c r="U86" s="5" t="s">
        <v>583</v>
      </c>
      <c r="V86" s="5" t="s">
        <v>206</v>
      </c>
      <c r="W86" s="5">
        <v>6.0</v>
      </c>
      <c r="X86" s="5">
        <v>6.0</v>
      </c>
      <c r="Y86" s="5">
        <v>7.0</v>
      </c>
      <c r="Z86" s="5">
        <v>6.0</v>
      </c>
      <c r="AA86" s="5">
        <v>7.0</v>
      </c>
      <c r="AB86" s="5">
        <v>7.0</v>
      </c>
      <c r="AC86" s="11" t="s">
        <v>584</v>
      </c>
      <c r="AD86" s="5" t="s">
        <v>206</v>
      </c>
      <c r="AE86" s="5">
        <v>6.0</v>
      </c>
      <c r="AF86" s="5">
        <v>6.0</v>
      </c>
      <c r="AG86" s="5">
        <v>7.0</v>
      </c>
      <c r="AH86" s="5">
        <v>1.0</v>
      </c>
      <c r="AI86" s="5">
        <v>1.0</v>
      </c>
      <c r="AJ86" s="5">
        <v>1.0</v>
      </c>
      <c r="AK86" s="5">
        <v>1.0</v>
      </c>
      <c r="AL86" s="5" t="s">
        <v>585</v>
      </c>
    </row>
    <row r="87">
      <c r="A87" s="8">
        <v>484.0</v>
      </c>
      <c r="B87" s="7">
        <v>45869.114583333336</v>
      </c>
      <c r="C87" s="5" t="s">
        <v>586</v>
      </c>
      <c r="D87" s="5" t="s">
        <v>573</v>
      </c>
      <c r="E87" s="5" t="s">
        <v>197</v>
      </c>
      <c r="F87" s="5">
        <v>7.0</v>
      </c>
      <c r="G87" s="5">
        <v>6.0</v>
      </c>
      <c r="H87" s="5" t="s">
        <v>199</v>
      </c>
      <c r="I87" s="5">
        <v>6.0</v>
      </c>
      <c r="J87" s="5">
        <v>7.0</v>
      </c>
      <c r="K87" s="5">
        <v>7.0</v>
      </c>
      <c r="L87" s="5">
        <v>6.0</v>
      </c>
      <c r="M87" s="5">
        <v>7.0</v>
      </c>
      <c r="N87" s="5">
        <v>7.0</v>
      </c>
      <c r="O87" s="5">
        <v>7.0</v>
      </c>
      <c r="P87" s="5">
        <v>7.0</v>
      </c>
      <c r="Q87" s="5">
        <v>3.0</v>
      </c>
      <c r="R87" s="5">
        <v>3.0</v>
      </c>
      <c r="S87" s="5">
        <v>7.0</v>
      </c>
      <c r="T87" s="5">
        <v>3.0</v>
      </c>
      <c r="U87" s="5" t="s">
        <v>587</v>
      </c>
      <c r="V87" s="5" t="s">
        <v>206</v>
      </c>
      <c r="W87" s="5">
        <v>6.0</v>
      </c>
      <c r="X87" s="5">
        <v>7.0</v>
      </c>
      <c r="Y87" s="5">
        <v>7.0</v>
      </c>
      <c r="Z87" s="5">
        <v>7.0</v>
      </c>
      <c r="AA87" s="5">
        <v>7.0</v>
      </c>
      <c r="AB87" s="5">
        <v>7.0</v>
      </c>
      <c r="AC87" s="5" t="s">
        <v>588</v>
      </c>
      <c r="AD87" s="5" t="s">
        <v>206</v>
      </c>
      <c r="AE87" s="5">
        <v>7.0</v>
      </c>
      <c r="AF87" s="5">
        <v>7.0</v>
      </c>
      <c r="AG87" s="5">
        <v>7.0</v>
      </c>
      <c r="AH87" s="5">
        <v>7.0</v>
      </c>
      <c r="AI87" s="5">
        <v>7.0</v>
      </c>
      <c r="AJ87" s="5">
        <v>5.0</v>
      </c>
      <c r="AK87" s="5">
        <v>2.0</v>
      </c>
      <c r="AL87" s="5" t="s">
        <v>589</v>
      </c>
    </row>
    <row r="88">
      <c r="A88" s="8">
        <v>768.0</v>
      </c>
      <c r="B88" s="7">
        <v>45869.12569444445</v>
      </c>
      <c r="C88" s="5" t="s">
        <v>590</v>
      </c>
      <c r="D88" s="5" t="s">
        <v>573</v>
      </c>
      <c r="E88" s="5" t="s">
        <v>216</v>
      </c>
      <c r="F88" s="5">
        <v>7.0</v>
      </c>
      <c r="G88" s="5">
        <v>5.0</v>
      </c>
      <c r="H88" s="5" t="s">
        <v>199</v>
      </c>
      <c r="I88" s="5">
        <v>5.0</v>
      </c>
      <c r="J88" s="5">
        <v>7.0</v>
      </c>
      <c r="K88" s="5">
        <v>6.0</v>
      </c>
      <c r="L88" s="5">
        <v>4.0</v>
      </c>
      <c r="M88" s="5">
        <v>5.0</v>
      </c>
      <c r="N88" s="5">
        <v>5.0</v>
      </c>
      <c r="O88" s="5">
        <v>4.0</v>
      </c>
      <c r="P88" s="5">
        <v>5.0</v>
      </c>
      <c r="Q88" s="5">
        <v>5.0</v>
      </c>
      <c r="R88" s="5">
        <v>5.0</v>
      </c>
      <c r="S88" s="5">
        <v>5.0</v>
      </c>
      <c r="T88" s="5">
        <v>5.0</v>
      </c>
      <c r="U88" s="5" t="s">
        <v>591</v>
      </c>
      <c r="V88" s="5" t="s">
        <v>206</v>
      </c>
      <c r="W88" s="5">
        <v>6.0</v>
      </c>
      <c r="X88" s="5">
        <v>7.0</v>
      </c>
      <c r="Y88" s="5">
        <v>7.0</v>
      </c>
      <c r="Z88" s="5">
        <v>5.0</v>
      </c>
      <c r="AA88" s="5">
        <v>6.0</v>
      </c>
      <c r="AB88" s="5">
        <v>7.0</v>
      </c>
      <c r="AC88" s="5" t="s">
        <v>592</v>
      </c>
      <c r="AD88" s="5" t="s">
        <v>206</v>
      </c>
      <c r="AE88" s="5">
        <v>7.0</v>
      </c>
      <c r="AF88" s="5">
        <v>5.0</v>
      </c>
      <c r="AG88" s="5">
        <v>7.0</v>
      </c>
      <c r="AH88" s="5">
        <v>1.0</v>
      </c>
      <c r="AI88" s="5">
        <v>1.0</v>
      </c>
      <c r="AJ88" s="5">
        <v>1.0</v>
      </c>
      <c r="AK88" s="5">
        <v>1.0</v>
      </c>
      <c r="AL88" s="5" t="s">
        <v>593</v>
      </c>
    </row>
    <row r="89">
      <c r="A89" s="8">
        <v>644.0</v>
      </c>
      <c r="B89" s="7">
        <v>45869.165972222225</v>
      </c>
      <c r="C89" s="5" t="s">
        <v>594</v>
      </c>
      <c r="D89" s="5" t="s">
        <v>595</v>
      </c>
      <c r="E89" s="5" t="s">
        <v>216</v>
      </c>
      <c r="F89" s="5">
        <v>6.0</v>
      </c>
      <c r="G89" s="5">
        <v>5.0</v>
      </c>
      <c r="H89" s="5" t="s">
        <v>199</v>
      </c>
      <c r="I89" s="5">
        <v>6.0</v>
      </c>
      <c r="J89" s="5">
        <v>4.0</v>
      </c>
      <c r="K89" s="5">
        <v>6.0</v>
      </c>
      <c r="L89" s="5">
        <v>5.0</v>
      </c>
      <c r="M89" s="5">
        <v>5.0</v>
      </c>
      <c r="N89" s="5">
        <v>4.0</v>
      </c>
      <c r="O89" s="5">
        <v>5.0</v>
      </c>
      <c r="P89" s="5">
        <v>5.0</v>
      </c>
      <c r="Q89" s="5">
        <v>5.0</v>
      </c>
      <c r="R89" s="5">
        <v>3.0</v>
      </c>
      <c r="S89" s="5">
        <v>5.0</v>
      </c>
      <c r="T89" s="5">
        <v>4.0</v>
      </c>
      <c r="U89" s="5" t="s">
        <v>413</v>
      </c>
      <c r="V89" s="5" t="s">
        <v>206</v>
      </c>
      <c r="W89" s="5">
        <v>5.0</v>
      </c>
      <c r="X89" s="5">
        <v>3.0</v>
      </c>
      <c r="Y89" s="5">
        <v>4.0</v>
      </c>
      <c r="Z89" s="5">
        <v>3.0</v>
      </c>
      <c r="AA89" s="5">
        <v>3.0</v>
      </c>
      <c r="AB89" s="5">
        <v>3.0</v>
      </c>
      <c r="AC89" s="5" t="s">
        <v>413</v>
      </c>
      <c r="AD89" s="5" t="s">
        <v>206</v>
      </c>
      <c r="AE89" s="5">
        <v>5.0</v>
      </c>
      <c r="AF89" s="5">
        <v>6.0</v>
      </c>
      <c r="AG89" s="5">
        <v>5.0</v>
      </c>
      <c r="AH89" s="5">
        <v>3.0</v>
      </c>
      <c r="AI89" s="5">
        <v>3.0</v>
      </c>
      <c r="AJ89" s="5">
        <v>3.0</v>
      </c>
      <c r="AK89" s="5">
        <v>3.0</v>
      </c>
      <c r="AL89" s="5" t="s">
        <v>413</v>
      </c>
    </row>
    <row r="90">
      <c r="A90" s="8">
        <v>1117.0</v>
      </c>
      <c r="B90" s="7">
        <v>45869.17638888889</v>
      </c>
      <c r="C90" s="5" t="s">
        <v>596</v>
      </c>
      <c r="D90" s="5" t="s">
        <v>582</v>
      </c>
      <c r="E90" s="5" t="s">
        <v>211</v>
      </c>
      <c r="F90" s="5">
        <v>6.0</v>
      </c>
      <c r="G90" s="5">
        <v>5.0</v>
      </c>
      <c r="H90" s="5" t="s">
        <v>199</v>
      </c>
      <c r="I90" s="5">
        <v>7.0</v>
      </c>
      <c r="J90" s="5">
        <v>7.0</v>
      </c>
      <c r="K90" s="5">
        <v>5.0</v>
      </c>
      <c r="L90" s="5">
        <v>5.0</v>
      </c>
      <c r="M90" s="5">
        <v>6.0</v>
      </c>
      <c r="N90" s="5">
        <v>6.0</v>
      </c>
      <c r="O90" s="5">
        <v>6.0</v>
      </c>
      <c r="P90" s="5">
        <v>7.0</v>
      </c>
      <c r="Q90" s="5">
        <v>5.0</v>
      </c>
      <c r="R90" s="5">
        <v>4.0</v>
      </c>
      <c r="S90" s="5">
        <v>6.0</v>
      </c>
      <c r="T90" s="5">
        <v>4.0</v>
      </c>
      <c r="U90" s="5" t="s">
        <v>597</v>
      </c>
      <c r="V90" s="5" t="s">
        <v>206</v>
      </c>
      <c r="W90" s="5">
        <v>6.0</v>
      </c>
      <c r="X90" s="5">
        <v>7.0</v>
      </c>
      <c r="Y90" s="5">
        <v>7.0</v>
      </c>
      <c r="Z90" s="5">
        <v>7.0</v>
      </c>
      <c r="AA90" s="5">
        <v>7.0</v>
      </c>
      <c r="AB90" s="5">
        <v>7.0</v>
      </c>
      <c r="AC90" s="5" t="s">
        <v>598</v>
      </c>
      <c r="AD90" s="5" t="s">
        <v>206</v>
      </c>
      <c r="AE90" s="5">
        <v>6.0</v>
      </c>
      <c r="AF90" s="5">
        <v>6.0</v>
      </c>
      <c r="AG90" s="5">
        <v>7.0</v>
      </c>
      <c r="AH90" s="5">
        <v>1.0</v>
      </c>
      <c r="AI90" s="5">
        <v>1.0</v>
      </c>
      <c r="AJ90" s="5">
        <v>1.0</v>
      </c>
      <c r="AK90" s="5">
        <v>1.0</v>
      </c>
      <c r="AL90" s="5" t="s">
        <v>599</v>
      </c>
    </row>
    <row r="91">
      <c r="A91" s="8">
        <v>447.0</v>
      </c>
      <c r="B91" s="7">
        <v>45869.18194444444</v>
      </c>
      <c r="C91" s="5" t="s">
        <v>600</v>
      </c>
      <c r="D91" s="5" t="s">
        <v>595</v>
      </c>
      <c r="E91" s="5" t="s">
        <v>263</v>
      </c>
      <c r="F91" s="5">
        <v>6.0</v>
      </c>
      <c r="G91" s="5">
        <v>5.0</v>
      </c>
      <c r="H91" s="5" t="s">
        <v>199</v>
      </c>
      <c r="I91" s="5">
        <v>6.0</v>
      </c>
      <c r="J91" s="5">
        <v>5.0</v>
      </c>
      <c r="K91" s="5">
        <v>6.0</v>
      </c>
      <c r="L91" s="5">
        <v>6.0</v>
      </c>
      <c r="M91" s="5">
        <v>6.0</v>
      </c>
      <c r="N91" s="5">
        <v>6.0</v>
      </c>
      <c r="O91" s="5">
        <v>6.0</v>
      </c>
      <c r="P91" s="5">
        <v>6.0</v>
      </c>
      <c r="Q91" s="5">
        <v>6.0</v>
      </c>
      <c r="R91" s="5">
        <v>3.0</v>
      </c>
      <c r="S91" s="5">
        <v>6.0</v>
      </c>
      <c r="T91" s="5">
        <v>5.0</v>
      </c>
      <c r="U91" s="5" t="s">
        <v>413</v>
      </c>
      <c r="V91" s="5" t="s">
        <v>206</v>
      </c>
      <c r="W91" s="5">
        <v>6.0</v>
      </c>
      <c r="X91" s="5">
        <v>6.0</v>
      </c>
      <c r="Y91" s="5">
        <v>6.0</v>
      </c>
      <c r="Z91" s="5">
        <v>6.0</v>
      </c>
      <c r="AA91" s="5">
        <v>6.0</v>
      </c>
      <c r="AB91" s="5">
        <v>5.0</v>
      </c>
      <c r="AC91" s="5" t="s">
        <v>413</v>
      </c>
      <c r="AD91" s="5" t="s">
        <v>206</v>
      </c>
      <c r="AE91" s="5">
        <v>6.0</v>
      </c>
      <c r="AF91" s="5">
        <v>6.0</v>
      </c>
      <c r="AG91" s="5">
        <v>5.0</v>
      </c>
      <c r="AH91" s="5">
        <v>3.0</v>
      </c>
      <c r="AI91" s="5">
        <v>2.0</v>
      </c>
      <c r="AJ91" s="5">
        <v>3.0</v>
      </c>
      <c r="AK91" s="5">
        <v>2.0</v>
      </c>
      <c r="AL91" s="5" t="s">
        <v>413</v>
      </c>
    </row>
    <row r="92">
      <c r="A92" s="8">
        <v>1215.0</v>
      </c>
      <c r="B92" s="7">
        <v>45869.18402777778</v>
      </c>
      <c r="C92" s="5" t="s">
        <v>601</v>
      </c>
      <c r="D92" s="5" t="s">
        <v>602</v>
      </c>
      <c r="E92" s="5" t="s">
        <v>197</v>
      </c>
      <c r="F92" s="5">
        <v>6.0</v>
      </c>
      <c r="G92" s="5">
        <v>5.0</v>
      </c>
      <c r="H92" s="5" t="s">
        <v>199</v>
      </c>
      <c r="I92" s="5">
        <v>6.0</v>
      </c>
      <c r="J92" s="5">
        <v>6.0</v>
      </c>
      <c r="K92" s="5">
        <v>7.0</v>
      </c>
      <c r="L92" s="5">
        <v>5.0</v>
      </c>
      <c r="M92" s="5">
        <v>5.0</v>
      </c>
      <c r="N92" s="5">
        <v>6.0</v>
      </c>
      <c r="O92" s="5">
        <v>6.0</v>
      </c>
      <c r="P92" s="5">
        <v>7.0</v>
      </c>
      <c r="Q92" s="5">
        <v>5.0</v>
      </c>
      <c r="R92" s="5">
        <v>6.0</v>
      </c>
      <c r="S92" s="5">
        <v>6.0</v>
      </c>
      <c r="T92" s="5">
        <v>5.0</v>
      </c>
      <c r="U92" s="5" t="s">
        <v>603</v>
      </c>
      <c r="V92" s="5" t="s">
        <v>206</v>
      </c>
      <c r="W92" s="5">
        <v>6.0</v>
      </c>
      <c r="X92" s="5">
        <v>6.0</v>
      </c>
      <c r="Y92" s="5">
        <v>6.0</v>
      </c>
      <c r="Z92" s="5">
        <v>7.0</v>
      </c>
      <c r="AA92" s="5">
        <v>6.0</v>
      </c>
      <c r="AB92" s="5">
        <v>6.0</v>
      </c>
      <c r="AC92" s="5" t="s">
        <v>604</v>
      </c>
      <c r="AD92" s="5" t="s">
        <v>206</v>
      </c>
      <c r="AE92" s="5">
        <v>6.0</v>
      </c>
      <c r="AF92" s="5">
        <v>6.0</v>
      </c>
      <c r="AG92" s="5">
        <v>7.0</v>
      </c>
      <c r="AH92" s="5">
        <v>1.0</v>
      </c>
      <c r="AI92" s="5">
        <v>1.0</v>
      </c>
      <c r="AJ92" s="5">
        <v>1.0</v>
      </c>
      <c r="AK92" s="5">
        <v>1.0</v>
      </c>
      <c r="AL92" s="5" t="s">
        <v>605</v>
      </c>
    </row>
    <row r="93">
      <c r="A93" s="8">
        <v>973.0</v>
      </c>
      <c r="B93" s="7">
        <v>45869.18819444445</v>
      </c>
      <c r="C93" s="5" t="s">
        <v>606</v>
      </c>
      <c r="D93" s="5" t="s">
        <v>607</v>
      </c>
      <c r="E93" s="5" t="s">
        <v>211</v>
      </c>
      <c r="F93" s="5">
        <v>2.0</v>
      </c>
      <c r="G93" s="5">
        <v>1.0</v>
      </c>
      <c r="H93" s="5" t="s">
        <v>199</v>
      </c>
      <c r="I93" s="5">
        <v>1.0</v>
      </c>
      <c r="J93" s="5">
        <v>1.0</v>
      </c>
      <c r="K93" s="5">
        <v>1.0</v>
      </c>
      <c r="L93" s="5">
        <v>2.0</v>
      </c>
      <c r="M93" s="5">
        <v>1.0</v>
      </c>
      <c r="N93" s="5">
        <v>5.0</v>
      </c>
      <c r="O93" s="5">
        <v>4.0</v>
      </c>
      <c r="P93" s="5">
        <v>3.0</v>
      </c>
      <c r="Q93" s="5">
        <v>1.0</v>
      </c>
      <c r="R93" s="5">
        <v>1.0</v>
      </c>
      <c r="S93" s="5">
        <v>1.0</v>
      </c>
      <c r="T93" s="5">
        <v>7.0</v>
      </c>
      <c r="U93" s="5" t="s">
        <v>608</v>
      </c>
      <c r="V93" s="5" t="s">
        <v>206</v>
      </c>
      <c r="W93" s="5">
        <v>2.0</v>
      </c>
      <c r="X93" s="5">
        <v>4.0</v>
      </c>
      <c r="Y93" s="5">
        <v>2.0</v>
      </c>
      <c r="Z93" s="5">
        <v>6.0</v>
      </c>
      <c r="AA93" s="5">
        <v>6.0</v>
      </c>
      <c r="AB93" s="5">
        <v>4.0</v>
      </c>
      <c r="AC93" s="5" t="s">
        <v>609</v>
      </c>
      <c r="AD93" s="5" t="s">
        <v>206</v>
      </c>
      <c r="AE93" s="5">
        <v>1.0</v>
      </c>
      <c r="AF93" s="5">
        <v>5.0</v>
      </c>
      <c r="AG93" s="5">
        <v>6.0</v>
      </c>
      <c r="AH93" s="5">
        <v>1.0</v>
      </c>
      <c r="AI93" s="5">
        <v>1.0</v>
      </c>
      <c r="AJ93" s="5">
        <v>2.0</v>
      </c>
      <c r="AK93" s="5">
        <v>1.0</v>
      </c>
      <c r="AL93" s="5" t="s">
        <v>610</v>
      </c>
    </row>
    <row r="94">
      <c r="A94" s="8">
        <v>300.0</v>
      </c>
      <c r="B94" s="7">
        <v>45869.19097222222</v>
      </c>
      <c r="C94" s="5" t="s">
        <v>611</v>
      </c>
      <c r="D94" s="5" t="s">
        <v>595</v>
      </c>
      <c r="E94" s="5" t="s">
        <v>211</v>
      </c>
      <c r="F94" s="5">
        <v>5.0</v>
      </c>
      <c r="G94" s="5">
        <v>6.0</v>
      </c>
      <c r="H94" s="5" t="s">
        <v>199</v>
      </c>
      <c r="I94" s="5">
        <v>6.0</v>
      </c>
      <c r="J94" s="5">
        <v>6.0</v>
      </c>
      <c r="K94" s="5">
        <v>6.0</v>
      </c>
      <c r="L94" s="5">
        <v>6.0</v>
      </c>
      <c r="M94" s="5">
        <v>6.0</v>
      </c>
      <c r="N94" s="5">
        <v>6.0</v>
      </c>
      <c r="O94" s="5">
        <v>6.0</v>
      </c>
      <c r="P94" s="5">
        <v>6.0</v>
      </c>
      <c r="Q94" s="5">
        <v>6.0</v>
      </c>
      <c r="R94" s="5">
        <v>3.0</v>
      </c>
      <c r="S94" s="5">
        <v>6.0</v>
      </c>
      <c r="T94" s="5">
        <v>5.0</v>
      </c>
      <c r="U94" s="5" t="s">
        <v>413</v>
      </c>
      <c r="V94" s="5" t="s">
        <v>206</v>
      </c>
      <c r="W94" s="5">
        <v>6.0</v>
      </c>
      <c r="X94" s="5">
        <v>6.0</v>
      </c>
      <c r="Y94" s="5">
        <v>6.0</v>
      </c>
      <c r="Z94" s="5">
        <v>6.0</v>
      </c>
      <c r="AA94" s="5">
        <v>6.0</v>
      </c>
      <c r="AB94" s="5">
        <v>6.0</v>
      </c>
      <c r="AC94" s="5" t="s">
        <v>413</v>
      </c>
      <c r="AD94" s="5" t="s">
        <v>206</v>
      </c>
      <c r="AE94" s="5">
        <v>6.0</v>
      </c>
      <c r="AF94" s="5">
        <v>6.0</v>
      </c>
      <c r="AG94" s="5">
        <v>5.0</v>
      </c>
      <c r="AH94" s="5">
        <v>2.0</v>
      </c>
      <c r="AI94" s="5">
        <v>2.0</v>
      </c>
      <c r="AJ94" s="5">
        <v>2.0</v>
      </c>
      <c r="AK94" s="5">
        <v>2.0</v>
      </c>
      <c r="AL94" s="5" t="s">
        <v>413</v>
      </c>
    </row>
    <row r="95">
      <c r="A95" s="8">
        <v>808.0</v>
      </c>
      <c r="B95" s="7">
        <v>45869.19236111111</v>
      </c>
      <c r="C95" s="5" t="s">
        <v>612</v>
      </c>
      <c r="D95" s="5" t="s">
        <v>582</v>
      </c>
      <c r="E95" s="5" t="s">
        <v>263</v>
      </c>
      <c r="F95" s="5">
        <v>7.0</v>
      </c>
      <c r="G95" s="5">
        <v>5.0</v>
      </c>
      <c r="H95" s="5" t="s">
        <v>199</v>
      </c>
      <c r="I95" s="5">
        <v>7.0</v>
      </c>
      <c r="J95" s="5">
        <v>7.0</v>
      </c>
      <c r="K95" s="5">
        <v>5.0</v>
      </c>
      <c r="L95" s="5">
        <v>5.0</v>
      </c>
      <c r="M95" s="5">
        <v>6.0</v>
      </c>
      <c r="N95" s="5">
        <v>6.0</v>
      </c>
      <c r="O95" s="5">
        <v>5.0</v>
      </c>
      <c r="P95" s="5">
        <v>6.0</v>
      </c>
      <c r="Q95" s="5">
        <v>5.0</v>
      </c>
      <c r="R95" s="5">
        <v>2.0</v>
      </c>
      <c r="S95" s="5">
        <v>6.0</v>
      </c>
      <c r="T95" s="5">
        <v>5.0</v>
      </c>
      <c r="U95" s="5" t="s">
        <v>613</v>
      </c>
      <c r="V95" s="5" t="s">
        <v>206</v>
      </c>
      <c r="W95" s="5">
        <v>7.0</v>
      </c>
      <c r="X95" s="5">
        <v>7.0</v>
      </c>
      <c r="Y95" s="5">
        <v>7.0</v>
      </c>
      <c r="Z95" s="5">
        <v>7.0</v>
      </c>
      <c r="AA95" s="5">
        <v>7.0</v>
      </c>
      <c r="AB95" s="5">
        <v>7.0</v>
      </c>
      <c r="AC95" s="5" t="s">
        <v>614</v>
      </c>
      <c r="AD95" s="5" t="s">
        <v>206</v>
      </c>
      <c r="AE95" s="5">
        <v>7.0</v>
      </c>
      <c r="AF95" s="5">
        <v>6.0</v>
      </c>
      <c r="AG95" s="5">
        <v>7.0</v>
      </c>
      <c r="AH95" s="5">
        <v>1.0</v>
      </c>
      <c r="AI95" s="5">
        <v>1.0</v>
      </c>
      <c r="AJ95" s="5">
        <v>1.0</v>
      </c>
      <c r="AK95" s="5">
        <v>1.0</v>
      </c>
      <c r="AL95" s="5" t="s">
        <v>615</v>
      </c>
    </row>
    <row r="96">
      <c r="A96" s="8">
        <v>1307.0</v>
      </c>
      <c r="B96" s="7">
        <v>45869.20347222222</v>
      </c>
      <c r="C96" s="5" t="s">
        <v>616</v>
      </c>
      <c r="D96" s="5" t="s">
        <v>602</v>
      </c>
      <c r="E96" s="5" t="s">
        <v>211</v>
      </c>
      <c r="F96" s="5">
        <v>3.0</v>
      </c>
      <c r="G96" s="5">
        <v>3.0</v>
      </c>
      <c r="H96" s="5" t="s">
        <v>199</v>
      </c>
      <c r="I96" s="5">
        <v>6.0</v>
      </c>
      <c r="J96" s="5">
        <v>5.0</v>
      </c>
      <c r="K96" s="5">
        <v>3.0</v>
      </c>
      <c r="L96" s="5">
        <v>3.0</v>
      </c>
      <c r="M96" s="5">
        <v>3.0</v>
      </c>
      <c r="N96" s="5">
        <v>5.0</v>
      </c>
      <c r="O96" s="5">
        <v>5.0</v>
      </c>
      <c r="P96" s="5">
        <v>6.0</v>
      </c>
      <c r="Q96" s="5">
        <v>3.0</v>
      </c>
      <c r="R96" s="5">
        <v>3.0</v>
      </c>
      <c r="S96" s="5">
        <v>5.0</v>
      </c>
      <c r="T96" s="5">
        <v>6.0</v>
      </c>
      <c r="U96" s="5" t="s">
        <v>617</v>
      </c>
      <c r="V96" s="5" t="s">
        <v>206</v>
      </c>
      <c r="W96" s="5">
        <v>6.0</v>
      </c>
      <c r="X96" s="5">
        <v>5.0</v>
      </c>
      <c r="Y96" s="5">
        <v>3.0</v>
      </c>
      <c r="Z96" s="5">
        <v>3.0</v>
      </c>
      <c r="AA96" s="5">
        <v>3.0</v>
      </c>
      <c r="AB96" s="5">
        <v>3.0</v>
      </c>
      <c r="AC96" s="5" t="s">
        <v>618</v>
      </c>
      <c r="AD96" s="5" t="s">
        <v>206</v>
      </c>
      <c r="AE96" s="5">
        <v>5.0</v>
      </c>
      <c r="AF96" s="5">
        <v>6.0</v>
      </c>
      <c r="AG96" s="5">
        <v>5.0</v>
      </c>
      <c r="AH96" s="5">
        <v>1.0</v>
      </c>
      <c r="AI96" s="5">
        <v>1.0</v>
      </c>
      <c r="AJ96" s="5">
        <v>1.0</v>
      </c>
      <c r="AK96" s="5">
        <v>1.0</v>
      </c>
      <c r="AL96" s="5" t="s">
        <v>619</v>
      </c>
    </row>
    <row r="97">
      <c r="A97" s="8">
        <v>677.0</v>
      </c>
      <c r="B97" s="7">
        <v>45869.20416666667</v>
      </c>
      <c r="C97" s="5" t="s">
        <v>620</v>
      </c>
      <c r="D97" s="5" t="s">
        <v>582</v>
      </c>
      <c r="E97" s="5" t="s">
        <v>216</v>
      </c>
      <c r="F97" s="5">
        <v>7.0</v>
      </c>
      <c r="G97" s="5">
        <v>4.0</v>
      </c>
      <c r="H97" s="5" t="s">
        <v>199</v>
      </c>
      <c r="I97" s="5">
        <v>7.0</v>
      </c>
      <c r="J97" s="5">
        <v>7.0</v>
      </c>
      <c r="K97" s="5">
        <v>3.0</v>
      </c>
      <c r="L97" s="5">
        <v>6.0</v>
      </c>
      <c r="M97" s="5">
        <v>6.0</v>
      </c>
      <c r="N97" s="5">
        <v>6.0</v>
      </c>
      <c r="O97" s="5">
        <v>6.0</v>
      </c>
      <c r="P97" s="5">
        <v>6.0</v>
      </c>
      <c r="Q97" s="5">
        <v>3.0</v>
      </c>
      <c r="R97" s="5">
        <v>1.0</v>
      </c>
      <c r="S97" s="5">
        <v>6.0</v>
      </c>
      <c r="T97" s="5">
        <v>4.0</v>
      </c>
      <c r="U97" s="5" t="s">
        <v>621</v>
      </c>
      <c r="V97" s="5" t="s">
        <v>206</v>
      </c>
      <c r="W97" s="5">
        <v>6.0</v>
      </c>
      <c r="X97" s="5">
        <v>6.0</v>
      </c>
      <c r="Y97" s="5">
        <v>7.0</v>
      </c>
      <c r="Z97" s="5">
        <v>6.0</v>
      </c>
      <c r="AA97" s="5">
        <v>7.0</v>
      </c>
      <c r="AB97" s="5">
        <v>7.0</v>
      </c>
      <c r="AC97" s="5" t="s">
        <v>622</v>
      </c>
      <c r="AD97" s="5" t="s">
        <v>206</v>
      </c>
      <c r="AE97" s="5">
        <v>7.0</v>
      </c>
      <c r="AF97" s="5">
        <v>7.0</v>
      </c>
      <c r="AG97" s="5">
        <v>7.0</v>
      </c>
      <c r="AH97" s="5">
        <v>1.0</v>
      </c>
      <c r="AI97" s="5">
        <v>1.0</v>
      </c>
      <c r="AJ97" s="5">
        <v>1.0</v>
      </c>
      <c r="AK97" s="5">
        <v>1.0</v>
      </c>
      <c r="AL97" s="5" t="s">
        <v>623</v>
      </c>
    </row>
    <row r="98">
      <c r="A98" s="8">
        <v>726.0</v>
      </c>
      <c r="B98" s="7">
        <v>45869.20763888889</v>
      </c>
      <c r="C98" s="5" t="s">
        <v>624</v>
      </c>
      <c r="D98" s="5" t="s">
        <v>607</v>
      </c>
      <c r="E98" s="5" t="s">
        <v>263</v>
      </c>
      <c r="F98" s="5">
        <v>5.0</v>
      </c>
      <c r="G98" s="5">
        <v>5.0</v>
      </c>
      <c r="H98" s="5" t="s">
        <v>199</v>
      </c>
      <c r="I98" s="5">
        <v>2.0</v>
      </c>
      <c r="J98" s="5">
        <v>5.0</v>
      </c>
      <c r="K98" s="5">
        <v>4.0</v>
      </c>
      <c r="L98" s="5">
        <v>5.0</v>
      </c>
      <c r="M98" s="5">
        <v>5.0</v>
      </c>
      <c r="N98" s="5">
        <v>5.0</v>
      </c>
      <c r="O98" s="5">
        <v>5.0</v>
      </c>
      <c r="P98" s="5">
        <v>2.0</v>
      </c>
      <c r="Q98" s="5">
        <v>5.0</v>
      </c>
      <c r="R98" s="5">
        <v>5.0</v>
      </c>
      <c r="S98" s="5">
        <v>5.0</v>
      </c>
      <c r="T98" s="5">
        <v>7.0</v>
      </c>
      <c r="U98" s="5" t="s">
        <v>625</v>
      </c>
      <c r="V98" s="5" t="s">
        <v>206</v>
      </c>
      <c r="W98" s="5">
        <v>3.0</v>
      </c>
      <c r="X98" s="5">
        <v>5.0</v>
      </c>
      <c r="Y98" s="5">
        <v>3.0</v>
      </c>
      <c r="Z98" s="5">
        <v>7.0</v>
      </c>
      <c r="AA98" s="5">
        <v>6.0</v>
      </c>
      <c r="AB98" s="5">
        <v>6.0</v>
      </c>
      <c r="AC98" s="5" t="s">
        <v>626</v>
      </c>
      <c r="AD98" s="5" t="s">
        <v>206</v>
      </c>
      <c r="AE98" s="5">
        <v>5.0</v>
      </c>
      <c r="AF98" s="5">
        <v>5.0</v>
      </c>
      <c r="AG98" s="5">
        <v>2.0</v>
      </c>
      <c r="AH98" s="5">
        <v>6.0</v>
      </c>
      <c r="AI98" s="5">
        <v>2.0</v>
      </c>
      <c r="AJ98" s="5">
        <v>7.0</v>
      </c>
      <c r="AK98" s="5">
        <v>3.0</v>
      </c>
      <c r="AL98" s="5" t="s">
        <v>627</v>
      </c>
    </row>
    <row r="99">
      <c r="A99" s="8">
        <v>417.0</v>
      </c>
      <c r="B99" s="7">
        <v>45869.21388888889</v>
      </c>
      <c r="C99" s="5" t="s">
        <v>628</v>
      </c>
      <c r="D99" s="5" t="s">
        <v>595</v>
      </c>
      <c r="E99" s="5" t="s">
        <v>197</v>
      </c>
      <c r="F99" s="5">
        <v>6.0</v>
      </c>
      <c r="G99" s="5">
        <v>6.0</v>
      </c>
      <c r="H99" s="5" t="s">
        <v>199</v>
      </c>
      <c r="I99" s="5">
        <v>5.0</v>
      </c>
      <c r="J99" s="5">
        <v>5.0</v>
      </c>
      <c r="K99" s="5">
        <v>3.0</v>
      </c>
      <c r="L99" s="5">
        <v>6.0</v>
      </c>
      <c r="M99" s="5">
        <v>6.0</v>
      </c>
      <c r="N99" s="5">
        <v>6.0</v>
      </c>
      <c r="O99" s="5">
        <v>3.0</v>
      </c>
      <c r="P99" s="5">
        <v>6.0</v>
      </c>
      <c r="Q99" s="5">
        <v>6.0</v>
      </c>
      <c r="R99" s="5">
        <v>3.0</v>
      </c>
      <c r="S99" s="5">
        <v>5.0</v>
      </c>
      <c r="T99" s="5">
        <v>3.0</v>
      </c>
      <c r="U99" s="5" t="s">
        <v>413</v>
      </c>
      <c r="V99" s="5" t="s">
        <v>206</v>
      </c>
      <c r="W99" s="5">
        <v>6.0</v>
      </c>
      <c r="X99" s="5">
        <v>6.0</v>
      </c>
      <c r="Y99" s="5">
        <v>6.0</v>
      </c>
      <c r="Z99" s="5">
        <v>6.0</v>
      </c>
      <c r="AA99" s="5">
        <v>6.0</v>
      </c>
      <c r="AB99" s="5">
        <v>6.0</v>
      </c>
      <c r="AC99" s="5" t="s">
        <v>413</v>
      </c>
      <c r="AD99" s="5" t="s">
        <v>206</v>
      </c>
      <c r="AE99" s="5">
        <v>6.0</v>
      </c>
      <c r="AF99" s="5">
        <v>5.0</v>
      </c>
      <c r="AG99" s="5">
        <v>5.0</v>
      </c>
      <c r="AH99" s="5">
        <v>3.0</v>
      </c>
      <c r="AI99" s="5">
        <v>3.0</v>
      </c>
      <c r="AJ99" s="5">
        <v>5.0</v>
      </c>
      <c r="AK99" s="5">
        <v>4.0</v>
      </c>
      <c r="AL99" s="5" t="s">
        <v>413</v>
      </c>
    </row>
    <row r="100">
      <c r="A100" s="8">
        <v>1053.0</v>
      </c>
      <c r="B100" s="7">
        <v>45869.217361111114</v>
      </c>
      <c r="C100" s="5" t="s">
        <v>629</v>
      </c>
      <c r="D100" s="5" t="s">
        <v>602</v>
      </c>
      <c r="E100" s="5" t="s">
        <v>216</v>
      </c>
      <c r="F100" s="5">
        <v>3.0</v>
      </c>
      <c r="G100" s="5">
        <v>2.0</v>
      </c>
      <c r="H100" s="5" t="s">
        <v>199</v>
      </c>
      <c r="I100" s="5">
        <v>6.0</v>
      </c>
      <c r="J100" s="5">
        <v>5.0</v>
      </c>
      <c r="K100" s="5">
        <v>2.0</v>
      </c>
      <c r="L100" s="5">
        <v>2.0</v>
      </c>
      <c r="M100" s="5">
        <v>5.0</v>
      </c>
      <c r="N100" s="5">
        <v>5.0</v>
      </c>
      <c r="O100" s="5">
        <v>5.0</v>
      </c>
      <c r="P100" s="5">
        <v>6.0</v>
      </c>
      <c r="Q100" s="5">
        <v>2.0</v>
      </c>
      <c r="R100" s="5">
        <v>2.0</v>
      </c>
      <c r="S100" s="5">
        <v>3.0</v>
      </c>
      <c r="T100" s="5">
        <v>6.0</v>
      </c>
      <c r="U100" s="5" t="s">
        <v>630</v>
      </c>
      <c r="V100" s="5" t="s">
        <v>206</v>
      </c>
      <c r="W100" s="5">
        <v>5.0</v>
      </c>
      <c r="X100" s="5">
        <v>3.0</v>
      </c>
      <c r="Y100" s="5">
        <v>3.0</v>
      </c>
      <c r="Z100" s="5">
        <v>2.0</v>
      </c>
      <c r="AA100" s="5">
        <v>2.0</v>
      </c>
      <c r="AB100" s="5">
        <v>2.0</v>
      </c>
      <c r="AC100" s="5" t="s">
        <v>631</v>
      </c>
      <c r="AD100" s="5" t="s">
        <v>206</v>
      </c>
      <c r="AE100" s="5">
        <v>5.0</v>
      </c>
      <c r="AF100" s="5">
        <v>6.0</v>
      </c>
      <c r="AG100" s="5">
        <v>3.0</v>
      </c>
      <c r="AH100" s="5">
        <v>1.0</v>
      </c>
      <c r="AI100" s="5">
        <v>1.0</v>
      </c>
      <c r="AJ100" s="5">
        <v>1.0</v>
      </c>
      <c r="AK100" s="5">
        <v>1.0</v>
      </c>
      <c r="AL100" s="5" t="s">
        <v>632</v>
      </c>
    </row>
    <row r="101">
      <c r="A101" s="8">
        <v>315.0</v>
      </c>
      <c r="B101" s="7">
        <v>45869.21805555555</v>
      </c>
      <c r="C101" s="5" t="s">
        <v>633</v>
      </c>
      <c r="D101" s="5" t="s">
        <v>634</v>
      </c>
      <c r="E101" s="5" t="s">
        <v>216</v>
      </c>
      <c r="F101" s="5">
        <v>2.0</v>
      </c>
      <c r="G101" s="5">
        <v>1.0</v>
      </c>
      <c r="H101" s="5" t="s">
        <v>199</v>
      </c>
      <c r="I101" s="5">
        <v>4.0</v>
      </c>
      <c r="J101" s="5">
        <v>4.0</v>
      </c>
      <c r="K101" s="5">
        <v>1.0</v>
      </c>
      <c r="L101" s="5">
        <v>1.0</v>
      </c>
      <c r="M101" s="5">
        <v>1.0</v>
      </c>
      <c r="N101" s="5">
        <v>5.0</v>
      </c>
      <c r="O101" s="5">
        <v>6.0</v>
      </c>
      <c r="P101" s="5">
        <v>6.0</v>
      </c>
      <c r="Q101" s="5">
        <v>2.0</v>
      </c>
      <c r="R101" s="5">
        <v>2.0</v>
      </c>
      <c r="S101" s="5">
        <v>4.0</v>
      </c>
      <c r="T101" s="5">
        <v>7.0</v>
      </c>
      <c r="U101" s="5" t="s">
        <v>635</v>
      </c>
      <c r="V101" s="5" t="s">
        <v>206</v>
      </c>
      <c r="W101" s="5">
        <v>4.0</v>
      </c>
      <c r="X101" s="5">
        <v>5.0</v>
      </c>
      <c r="Y101" s="5">
        <v>5.0</v>
      </c>
      <c r="Z101" s="5">
        <v>5.0</v>
      </c>
      <c r="AA101" s="5">
        <v>4.0</v>
      </c>
      <c r="AB101" s="5">
        <v>5.0</v>
      </c>
      <c r="AC101" s="5" t="s">
        <v>636</v>
      </c>
      <c r="AD101" s="5" t="s">
        <v>206</v>
      </c>
      <c r="AE101" s="5">
        <v>6.0</v>
      </c>
      <c r="AF101" s="5">
        <v>6.0</v>
      </c>
      <c r="AG101" s="5">
        <v>6.0</v>
      </c>
      <c r="AH101" s="5">
        <v>5.0</v>
      </c>
      <c r="AI101" s="5">
        <v>2.0</v>
      </c>
      <c r="AJ101" s="5">
        <v>3.0</v>
      </c>
      <c r="AK101" s="5">
        <v>2.0</v>
      </c>
      <c r="AL101" s="5" t="s">
        <v>637</v>
      </c>
    </row>
    <row r="102">
      <c r="A102" s="8">
        <v>494.0</v>
      </c>
      <c r="B102" s="7">
        <v>45869.22083333333</v>
      </c>
      <c r="C102" s="5" t="s">
        <v>638</v>
      </c>
      <c r="D102" s="5" t="s">
        <v>607</v>
      </c>
      <c r="E102" s="5" t="s">
        <v>197</v>
      </c>
      <c r="F102" s="5">
        <v>4.0</v>
      </c>
      <c r="G102" s="5">
        <v>1.0</v>
      </c>
      <c r="H102" s="5" t="s">
        <v>199</v>
      </c>
      <c r="I102" s="5">
        <v>1.0</v>
      </c>
      <c r="J102" s="5">
        <v>1.0</v>
      </c>
      <c r="K102" s="5">
        <v>1.0</v>
      </c>
      <c r="L102" s="5">
        <v>4.0</v>
      </c>
      <c r="M102" s="5">
        <v>1.0</v>
      </c>
      <c r="N102" s="5">
        <v>4.0</v>
      </c>
      <c r="O102" s="5">
        <v>1.0</v>
      </c>
      <c r="P102" s="5">
        <v>1.0</v>
      </c>
      <c r="Q102" s="5">
        <v>4.0</v>
      </c>
      <c r="R102" s="5">
        <v>1.0</v>
      </c>
      <c r="S102" s="5">
        <v>1.0</v>
      </c>
      <c r="T102" s="5">
        <v>1.0</v>
      </c>
      <c r="U102" s="5" t="s">
        <v>639</v>
      </c>
      <c r="V102" s="5" t="s">
        <v>206</v>
      </c>
      <c r="W102" s="5">
        <v>1.0</v>
      </c>
      <c r="X102" s="5">
        <v>1.0</v>
      </c>
      <c r="Y102" s="5">
        <v>1.0</v>
      </c>
      <c r="Z102" s="5">
        <v>4.0</v>
      </c>
      <c r="AA102" s="5">
        <v>5.0</v>
      </c>
      <c r="AB102" s="5">
        <v>1.0</v>
      </c>
      <c r="AC102" s="5" t="s">
        <v>640</v>
      </c>
      <c r="AD102" s="5" t="s">
        <v>206</v>
      </c>
      <c r="AE102" s="5">
        <v>1.0</v>
      </c>
      <c r="AF102" s="5">
        <v>1.0</v>
      </c>
      <c r="AG102" s="5">
        <v>1.0</v>
      </c>
      <c r="AH102" s="5">
        <v>5.0</v>
      </c>
      <c r="AI102" s="5">
        <v>4.0</v>
      </c>
      <c r="AJ102" s="5">
        <v>7.0</v>
      </c>
      <c r="AK102" s="5">
        <v>5.0</v>
      </c>
      <c r="AL102" s="11" t="s">
        <v>641</v>
      </c>
    </row>
    <row r="103">
      <c r="A103" s="8">
        <v>359.0</v>
      </c>
      <c r="B103" s="7">
        <v>45869.22777777778</v>
      </c>
      <c r="C103" s="5" t="s">
        <v>642</v>
      </c>
      <c r="D103" s="5" t="s">
        <v>634</v>
      </c>
      <c r="E103" s="5" t="s">
        <v>211</v>
      </c>
      <c r="F103" s="5">
        <v>2.0</v>
      </c>
      <c r="G103" s="5">
        <v>2.0</v>
      </c>
      <c r="H103" s="5" t="s">
        <v>199</v>
      </c>
      <c r="I103" s="5">
        <v>6.0</v>
      </c>
      <c r="J103" s="5">
        <v>6.0</v>
      </c>
      <c r="K103" s="5">
        <v>2.0</v>
      </c>
      <c r="L103" s="5">
        <v>2.0</v>
      </c>
      <c r="M103" s="5">
        <v>3.0</v>
      </c>
      <c r="N103" s="5">
        <v>6.0</v>
      </c>
      <c r="O103" s="5">
        <v>6.0</v>
      </c>
      <c r="P103" s="5">
        <v>6.0</v>
      </c>
      <c r="Q103" s="5">
        <v>2.0</v>
      </c>
      <c r="R103" s="5">
        <v>5.0</v>
      </c>
      <c r="S103" s="5">
        <v>6.0</v>
      </c>
      <c r="T103" s="5">
        <v>6.0</v>
      </c>
      <c r="U103" s="5" t="s">
        <v>643</v>
      </c>
      <c r="V103" s="5" t="s">
        <v>206</v>
      </c>
      <c r="W103" s="5">
        <v>6.0</v>
      </c>
      <c r="X103" s="5">
        <v>7.0</v>
      </c>
      <c r="Y103" s="5">
        <v>7.0</v>
      </c>
      <c r="Z103" s="5">
        <v>6.0</v>
      </c>
      <c r="AA103" s="5">
        <v>4.0</v>
      </c>
      <c r="AB103" s="5">
        <v>6.0</v>
      </c>
      <c r="AC103" s="5" t="s">
        <v>644</v>
      </c>
      <c r="AD103" s="5" t="s">
        <v>206</v>
      </c>
      <c r="AE103" s="5">
        <v>6.0</v>
      </c>
      <c r="AF103" s="5">
        <v>6.0</v>
      </c>
      <c r="AG103" s="5">
        <v>6.0</v>
      </c>
      <c r="AH103" s="5">
        <v>2.0</v>
      </c>
      <c r="AI103" s="5">
        <v>2.0</v>
      </c>
      <c r="AJ103" s="5">
        <v>2.0</v>
      </c>
      <c r="AK103" s="5">
        <v>2.0</v>
      </c>
      <c r="AL103" s="5" t="s">
        <v>645</v>
      </c>
    </row>
    <row r="104">
      <c r="A104" s="8">
        <v>824.0</v>
      </c>
      <c r="B104" s="7">
        <v>45869.23263888889</v>
      </c>
      <c r="C104" s="5" t="s">
        <v>646</v>
      </c>
      <c r="D104" s="5" t="s">
        <v>602</v>
      </c>
      <c r="E104" s="5" t="s">
        <v>263</v>
      </c>
      <c r="F104" s="5">
        <v>6.0</v>
      </c>
      <c r="G104" s="5">
        <v>5.0</v>
      </c>
      <c r="H104" s="5" t="s">
        <v>199</v>
      </c>
      <c r="I104" s="5">
        <v>6.0</v>
      </c>
      <c r="J104" s="5">
        <v>5.0</v>
      </c>
      <c r="K104" s="5">
        <v>6.0</v>
      </c>
      <c r="L104" s="5">
        <v>2.0</v>
      </c>
      <c r="M104" s="5">
        <v>3.0</v>
      </c>
      <c r="N104" s="5">
        <v>5.0</v>
      </c>
      <c r="O104" s="5">
        <v>5.0</v>
      </c>
      <c r="P104" s="5">
        <v>6.0</v>
      </c>
      <c r="Q104" s="5">
        <v>2.0</v>
      </c>
      <c r="R104" s="5">
        <v>5.0</v>
      </c>
      <c r="S104" s="5">
        <v>5.0</v>
      </c>
      <c r="T104" s="5">
        <v>6.0</v>
      </c>
      <c r="U104" s="5" t="s">
        <v>647</v>
      </c>
      <c r="V104" s="5" t="s">
        <v>206</v>
      </c>
      <c r="W104" s="5">
        <v>6.0</v>
      </c>
      <c r="X104" s="5">
        <v>6.0</v>
      </c>
      <c r="Y104" s="5">
        <v>6.0</v>
      </c>
      <c r="Z104" s="5">
        <v>5.0</v>
      </c>
      <c r="AA104" s="5">
        <v>6.0</v>
      </c>
      <c r="AB104" s="5">
        <v>6.0</v>
      </c>
      <c r="AC104" s="5" t="s">
        <v>648</v>
      </c>
      <c r="AD104" s="5" t="s">
        <v>206</v>
      </c>
      <c r="AE104" s="5">
        <v>6.0</v>
      </c>
      <c r="AF104" s="5">
        <v>6.0</v>
      </c>
      <c r="AG104" s="5">
        <v>6.0</v>
      </c>
      <c r="AH104" s="5">
        <v>1.0</v>
      </c>
      <c r="AI104" s="5">
        <v>1.0</v>
      </c>
      <c r="AJ104" s="5">
        <v>1.0</v>
      </c>
      <c r="AK104" s="5">
        <v>1.0</v>
      </c>
      <c r="AL104" s="5" t="s">
        <v>649</v>
      </c>
    </row>
    <row r="105">
      <c r="A105" s="8">
        <v>567.0</v>
      </c>
      <c r="B105" s="7">
        <v>45869.23402777778</v>
      </c>
      <c r="C105" s="5" t="s">
        <v>650</v>
      </c>
      <c r="D105" s="5" t="s">
        <v>607</v>
      </c>
      <c r="E105" s="5" t="s">
        <v>216</v>
      </c>
      <c r="F105" s="5">
        <v>3.0</v>
      </c>
      <c r="G105" s="5">
        <v>2.0</v>
      </c>
      <c r="H105" s="5" t="s">
        <v>199</v>
      </c>
      <c r="I105" s="5">
        <v>4.0</v>
      </c>
      <c r="J105" s="5">
        <v>1.0</v>
      </c>
      <c r="K105" s="5">
        <v>1.0</v>
      </c>
      <c r="L105" s="5">
        <v>2.0</v>
      </c>
      <c r="M105" s="5">
        <v>2.0</v>
      </c>
      <c r="N105" s="5">
        <v>5.0</v>
      </c>
      <c r="O105" s="5">
        <v>6.0</v>
      </c>
      <c r="P105" s="5">
        <v>1.0</v>
      </c>
      <c r="Q105" s="5">
        <v>5.0</v>
      </c>
      <c r="R105" s="5">
        <v>2.0</v>
      </c>
      <c r="S105" s="5">
        <v>2.0</v>
      </c>
      <c r="T105" s="5">
        <v>1.0</v>
      </c>
      <c r="U105" s="5" t="s">
        <v>651</v>
      </c>
      <c r="V105" s="5" t="s">
        <v>206</v>
      </c>
      <c r="W105" s="5">
        <v>5.0</v>
      </c>
      <c r="X105" s="5">
        <v>5.0</v>
      </c>
      <c r="Y105" s="5">
        <v>2.0</v>
      </c>
      <c r="Z105" s="5">
        <v>5.0</v>
      </c>
      <c r="AA105" s="5">
        <v>2.0</v>
      </c>
      <c r="AB105" s="5">
        <v>6.0</v>
      </c>
      <c r="AC105" s="5" t="s">
        <v>652</v>
      </c>
      <c r="AD105" s="5" t="s">
        <v>206</v>
      </c>
      <c r="AE105" s="5">
        <v>2.0</v>
      </c>
      <c r="AF105" s="5">
        <v>3.0</v>
      </c>
      <c r="AG105" s="5">
        <v>1.0</v>
      </c>
      <c r="AH105" s="5">
        <v>1.0</v>
      </c>
      <c r="AI105" s="5">
        <v>1.0</v>
      </c>
      <c r="AJ105" s="5">
        <v>2.0</v>
      </c>
      <c r="AK105" s="5">
        <v>1.0</v>
      </c>
      <c r="AL105" s="5" t="s">
        <v>653</v>
      </c>
    </row>
    <row r="106">
      <c r="A106" s="8">
        <v>480.0</v>
      </c>
      <c r="B106" s="7">
        <v>45869.236805555556</v>
      </c>
      <c r="C106" s="5" t="s">
        <v>654</v>
      </c>
      <c r="D106" s="5" t="s">
        <v>655</v>
      </c>
      <c r="E106" s="5" t="s">
        <v>197</v>
      </c>
      <c r="F106" s="5">
        <v>5.0</v>
      </c>
      <c r="G106" s="5">
        <v>2.0</v>
      </c>
      <c r="H106" s="5" t="s">
        <v>199</v>
      </c>
      <c r="I106" s="5">
        <v>4.0</v>
      </c>
      <c r="J106" s="5">
        <v>6.0</v>
      </c>
      <c r="K106" s="5">
        <v>5.0</v>
      </c>
      <c r="L106" s="5">
        <v>2.0</v>
      </c>
      <c r="M106" s="5">
        <v>4.0</v>
      </c>
      <c r="N106" s="5">
        <v>6.0</v>
      </c>
      <c r="O106" s="5">
        <v>6.0</v>
      </c>
      <c r="P106" s="5">
        <v>6.0</v>
      </c>
      <c r="Q106" s="5">
        <v>2.0</v>
      </c>
      <c r="R106" s="5">
        <v>2.0</v>
      </c>
      <c r="S106" s="5">
        <v>6.0</v>
      </c>
      <c r="T106" s="5">
        <v>6.0</v>
      </c>
      <c r="U106" s="5" t="s">
        <v>656</v>
      </c>
      <c r="V106" s="5" t="s">
        <v>206</v>
      </c>
      <c r="W106" s="5">
        <v>6.0</v>
      </c>
      <c r="X106" s="5">
        <v>6.0</v>
      </c>
      <c r="Y106" s="5">
        <v>6.0</v>
      </c>
      <c r="Z106" s="5">
        <v>6.0</v>
      </c>
      <c r="AA106" s="5">
        <v>4.0</v>
      </c>
      <c r="AB106" s="5">
        <v>6.0</v>
      </c>
      <c r="AC106" s="5" t="s">
        <v>657</v>
      </c>
      <c r="AD106" s="5" t="s">
        <v>206</v>
      </c>
      <c r="AE106" s="5">
        <v>6.0</v>
      </c>
      <c r="AF106" s="5">
        <v>7.0</v>
      </c>
      <c r="AG106" s="5">
        <v>6.0</v>
      </c>
      <c r="AH106" s="5">
        <v>5.0</v>
      </c>
      <c r="AI106" s="5">
        <v>5.0</v>
      </c>
      <c r="AJ106" s="5">
        <v>5.0</v>
      </c>
      <c r="AK106" s="5">
        <v>2.0</v>
      </c>
      <c r="AL106" s="5" t="s">
        <v>658</v>
      </c>
    </row>
    <row r="107">
      <c r="A107" s="8">
        <v>539.0</v>
      </c>
      <c r="B107" s="7">
        <v>45869.25069444445</v>
      </c>
      <c r="C107" s="5" t="s">
        <v>659</v>
      </c>
      <c r="D107" s="5" t="s">
        <v>655</v>
      </c>
      <c r="E107" s="5" t="s">
        <v>263</v>
      </c>
      <c r="F107" s="5">
        <v>5.0</v>
      </c>
      <c r="G107" s="5">
        <v>2.0</v>
      </c>
      <c r="H107" s="5" t="s">
        <v>199</v>
      </c>
      <c r="I107" s="5">
        <v>3.0</v>
      </c>
      <c r="J107" s="5">
        <v>3.0</v>
      </c>
      <c r="K107" s="5">
        <v>4.0</v>
      </c>
      <c r="L107" s="5">
        <v>1.0</v>
      </c>
      <c r="M107" s="5">
        <v>2.0</v>
      </c>
      <c r="N107" s="5">
        <v>4.0</v>
      </c>
      <c r="O107" s="5">
        <v>3.0</v>
      </c>
      <c r="P107" s="5">
        <v>4.0</v>
      </c>
      <c r="Q107" s="5">
        <v>1.0</v>
      </c>
      <c r="R107" s="5">
        <v>2.0</v>
      </c>
      <c r="S107" s="5">
        <v>3.0</v>
      </c>
      <c r="T107" s="5">
        <v>6.0</v>
      </c>
      <c r="U107" s="5" t="s">
        <v>660</v>
      </c>
      <c r="V107" s="5" t="s">
        <v>206</v>
      </c>
      <c r="W107" s="5">
        <v>4.0</v>
      </c>
      <c r="X107" s="5">
        <v>5.0</v>
      </c>
      <c r="Y107" s="5">
        <v>5.0</v>
      </c>
      <c r="Z107" s="5">
        <v>3.0</v>
      </c>
      <c r="AA107" s="5">
        <v>4.0</v>
      </c>
      <c r="AB107" s="5">
        <v>5.0</v>
      </c>
      <c r="AC107" s="5" t="s">
        <v>661</v>
      </c>
      <c r="AD107" s="5" t="s">
        <v>206</v>
      </c>
      <c r="AE107" s="5">
        <v>6.0</v>
      </c>
      <c r="AF107" s="5">
        <v>6.0</v>
      </c>
      <c r="AG107" s="5">
        <v>6.0</v>
      </c>
      <c r="AH107" s="5">
        <v>5.0</v>
      </c>
      <c r="AI107" s="5">
        <v>5.0</v>
      </c>
      <c r="AJ107" s="5">
        <v>5.0</v>
      </c>
      <c r="AK107" s="5">
        <v>2.0</v>
      </c>
      <c r="AL107" s="5" t="s">
        <v>662</v>
      </c>
    </row>
    <row r="108">
      <c r="A108" s="8">
        <v>1112.0</v>
      </c>
      <c r="B108" s="7">
        <v>45869.25347222222</v>
      </c>
      <c r="C108" s="5" t="s">
        <v>663</v>
      </c>
      <c r="D108" s="5" t="s">
        <v>664</v>
      </c>
      <c r="E108" s="5" t="s">
        <v>197</v>
      </c>
      <c r="F108" s="5">
        <v>6.0</v>
      </c>
      <c r="G108" s="5">
        <v>6.0</v>
      </c>
      <c r="H108" s="5" t="s">
        <v>199</v>
      </c>
      <c r="I108" s="5">
        <v>5.0</v>
      </c>
      <c r="J108" s="5">
        <v>5.0</v>
      </c>
      <c r="K108" s="5">
        <v>4.0</v>
      </c>
      <c r="L108" s="5">
        <v>5.0</v>
      </c>
      <c r="M108" s="5">
        <v>3.0</v>
      </c>
      <c r="N108" s="5">
        <v>6.0</v>
      </c>
      <c r="O108" s="5">
        <v>6.0</v>
      </c>
      <c r="P108" s="5">
        <v>5.0</v>
      </c>
      <c r="Q108" s="5">
        <v>5.0</v>
      </c>
      <c r="R108" s="5">
        <v>4.0</v>
      </c>
      <c r="S108" s="5">
        <v>6.0</v>
      </c>
      <c r="T108" s="5">
        <v>4.0</v>
      </c>
      <c r="U108" s="5" t="s">
        <v>665</v>
      </c>
      <c r="V108" s="5" t="s">
        <v>206</v>
      </c>
      <c r="W108" s="5">
        <v>4.0</v>
      </c>
      <c r="X108" s="5">
        <v>4.0</v>
      </c>
      <c r="Y108" s="5">
        <v>5.0</v>
      </c>
      <c r="Z108" s="5">
        <v>3.0</v>
      </c>
      <c r="AA108" s="5">
        <v>6.0</v>
      </c>
      <c r="AB108" s="5">
        <v>5.0</v>
      </c>
      <c r="AC108" s="5" t="s">
        <v>666</v>
      </c>
      <c r="AD108" s="5" t="s">
        <v>206</v>
      </c>
      <c r="AE108" s="5">
        <v>4.0</v>
      </c>
      <c r="AF108" s="5">
        <v>5.0</v>
      </c>
      <c r="AG108" s="5">
        <v>7.0</v>
      </c>
      <c r="AH108" s="5">
        <v>1.0</v>
      </c>
      <c r="AI108" s="5">
        <v>1.0</v>
      </c>
      <c r="AJ108" s="5">
        <v>2.0</v>
      </c>
      <c r="AK108" s="5">
        <v>1.0</v>
      </c>
      <c r="AL108" s="5" t="s">
        <v>667</v>
      </c>
    </row>
    <row r="109">
      <c r="A109" s="8">
        <v>1458.0</v>
      </c>
      <c r="B109" s="7">
        <v>45869.263194444444</v>
      </c>
      <c r="C109" s="5" t="s">
        <v>668</v>
      </c>
      <c r="D109" s="5" t="s">
        <v>669</v>
      </c>
      <c r="E109" s="5" t="s">
        <v>211</v>
      </c>
      <c r="F109" s="5">
        <v>5.0</v>
      </c>
      <c r="G109" s="5">
        <v>7.0</v>
      </c>
      <c r="H109" s="5" t="s">
        <v>199</v>
      </c>
      <c r="I109" s="5">
        <v>6.0</v>
      </c>
      <c r="J109" s="5">
        <v>6.0</v>
      </c>
      <c r="K109" s="5">
        <v>2.0</v>
      </c>
      <c r="L109" s="5">
        <v>7.0</v>
      </c>
      <c r="M109" s="5">
        <v>7.0</v>
      </c>
      <c r="N109" s="5">
        <v>6.0</v>
      </c>
      <c r="O109" s="5">
        <v>6.0</v>
      </c>
      <c r="P109" s="5">
        <v>4.0</v>
      </c>
      <c r="Q109" s="5">
        <v>3.0</v>
      </c>
      <c r="R109" s="5">
        <v>4.0</v>
      </c>
      <c r="S109" s="5">
        <v>7.0</v>
      </c>
      <c r="T109" s="5">
        <v>5.0</v>
      </c>
      <c r="U109" s="5" t="s">
        <v>670</v>
      </c>
      <c r="V109" s="5" t="s">
        <v>206</v>
      </c>
      <c r="W109" s="5">
        <v>4.0</v>
      </c>
      <c r="X109" s="5">
        <v>7.0</v>
      </c>
      <c r="Y109" s="5">
        <v>6.0</v>
      </c>
      <c r="Z109" s="5">
        <v>7.0</v>
      </c>
      <c r="AA109" s="5">
        <v>6.0</v>
      </c>
      <c r="AB109" s="5">
        <v>7.0</v>
      </c>
      <c r="AC109" s="5" t="s">
        <v>671</v>
      </c>
      <c r="AD109" s="5" t="s">
        <v>206</v>
      </c>
      <c r="AE109" s="5">
        <v>7.0</v>
      </c>
      <c r="AF109" s="5">
        <v>3.0</v>
      </c>
      <c r="AG109" s="5">
        <v>6.0</v>
      </c>
      <c r="AH109" s="5">
        <v>1.0</v>
      </c>
      <c r="AI109" s="5">
        <v>1.0</v>
      </c>
      <c r="AJ109" s="5">
        <v>1.0</v>
      </c>
      <c r="AK109" s="5">
        <v>1.0</v>
      </c>
      <c r="AL109" s="5" t="s">
        <v>672</v>
      </c>
    </row>
    <row r="110">
      <c r="A110" s="8">
        <v>841.0</v>
      </c>
      <c r="B110" s="7">
        <v>45869.268055555556</v>
      </c>
      <c r="C110" s="5" t="s">
        <v>673</v>
      </c>
      <c r="D110" s="5" t="s">
        <v>674</v>
      </c>
      <c r="E110" s="5" t="s">
        <v>211</v>
      </c>
      <c r="F110" s="5">
        <v>3.0</v>
      </c>
      <c r="G110" s="5">
        <v>5.0</v>
      </c>
      <c r="H110" s="5" t="s">
        <v>199</v>
      </c>
      <c r="I110" s="5">
        <v>6.0</v>
      </c>
      <c r="J110" s="5">
        <v>6.0</v>
      </c>
      <c r="K110" s="5">
        <v>4.0</v>
      </c>
      <c r="L110" s="5">
        <v>5.0</v>
      </c>
      <c r="M110" s="5">
        <v>5.0</v>
      </c>
      <c r="N110" s="5">
        <v>6.0</v>
      </c>
      <c r="O110" s="5">
        <v>6.0</v>
      </c>
      <c r="P110" s="5">
        <v>4.0</v>
      </c>
      <c r="Q110" s="5">
        <v>4.0</v>
      </c>
      <c r="R110" s="5">
        <v>5.0</v>
      </c>
      <c r="S110" s="5">
        <v>6.0</v>
      </c>
      <c r="T110" s="5">
        <v>5.0</v>
      </c>
      <c r="U110" s="5" t="s">
        <v>675</v>
      </c>
      <c r="V110" s="5" t="s">
        <v>206</v>
      </c>
      <c r="W110" s="5">
        <v>5.0</v>
      </c>
      <c r="X110" s="5">
        <v>6.0</v>
      </c>
      <c r="Y110" s="5">
        <v>5.0</v>
      </c>
      <c r="Z110" s="5">
        <v>4.0</v>
      </c>
      <c r="AA110" s="5">
        <v>5.0</v>
      </c>
      <c r="AB110" s="5">
        <v>5.0</v>
      </c>
      <c r="AC110" s="5" t="s">
        <v>676</v>
      </c>
      <c r="AD110" s="5" t="s">
        <v>206</v>
      </c>
      <c r="AE110" s="5">
        <v>6.0</v>
      </c>
      <c r="AF110" s="5">
        <v>7.0</v>
      </c>
      <c r="AG110" s="5">
        <v>5.0</v>
      </c>
      <c r="AH110" s="5">
        <v>1.0</v>
      </c>
      <c r="AI110" s="5">
        <v>3.0</v>
      </c>
      <c r="AJ110" s="5">
        <v>1.0</v>
      </c>
      <c r="AK110" s="5">
        <v>1.0</v>
      </c>
      <c r="AL110" s="5" t="s">
        <v>677</v>
      </c>
    </row>
    <row r="111">
      <c r="A111" s="8">
        <v>934.0</v>
      </c>
      <c r="B111" s="7">
        <v>45869.277083333334</v>
      </c>
      <c r="C111" s="5" t="s">
        <v>678</v>
      </c>
      <c r="D111" s="5" t="s">
        <v>679</v>
      </c>
      <c r="E111" s="5" t="s">
        <v>216</v>
      </c>
      <c r="F111" s="5">
        <v>2.0</v>
      </c>
      <c r="G111" s="5">
        <v>2.0</v>
      </c>
      <c r="H111" s="5" t="s">
        <v>199</v>
      </c>
      <c r="I111" s="5">
        <v>4.0</v>
      </c>
      <c r="J111" s="5">
        <v>3.0</v>
      </c>
      <c r="K111" s="5">
        <v>3.0</v>
      </c>
      <c r="L111" s="5">
        <v>1.0</v>
      </c>
      <c r="M111" s="5">
        <v>5.0</v>
      </c>
      <c r="N111" s="5">
        <v>6.0</v>
      </c>
      <c r="O111" s="5">
        <v>6.0</v>
      </c>
      <c r="P111" s="5">
        <v>3.0</v>
      </c>
      <c r="Q111" s="5">
        <v>1.0</v>
      </c>
      <c r="R111" s="5">
        <v>6.0</v>
      </c>
      <c r="S111" s="5">
        <v>5.0</v>
      </c>
      <c r="T111" s="5">
        <v>2.0</v>
      </c>
      <c r="U111" s="5" t="s">
        <v>680</v>
      </c>
      <c r="V111" s="5" t="s">
        <v>206</v>
      </c>
      <c r="W111" s="5">
        <v>2.0</v>
      </c>
      <c r="X111" s="5">
        <v>2.0</v>
      </c>
      <c r="Y111" s="5">
        <v>3.0</v>
      </c>
      <c r="Z111" s="5">
        <v>2.0</v>
      </c>
      <c r="AA111" s="5">
        <v>1.0</v>
      </c>
      <c r="AB111" s="5">
        <v>5.0</v>
      </c>
      <c r="AC111" s="5" t="s">
        <v>681</v>
      </c>
      <c r="AD111" s="5" t="s">
        <v>206</v>
      </c>
      <c r="AE111" s="5">
        <v>3.0</v>
      </c>
      <c r="AF111" s="5">
        <v>5.0</v>
      </c>
      <c r="AG111" s="5">
        <v>2.0</v>
      </c>
      <c r="AH111" s="5">
        <v>1.0</v>
      </c>
      <c r="AI111" s="5">
        <v>2.0</v>
      </c>
      <c r="AJ111" s="5">
        <v>1.0</v>
      </c>
      <c r="AK111" s="5">
        <v>1.0</v>
      </c>
      <c r="AL111" s="5" t="s">
        <v>682</v>
      </c>
    </row>
    <row r="112">
      <c r="A112" s="8">
        <v>834.0</v>
      </c>
      <c r="B112" s="7">
        <v>45869.27847222222</v>
      </c>
      <c r="C112" s="5" t="s">
        <v>683</v>
      </c>
      <c r="D112" s="5" t="s">
        <v>664</v>
      </c>
      <c r="E112" s="5" t="s">
        <v>216</v>
      </c>
      <c r="F112" s="5">
        <v>4.0</v>
      </c>
      <c r="G112" s="5">
        <v>2.0</v>
      </c>
      <c r="H112" s="5" t="s">
        <v>199</v>
      </c>
      <c r="I112" s="5">
        <v>4.0</v>
      </c>
      <c r="J112" s="5">
        <v>5.0</v>
      </c>
      <c r="K112" s="5">
        <v>2.0</v>
      </c>
      <c r="L112" s="5">
        <v>5.0</v>
      </c>
      <c r="M112" s="5">
        <v>4.0</v>
      </c>
      <c r="N112" s="5">
        <v>3.0</v>
      </c>
      <c r="O112" s="5">
        <v>4.0</v>
      </c>
      <c r="P112" s="5">
        <v>4.0</v>
      </c>
      <c r="Q112" s="5">
        <v>2.0</v>
      </c>
      <c r="R112" s="5">
        <v>5.0</v>
      </c>
      <c r="S112" s="5">
        <v>3.0</v>
      </c>
      <c r="T112" s="5">
        <v>7.0</v>
      </c>
      <c r="U112" s="5" t="s">
        <v>413</v>
      </c>
      <c r="V112" s="5" t="s">
        <v>206</v>
      </c>
      <c r="W112" s="5">
        <v>5.0</v>
      </c>
      <c r="X112" s="5">
        <v>6.0</v>
      </c>
      <c r="Y112" s="5">
        <v>5.0</v>
      </c>
      <c r="Z112" s="5">
        <v>6.0</v>
      </c>
      <c r="AA112" s="5">
        <v>5.0</v>
      </c>
      <c r="AB112" s="5">
        <v>6.0</v>
      </c>
      <c r="AC112" s="5" t="s">
        <v>413</v>
      </c>
      <c r="AD112" s="5" t="s">
        <v>206</v>
      </c>
      <c r="AE112" s="5">
        <v>6.0</v>
      </c>
      <c r="AF112" s="5">
        <v>6.0</v>
      </c>
      <c r="AG112" s="5">
        <v>7.0</v>
      </c>
      <c r="AH112" s="5">
        <v>3.0</v>
      </c>
      <c r="AI112" s="5">
        <v>1.0</v>
      </c>
      <c r="AJ112" s="5">
        <v>1.0</v>
      </c>
      <c r="AK112" s="5">
        <v>1.0</v>
      </c>
      <c r="AL112" s="5" t="s">
        <v>413</v>
      </c>
    </row>
    <row r="113">
      <c r="A113" s="8">
        <v>945.0</v>
      </c>
      <c r="B113" s="7">
        <v>45869.28333333333</v>
      </c>
      <c r="C113" s="5" t="s">
        <v>684</v>
      </c>
      <c r="D113" s="5" t="s">
        <v>669</v>
      </c>
      <c r="E113" s="5" t="s">
        <v>263</v>
      </c>
      <c r="F113" s="5">
        <v>7.0</v>
      </c>
      <c r="G113" s="5">
        <v>6.0</v>
      </c>
      <c r="H113" s="5" t="s">
        <v>199</v>
      </c>
      <c r="I113" s="5">
        <v>7.0</v>
      </c>
      <c r="J113" s="5">
        <v>6.0</v>
      </c>
      <c r="K113" s="5">
        <v>7.0</v>
      </c>
      <c r="L113" s="5">
        <v>6.0</v>
      </c>
      <c r="M113" s="5">
        <v>7.0</v>
      </c>
      <c r="N113" s="5">
        <v>7.0</v>
      </c>
      <c r="O113" s="5">
        <v>6.0</v>
      </c>
      <c r="P113" s="5">
        <v>7.0</v>
      </c>
      <c r="Q113" s="5">
        <v>6.0</v>
      </c>
      <c r="R113" s="5">
        <v>1.0</v>
      </c>
      <c r="S113" s="5">
        <v>7.0</v>
      </c>
      <c r="T113" s="5">
        <v>6.0</v>
      </c>
      <c r="U113" s="5" t="s">
        <v>685</v>
      </c>
      <c r="V113" s="5" t="s">
        <v>206</v>
      </c>
      <c r="W113" s="5">
        <v>6.0</v>
      </c>
      <c r="X113" s="5">
        <v>6.0</v>
      </c>
      <c r="Y113" s="5">
        <v>6.0</v>
      </c>
      <c r="Z113" s="5">
        <v>7.0</v>
      </c>
      <c r="AA113" s="5">
        <v>7.0</v>
      </c>
      <c r="AB113" s="5">
        <v>6.0</v>
      </c>
      <c r="AC113" s="5" t="s">
        <v>686</v>
      </c>
      <c r="AD113" s="5" t="s">
        <v>206</v>
      </c>
      <c r="AE113" s="5">
        <v>7.0</v>
      </c>
      <c r="AF113" s="5">
        <v>6.0</v>
      </c>
      <c r="AG113" s="5">
        <v>7.0</v>
      </c>
      <c r="AH113" s="5">
        <v>1.0</v>
      </c>
      <c r="AI113" s="5">
        <v>1.0</v>
      </c>
      <c r="AJ113" s="5">
        <v>1.0</v>
      </c>
      <c r="AK113" s="5">
        <v>1.0</v>
      </c>
      <c r="AL113" s="5" t="s">
        <v>687</v>
      </c>
    </row>
    <row r="114">
      <c r="A114" s="8">
        <v>1578.0</v>
      </c>
      <c r="B114" s="7">
        <v>45869.29513888889</v>
      </c>
      <c r="C114" s="5" t="s">
        <v>688</v>
      </c>
      <c r="D114" s="5" t="s">
        <v>362</v>
      </c>
      <c r="E114" s="5" t="s">
        <v>211</v>
      </c>
      <c r="F114" s="5">
        <v>6.0</v>
      </c>
      <c r="G114" s="5">
        <v>7.0</v>
      </c>
      <c r="H114" s="5" t="s">
        <v>199</v>
      </c>
      <c r="I114" s="5">
        <v>6.0</v>
      </c>
      <c r="J114" s="5">
        <v>6.0</v>
      </c>
      <c r="K114" s="5">
        <v>4.0</v>
      </c>
      <c r="L114" s="5">
        <v>6.0</v>
      </c>
      <c r="M114" s="5">
        <v>5.0</v>
      </c>
      <c r="N114" s="5">
        <v>6.0</v>
      </c>
      <c r="O114" s="5">
        <v>7.0</v>
      </c>
      <c r="P114" s="5">
        <v>3.0</v>
      </c>
      <c r="Q114" s="5">
        <v>4.0</v>
      </c>
      <c r="R114" s="5">
        <v>4.0</v>
      </c>
      <c r="S114" s="5">
        <v>7.0</v>
      </c>
      <c r="T114" s="5">
        <v>5.0</v>
      </c>
      <c r="U114" s="5" t="s">
        <v>689</v>
      </c>
      <c r="V114" s="5" t="s">
        <v>206</v>
      </c>
      <c r="W114" s="5">
        <v>4.0</v>
      </c>
      <c r="X114" s="5">
        <v>6.0</v>
      </c>
      <c r="Y114" s="5">
        <v>7.0</v>
      </c>
      <c r="Z114" s="5">
        <v>7.0</v>
      </c>
      <c r="AA114" s="5">
        <v>7.0</v>
      </c>
      <c r="AB114" s="5">
        <v>5.0</v>
      </c>
      <c r="AC114" s="5" t="s">
        <v>690</v>
      </c>
      <c r="AD114" s="5" t="s">
        <v>206</v>
      </c>
      <c r="AE114" s="5">
        <v>7.0</v>
      </c>
      <c r="AF114" s="5">
        <v>7.0</v>
      </c>
      <c r="AG114" s="5">
        <v>7.0</v>
      </c>
      <c r="AH114" s="5">
        <v>1.0</v>
      </c>
      <c r="AI114" s="5">
        <v>1.0</v>
      </c>
      <c r="AJ114" s="5">
        <v>1.0</v>
      </c>
      <c r="AK114" s="5">
        <v>1.0</v>
      </c>
      <c r="AL114" s="5" t="s">
        <v>691</v>
      </c>
    </row>
    <row r="115">
      <c r="A115" s="8">
        <v>784.0</v>
      </c>
      <c r="B115" s="7">
        <v>45869.29722222222</v>
      </c>
      <c r="C115" s="5" t="s">
        <v>692</v>
      </c>
      <c r="D115" s="5" t="s">
        <v>669</v>
      </c>
      <c r="E115" s="5" t="s">
        <v>216</v>
      </c>
      <c r="F115" s="5">
        <v>2.0</v>
      </c>
      <c r="G115" s="5">
        <v>6.0</v>
      </c>
      <c r="H115" s="5" t="s">
        <v>199</v>
      </c>
      <c r="I115" s="5">
        <v>7.0</v>
      </c>
      <c r="J115" s="5">
        <v>6.0</v>
      </c>
      <c r="K115" s="5">
        <v>1.0</v>
      </c>
      <c r="L115" s="5">
        <v>7.0</v>
      </c>
      <c r="M115" s="5">
        <v>6.0</v>
      </c>
      <c r="N115" s="5">
        <v>6.0</v>
      </c>
      <c r="O115" s="5">
        <v>6.0</v>
      </c>
      <c r="P115" s="5">
        <v>7.0</v>
      </c>
      <c r="Q115" s="5">
        <v>5.0</v>
      </c>
      <c r="R115" s="5">
        <v>1.0</v>
      </c>
      <c r="S115" s="5">
        <v>6.0</v>
      </c>
      <c r="T115" s="5">
        <v>6.0</v>
      </c>
      <c r="U115" s="5" t="s">
        <v>693</v>
      </c>
      <c r="V115" s="5" t="s">
        <v>206</v>
      </c>
      <c r="W115" s="5">
        <v>7.0</v>
      </c>
      <c r="X115" s="5">
        <v>6.0</v>
      </c>
      <c r="Y115" s="5">
        <v>7.0</v>
      </c>
      <c r="Z115" s="5">
        <v>7.0</v>
      </c>
      <c r="AA115" s="5">
        <v>7.0</v>
      </c>
      <c r="AB115" s="5">
        <v>6.0</v>
      </c>
      <c r="AC115" s="5" t="s">
        <v>694</v>
      </c>
      <c r="AD115" s="5" t="s">
        <v>206</v>
      </c>
      <c r="AE115" s="5">
        <v>7.0</v>
      </c>
      <c r="AF115" s="5">
        <v>7.0</v>
      </c>
      <c r="AG115" s="5">
        <v>6.0</v>
      </c>
      <c r="AH115" s="5">
        <v>1.0</v>
      </c>
      <c r="AI115" s="5">
        <v>1.0</v>
      </c>
      <c r="AJ115" s="5">
        <v>1.0</v>
      </c>
      <c r="AK115" s="5">
        <v>1.0</v>
      </c>
      <c r="AL115" s="5" t="s">
        <v>695</v>
      </c>
    </row>
    <row r="116">
      <c r="A116" s="8">
        <v>1071.0</v>
      </c>
      <c r="B116" s="7">
        <v>45869.30069444444</v>
      </c>
      <c r="C116" s="5" t="s">
        <v>696</v>
      </c>
      <c r="D116" s="5" t="s">
        <v>679</v>
      </c>
      <c r="E116" s="5" t="s">
        <v>197</v>
      </c>
      <c r="F116" s="5">
        <v>6.0</v>
      </c>
      <c r="G116" s="5">
        <v>2.0</v>
      </c>
      <c r="H116" s="5" t="s">
        <v>199</v>
      </c>
      <c r="I116" s="5">
        <v>6.0</v>
      </c>
      <c r="J116" s="5">
        <v>6.0</v>
      </c>
      <c r="K116" s="5">
        <v>4.0</v>
      </c>
      <c r="L116" s="5">
        <v>2.0</v>
      </c>
      <c r="M116" s="5">
        <v>5.0</v>
      </c>
      <c r="N116" s="5">
        <v>6.0</v>
      </c>
      <c r="O116" s="5">
        <v>6.0</v>
      </c>
      <c r="P116" s="5">
        <v>3.0</v>
      </c>
      <c r="Q116" s="5">
        <v>2.0</v>
      </c>
      <c r="R116" s="5">
        <v>4.0</v>
      </c>
      <c r="S116" s="5">
        <v>5.0</v>
      </c>
      <c r="T116" s="5">
        <v>5.0</v>
      </c>
      <c r="U116" s="5" t="s">
        <v>697</v>
      </c>
      <c r="V116" s="5" t="s">
        <v>206</v>
      </c>
      <c r="W116" s="5">
        <v>6.0</v>
      </c>
      <c r="X116" s="5">
        <v>6.0</v>
      </c>
      <c r="Y116" s="5">
        <v>6.0</v>
      </c>
      <c r="Z116" s="5">
        <v>3.0</v>
      </c>
      <c r="AA116" s="5">
        <v>3.0</v>
      </c>
      <c r="AB116" s="5">
        <v>6.0</v>
      </c>
      <c r="AC116" s="5" t="s">
        <v>698</v>
      </c>
      <c r="AD116" s="5" t="s">
        <v>206</v>
      </c>
      <c r="AE116" s="5">
        <v>6.0</v>
      </c>
      <c r="AF116" s="5">
        <v>6.0</v>
      </c>
      <c r="AG116" s="5">
        <v>6.0</v>
      </c>
      <c r="AH116" s="5">
        <v>5.0</v>
      </c>
      <c r="AI116" s="5">
        <v>4.0</v>
      </c>
      <c r="AJ116" s="5">
        <v>5.0</v>
      </c>
      <c r="AK116" s="5">
        <v>3.0</v>
      </c>
      <c r="AL116" s="5" t="s">
        <v>699</v>
      </c>
    </row>
    <row r="117">
      <c r="A117" s="8">
        <v>500.0</v>
      </c>
      <c r="B117" s="7">
        <v>45869.30902777778</v>
      </c>
      <c r="C117" s="5" t="s">
        <v>700</v>
      </c>
      <c r="D117" s="5" t="s">
        <v>679</v>
      </c>
      <c r="E117" s="5" t="s">
        <v>263</v>
      </c>
      <c r="F117" s="5">
        <v>6.0</v>
      </c>
      <c r="G117" s="5">
        <v>3.0</v>
      </c>
      <c r="H117" s="5" t="s">
        <v>199</v>
      </c>
      <c r="I117" s="5">
        <v>6.0</v>
      </c>
      <c r="J117" s="5">
        <v>6.0</v>
      </c>
      <c r="K117" s="5">
        <v>4.0</v>
      </c>
      <c r="L117" s="5">
        <v>2.0</v>
      </c>
      <c r="M117" s="5">
        <v>6.0</v>
      </c>
      <c r="N117" s="5">
        <v>6.0</v>
      </c>
      <c r="O117" s="5">
        <v>6.0</v>
      </c>
      <c r="P117" s="5">
        <v>6.0</v>
      </c>
      <c r="Q117" s="5">
        <v>3.0</v>
      </c>
      <c r="R117" s="5">
        <v>6.0</v>
      </c>
      <c r="S117" s="5">
        <v>6.0</v>
      </c>
      <c r="T117" s="5">
        <v>6.0</v>
      </c>
      <c r="U117" s="5" t="s">
        <v>701</v>
      </c>
      <c r="V117" s="5" t="s">
        <v>206</v>
      </c>
      <c r="W117" s="5">
        <v>6.0</v>
      </c>
      <c r="X117" s="5">
        <v>6.0</v>
      </c>
      <c r="Y117" s="5">
        <v>6.0</v>
      </c>
      <c r="Z117" s="5">
        <v>3.0</v>
      </c>
      <c r="AA117" s="5">
        <v>3.0</v>
      </c>
      <c r="AB117" s="5">
        <v>6.0</v>
      </c>
      <c r="AC117" s="5" t="s">
        <v>702</v>
      </c>
      <c r="AD117" s="5" t="s">
        <v>206</v>
      </c>
      <c r="AE117" s="5">
        <v>6.0</v>
      </c>
      <c r="AF117" s="5">
        <v>6.0</v>
      </c>
      <c r="AG117" s="5">
        <v>6.0</v>
      </c>
      <c r="AH117" s="5">
        <v>5.0</v>
      </c>
      <c r="AI117" s="5">
        <v>4.0</v>
      </c>
      <c r="AJ117" s="5">
        <v>5.0</v>
      </c>
      <c r="AK117" s="5">
        <v>3.0</v>
      </c>
      <c r="AL117" s="5" t="s">
        <v>703</v>
      </c>
    </row>
    <row r="118">
      <c r="A118" s="8">
        <v>1459.0</v>
      </c>
      <c r="B118" s="7">
        <v>45869.31805555556</v>
      </c>
      <c r="C118" s="5" t="s">
        <v>704</v>
      </c>
      <c r="D118" s="5" t="s">
        <v>362</v>
      </c>
      <c r="E118" s="5" t="s">
        <v>197</v>
      </c>
      <c r="F118" s="5">
        <v>6.0</v>
      </c>
      <c r="G118" s="5">
        <v>6.0</v>
      </c>
      <c r="H118" s="5" t="s">
        <v>199</v>
      </c>
      <c r="I118" s="5">
        <v>6.0</v>
      </c>
      <c r="J118" s="5">
        <v>5.0</v>
      </c>
      <c r="K118" s="5">
        <v>6.0</v>
      </c>
      <c r="L118" s="5">
        <v>6.0</v>
      </c>
      <c r="M118" s="5">
        <v>6.0</v>
      </c>
      <c r="N118" s="5">
        <v>7.0</v>
      </c>
      <c r="O118" s="5">
        <v>7.0</v>
      </c>
      <c r="P118" s="5">
        <v>7.0</v>
      </c>
      <c r="Q118" s="5">
        <v>4.0</v>
      </c>
      <c r="R118" s="5">
        <v>3.0</v>
      </c>
      <c r="S118" s="5">
        <v>7.0</v>
      </c>
      <c r="T118" s="5">
        <v>5.0</v>
      </c>
      <c r="U118" s="5" t="s">
        <v>705</v>
      </c>
      <c r="V118" s="5" t="s">
        <v>206</v>
      </c>
      <c r="W118" s="5">
        <v>6.0</v>
      </c>
      <c r="X118" s="5">
        <v>6.0</v>
      </c>
      <c r="Y118" s="5">
        <v>7.0</v>
      </c>
      <c r="Z118" s="5">
        <v>6.0</v>
      </c>
      <c r="AA118" s="5">
        <v>6.0</v>
      </c>
      <c r="AB118" s="5">
        <v>4.0</v>
      </c>
      <c r="AC118" s="5" t="s">
        <v>706</v>
      </c>
      <c r="AD118" s="5" t="s">
        <v>206</v>
      </c>
      <c r="AE118" s="5">
        <v>7.0</v>
      </c>
      <c r="AF118" s="5">
        <v>5.0</v>
      </c>
      <c r="AG118" s="5">
        <v>5.0</v>
      </c>
      <c r="AH118" s="5">
        <v>2.0</v>
      </c>
      <c r="AI118" s="5">
        <v>1.0</v>
      </c>
      <c r="AJ118" s="5">
        <v>1.0</v>
      </c>
      <c r="AK118" s="5">
        <v>3.0</v>
      </c>
      <c r="AL118" s="5" t="s">
        <v>707</v>
      </c>
    </row>
    <row r="119">
      <c r="A119" s="8">
        <v>967.0</v>
      </c>
      <c r="B119" s="7">
        <v>45869.31805555556</v>
      </c>
      <c r="C119" s="5" t="s">
        <v>708</v>
      </c>
      <c r="D119" s="5" t="s">
        <v>669</v>
      </c>
      <c r="E119" s="5" t="s">
        <v>197</v>
      </c>
      <c r="F119" s="5">
        <v>7.0</v>
      </c>
      <c r="G119" s="5">
        <v>7.0</v>
      </c>
      <c r="H119" s="5" t="s">
        <v>199</v>
      </c>
      <c r="I119" s="5">
        <v>3.0</v>
      </c>
      <c r="J119" s="5">
        <v>6.0</v>
      </c>
      <c r="K119" s="5">
        <v>7.0</v>
      </c>
      <c r="L119" s="5">
        <v>7.0</v>
      </c>
      <c r="M119" s="5">
        <v>6.0</v>
      </c>
      <c r="N119" s="5">
        <v>6.0</v>
      </c>
      <c r="O119" s="5">
        <v>6.0</v>
      </c>
      <c r="P119" s="5">
        <v>3.0</v>
      </c>
      <c r="Q119" s="5">
        <v>6.0</v>
      </c>
      <c r="R119" s="5">
        <v>1.0</v>
      </c>
      <c r="S119" s="5">
        <v>6.0</v>
      </c>
      <c r="T119" s="5">
        <v>5.0</v>
      </c>
      <c r="U119" s="5" t="s">
        <v>709</v>
      </c>
      <c r="V119" s="5" t="s">
        <v>206</v>
      </c>
      <c r="W119" s="5">
        <v>6.0</v>
      </c>
      <c r="X119" s="5">
        <v>6.0</v>
      </c>
      <c r="Y119" s="5">
        <v>3.0</v>
      </c>
      <c r="Z119" s="5">
        <v>7.0</v>
      </c>
      <c r="AA119" s="5">
        <v>7.0</v>
      </c>
      <c r="AB119" s="5">
        <v>7.0</v>
      </c>
      <c r="AC119" s="5" t="s">
        <v>710</v>
      </c>
      <c r="AD119" s="5" t="s">
        <v>206</v>
      </c>
      <c r="AE119" s="5">
        <v>7.0</v>
      </c>
      <c r="AF119" s="5">
        <v>7.0</v>
      </c>
      <c r="AG119" s="5">
        <v>7.0</v>
      </c>
      <c r="AH119" s="5">
        <v>1.0</v>
      </c>
      <c r="AI119" s="5">
        <v>1.0</v>
      </c>
      <c r="AJ119" s="5">
        <v>1.0</v>
      </c>
      <c r="AK119" s="5">
        <v>1.0</v>
      </c>
      <c r="AL119" s="5" t="s">
        <v>711</v>
      </c>
    </row>
    <row r="120">
      <c r="A120" s="8">
        <v>813.0</v>
      </c>
      <c r="B120" s="7">
        <v>45869.31875</v>
      </c>
      <c r="C120" s="5" t="s">
        <v>712</v>
      </c>
      <c r="D120" s="5" t="s">
        <v>679</v>
      </c>
      <c r="E120" s="5" t="s">
        <v>211</v>
      </c>
      <c r="F120" s="5">
        <v>4.0</v>
      </c>
      <c r="G120" s="5">
        <v>2.0</v>
      </c>
      <c r="H120" s="5" t="s">
        <v>199</v>
      </c>
      <c r="I120" s="5">
        <v>5.0</v>
      </c>
      <c r="J120" s="5">
        <v>6.0</v>
      </c>
      <c r="K120" s="5">
        <v>4.0</v>
      </c>
      <c r="L120" s="5">
        <v>2.0</v>
      </c>
      <c r="M120" s="5">
        <v>5.0</v>
      </c>
      <c r="N120" s="5">
        <v>6.0</v>
      </c>
      <c r="O120" s="5">
        <v>6.0</v>
      </c>
      <c r="P120" s="5">
        <v>5.0</v>
      </c>
      <c r="Q120" s="5">
        <v>2.0</v>
      </c>
      <c r="R120" s="5">
        <v>3.0</v>
      </c>
      <c r="S120" s="5">
        <v>6.0</v>
      </c>
      <c r="T120" s="5">
        <v>6.0</v>
      </c>
      <c r="U120" s="5" t="s">
        <v>713</v>
      </c>
      <c r="V120" s="5" t="s">
        <v>206</v>
      </c>
      <c r="W120" s="5">
        <v>6.0</v>
      </c>
      <c r="X120" s="5">
        <v>6.0</v>
      </c>
      <c r="Y120" s="5">
        <v>6.0</v>
      </c>
      <c r="Z120" s="5">
        <v>5.0</v>
      </c>
      <c r="AA120" s="5">
        <v>5.0</v>
      </c>
      <c r="AB120" s="5">
        <v>6.0</v>
      </c>
      <c r="AC120" s="5" t="s">
        <v>714</v>
      </c>
      <c r="AD120" s="5" t="s">
        <v>206</v>
      </c>
      <c r="AE120" s="5">
        <v>6.0</v>
      </c>
      <c r="AF120" s="5">
        <v>6.0</v>
      </c>
      <c r="AG120" s="5">
        <v>5.0</v>
      </c>
      <c r="AH120" s="5">
        <v>1.0</v>
      </c>
      <c r="AI120" s="5">
        <v>1.0</v>
      </c>
      <c r="AJ120" s="5">
        <v>1.0</v>
      </c>
      <c r="AK120" s="5">
        <v>1.0</v>
      </c>
      <c r="AL120" s="5" t="s">
        <v>715</v>
      </c>
    </row>
    <row r="121">
      <c r="A121" s="8">
        <v>1099.0</v>
      </c>
      <c r="B121" s="7">
        <v>45869.41527777778</v>
      </c>
      <c r="C121" s="5" t="s">
        <v>717</v>
      </c>
      <c r="D121" s="5" t="s">
        <v>674</v>
      </c>
      <c r="E121" s="5" t="s">
        <v>263</v>
      </c>
      <c r="F121" s="5">
        <v>6.0</v>
      </c>
      <c r="G121" s="5">
        <v>5.0</v>
      </c>
      <c r="H121" s="5" t="s">
        <v>199</v>
      </c>
      <c r="I121" s="5">
        <v>4.0</v>
      </c>
      <c r="J121" s="5">
        <v>5.0</v>
      </c>
      <c r="K121" s="5">
        <v>5.0</v>
      </c>
      <c r="L121" s="5">
        <v>5.0</v>
      </c>
      <c r="M121" s="5">
        <v>5.0</v>
      </c>
      <c r="N121" s="5">
        <v>4.0</v>
      </c>
      <c r="O121" s="5">
        <v>4.0</v>
      </c>
      <c r="P121" s="5">
        <v>5.0</v>
      </c>
      <c r="Q121" s="5">
        <v>2.0</v>
      </c>
      <c r="R121" s="5">
        <v>5.0</v>
      </c>
      <c r="S121" s="5">
        <v>4.0</v>
      </c>
      <c r="T121" s="5">
        <v>6.0</v>
      </c>
      <c r="U121" s="5" t="s">
        <v>413</v>
      </c>
      <c r="V121" s="5" t="s">
        <v>206</v>
      </c>
      <c r="W121" s="5">
        <v>4.0</v>
      </c>
      <c r="X121" s="5">
        <v>5.0</v>
      </c>
      <c r="Y121" s="5">
        <v>5.0</v>
      </c>
      <c r="Z121" s="5">
        <v>5.0</v>
      </c>
      <c r="AA121" s="5">
        <v>5.0</v>
      </c>
      <c r="AB121" s="5">
        <v>6.0</v>
      </c>
      <c r="AC121" s="5" t="s">
        <v>413</v>
      </c>
      <c r="AD121" s="5" t="s">
        <v>206</v>
      </c>
      <c r="AE121" s="5">
        <v>5.0</v>
      </c>
      <c r="AF121" s="5">
        <v>5.0</v>
      </c>
      <c r="AG121" s="5">
        <v>6.0</v>
      </c>
      <c r="AH121" s="5">
        <v>1.0</v>
      </c>
      <c r="AI121" s="5">
        <v>1.0</v>
      </c>
      <c r="AJ121" s="5">
        <v>1.0</v>
      </c>
      <c r="AK121" s="5">
        <v>1.0</v>
      </c>
      <c r="AL121" s="5" t="s">
        <v>413</v>
      </c>
    </row>
  </sheetData>
  <mergeCells count="3">
    <mergeCell ref="AC75:AD75"/>
    <mergeCell ref="AC76:AD76"/>
    <mergeCell ref="AC78:AD7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20.88"/>
    <col customWidth="1" min="6" max="7" width="22.75"/>
    <col customWidth="1" min="8" max="8" width="19.5"/>
  </cols>
  <sheetData>
    <row r="1">
      <c r="A1" s="5" t="s">
        <v>49</v>
      </c>
      <c r="B1" s="5" t="s">
        <v>51</v>
      </c>
      <c r="C1" s="5" t="s">
        <v>52</v>
      </c>
      <c r="D1" s="5" t="s">
        <v>61</v>
      </c>
      <c r="E1" s="5" t="s">
        <v>62</v>
      </c>
      <c r="F1" s="5" t="s">
        <v>63</v>
      </c>
      <c r="G1" s="5" t="s">
        <v>64</v>
      </c>
      <c r="H1" s="5" t="s">
        <v>65</v>
      </c>
      <c r="I1" s="5" t="s">
        <v>66</v>
      </c>
      <c r="J1" s="5" t="s">
        <v>67</v>
      </c>
      <c r="K1" s="5" t="s">
        <v>68</v>
      </c>
      <c r="L1" s="5" t="s">
        <v>69</v>
      </c>
      <c r="M1" s="5" t="s">
        <v>70</v>
      </c>
      <c r="N1" s="5" t="s">
        <v>71</v>
      </c>
      <c r="O1" s="5" t="s">
        <v>72</v>
      </c>
      <c r="P1" s="5" t="s">
        <v>73</v>
      </c>
      <c r="Q1" s="5" t="s">
        <v>74</v>
      </c>
      <c r="R1" s="5" t="s">
        <v>75</v>
      </c>
      <c r="S1" s="5" t="s">
        <v>76</v>
      </c>
      <c r="T1" s="5" t="s">
        <v>77</v>
      </c>
      <c r="U1" s="6" t="s">
        <v>718</v>
      </c>
      <c r="V1" s="5" t="s">
        <v>78</v>
      </c>
      <c r="W1" s="5" t="s">
        <v>79</v>
      </c>
      <c r="X1" s="5" t="s">
        <v>80</v>
      </c>
      <c r="Y1" s="5" t="s">
        <v>81</v>
      </c>
      <c r="Z1" s="5" t="s">
        <v>82</v>
      </c>
      <c r="AA1" s="5" t="s">
        <v>83</v>
      </c>
      <c r="AB1" s="5" t="s">
        <v>84</v>
      </c>
      <c r="AC1" s="5" t="s">
        <v>85</v>
      </c>
      <c r="AD1" s="5" t="s">
        <v>86</v>
      </c>
      <c r="AE1" s="5" t="s">
        <v>87</v>
      </c>
      <c r="AF1" s="5" t="s">
        <v>88</v>
      </c>
      <c r="AG1" s="5" t="s">
        <v>89</v>
      </c>
      <c r="AH1" s="5" t="s">
        <v>90</v>
      </c>
      <c r="AI1" s="5" t="s">
        <v>91</v>
      </c>
      <c r="AJ1" s="6" t="s">
        <v>719</v>
      </c>
      <c r="AK1" s="5" t="s">
        <v>92</v>
      </c>
      <c r="AL1" s="6" t="s">
        <v>720</v>
      </c>
      <c r="AM1" s="5" t="s">
        <v>93</v>
      </c>
      <c r="AN1" s="6" t="s">
        <v>721</v>
      </c>
      <c r="AO1" s="5" t="s">
        <v>94</v>
      </c>
      <c r="AP1" s="6" t="s">
        <v>722</v>
      </c>
      <c r="AQ1" s="5" t="s">
        <v>95</v>
      </c>
    </row>
    <row r="2">
      <c r="A2" s="8">
        <v>913.0</v>
      </c>
      <c r="B2" s="7">
        <v>45866.260416666664</v>
      </c>
      <c r="C2" s="5" t="s">
        <v>220</v>
      </c>
      <c r="D2" s="5" t="s">
        <v>221</v>
      </c>
      <c r="E2" s="5" t="s">
        <v>211</v>
      </c>
      <c r="F2" s="5">
        <v>1.0</v>
      </c>
      <c r="G2" s="5">
        <v>1.0</v>
      </c>
      <c r="H2" s="5" t="s">
        <v>199</v>
      </c>
      <c r="I2" s="5">
        <v>7.0</v>
      </c>
      <c r="J2" s="5">
        <v>4.0</v>
      </c>
      <c r="K2" s="5">
        <v>1.0</v>
      </c>
      <c r="L2" s="5">
        <v>1.0</v>
      </c>
      <c r="M2" s="5">
        <v>1.0</v>
      </c>
      <c r="N2" s="5">
        <v>2.0</v>
      </c>
      <c r="O2" s="5">
        <v>7.0</v>
      </c>
      <c r="P2" s="5">
        <v>6.0</v>
      </c>
      <c r="Q2" s="5">
        <v>1.0</v>
      </c>
      <c r="R2" s="5">
        <v>1.0</v>
      </c>
      <c r="S2" s="5">
        <v>4.0</v>
      </c>
      <c r="T2" s="5">
        <v>7.0</v>
      </c>
      <c r="U2" s="5">
        <f t="shared" ref="U2:U121" si="1">8-T2</f>
        <v>1</v>
      </c>
      <c r="V2" s="5" t="s">
        <v>222</v>
      </c>
      <c r="W2" s="5" t="s">
        <v>206</v>
      </c>
      <c r="X2" s="5">
        <v>1.0</v>
      </c>
      <c r="Y2" s="5">
        <v>5.0</v>
      </c>
      <c r="Z2" s="5">
        <v>4.0</v>
      </c>
      <c r="AA2" s="5">
        <v>5.0</v>
      </c>
      <c r="AB2" s="5">
        <v>5.0</v>
      </c>
      <c r="AC2" s="5">
        <v>7.0</v>
      </c>
      <c r="AD2" s="5" t="s">
        <v>223</v>
      </c>
      <c r="AE2" s="5" t="s">
        <v>206</v>
      </c>
      <c r="AF2" s="5">
        <v>1.0</v>
      </c>
      <c r="AG2" s="5">
        <v>7.0</v>
      </c>
      <c r="AH2" s="5">
        <v>4.0</v>
      </c>
      <c r="AI2" s="5">
        <v>1.0</v>
      </c>
      <c r="AJ2" s="5">
        <f t="shared" ref="AJ2:AJ121" si="2">8-AI2</f>
        <v>7</v>
      </c>
      <c r="AK2" s="5">
        <v>1.0</v>
      </c>
      <c r="AL2" s="5">
        <f t="shared" ref="AL2:AL121" si="3">8-AK2</f>
        <v>7</v>
      </c>
      <c r="AM2" s="5">
        <v>1.0</v>
      </c>
      <c r="AN2" s="5">
        <f t="shared" ref="AN2:AN121" si="4">8-AM2</f>
        <v>7</v>
      </c>
      <c r="AO2" s="5">
        <v>1.0</v>
      </c>
      <c r="AP2" s="5">
        <f t="shared" ref="AP2:AP121" si="5">8-AO2</f>
        <v>7</v>
      </c>
      <c r="AQ2" s="5" t="s">
        <v>224</v>
      </c>
    </row>
    <row r="3">
      <c r="A3" s="8">
        <v>512.0</v>
      </c>
      <c r="B3" s="7">
        <v>45866.27291666667</v>
      </c>
      <c r="C3" s="5" t="s">
        <v>225</v>
      </c>
      <c r="D3" s="5" t="s">
        <v>221</v>
      </c>
      <c r="E3" s="5" t="s">
        <v>216</v>
      </c>
      <c r="F3" s="5">
        <v>5.0</v>
      </c>
      <c r="G3" s="5">
        <v>1.0</v>
      </c>
      <c r="H3" s="5" t="s">
        <v>199</v>
      </c>
      <c r="I3" s="5">
        <v>7.0</v>
      </c>
      <c r="J3" s="5">
        <v>4.0</v>
      </c>
      <c r="K3" s="5">
        <v>7.0</v>
      </c>
      <c r="L3" s="5">
        <v>1.0</v>
      </c>
      <c r="M3" s="5">
        <v>1.0</v>
      </c>
      <c r="N3" s="5">
        <v>5.0</v>
      </c>
      <c r="O3" s="5">
        <v>7.0</v>
      </c>
      <c r="P3" s="5">
        <v>1.0</v>
      </c>
      <c r="Q3" s="5">
        <v>1.0</v>
      </c>
      <c r="R3" s="5">
        <v>1.0</v>
      </c>
      <c r="S3" s="5">
        <v>4.0</v>
      </c>
      <c r="T3" s="5">
        <v>7.0</v>
      </c>
      <c r="U3" s="5">
        <f t="shared" si="1"/>
        <v>1</v>
      </c>
      <c r="V3" s="5" t="s">
        <v>226</v>
      </c>
      <c r="W3" s="5" t="s">
        <v>206</v>
      </c>
      <c r="X3" s="5">
        <v>1.0</v>
      </c>
      <c r="Y3" s="5">
        <v>7.0</v>
      </c>
      <c r="Z3" s="5">
        <v>5.0</v>
      </c>
      <c r="AA3" s="5">
        <v>7.0</v>
      </c>
      <c r="AB3" s="5">
        <v>7.0</v>
      </c>
      <c r="AC3" s="5">
        <v>7.0</v>
      </c>
      <c r="AD3" s="5" t="s">
        <v>227</v>
      </c>
      <c r="AE3" s="5" t="s">
        <v>206</v>
      </c>
      <c r="AF3" s="5">
        <v>5.0</v>
      </c>
      <c r="AG3" s="5">
        <v>1.0</v>
      </c>
      <c r="AH3" s="5">
        <v>5.0</v>
      </c>
      <c r="AI3" s="5">
        <v>7.0</v>
      </c>
      <c r="AJ3" s="5">
        <f t="shared" si="2"/>
        <v>1</v>
      </c>
      <c r="AK3" s="5">
        <v>4.0</v>
      </c>
      <c r="AL3" s="5">
        <f t="shared" si="3"/>
        <v>4</v>
      </c>
      <c r="AM3" s="5">
        <v>5.0</v>
      </c>
      <c r="AN3" s="5">
        <f t="shared" si="4"/>
        <v>3</v>
      </c>
      <c r="AO3" s="5">
        <v>5.0</v>
      </c>
      <c r="AP3" s="5">
        <f t="shared" si="5"/>
        <v>3</v>
      </c>
      <c r="AQ3" s="5" t="s">
        <v>228</v>
      </c>
    </row>
    <row r="4">
      <c r="A4" s="8">
        <v>378.0</v>
      </c>
      <c r="B4" s="7">
        <v>45866.28472222222</v>
      </c>
      <c r="C4" s="5" t="s">
        <v>229</v>
      </c>
      <c r="D4" s="5" t="s">
        <v>221</v>
      </c>
      <c r="E4" s="5" t="s">
        <v>197</v>
      </c>
      <c r="F4" s="5">
        <v>1.0</v>
      </c>
      <c r="G4" s="5">
        <v>1.0</v>
      </c>
      <c r="H4" s="5" t="s">
        <v>199</v>
      </c>
      <c r="I4" s="5">
        <v>3.0</v>
      </c>
      <c r="J4" s="5">
        <v>4.0</v>
      </c>
      <c r="K4" s="5">
        <v>7.0</v>
      </c>
      <c r="L4" s="5">
        <v>1.0</v>
      </c>
      <c r="M4" s="5">
        <v>1.0</v>
      </c>
      <c r="N4" s="5">
        <v>7.0</v>
      </c>
      <c r="O4" s="5">
        <v>4.0</v>
      </c>
      <c r="P4" s="5">
        <v>3.0</v>
      </c>
      <c r="Q4" s="5">
        <v>1.0</v>
      </c>
      <c r="R4" s="5">
        <v>1.0</v>
      </c>
      <c r="S4" s="5">
        <v>7.0</v>
      </c>
      <c r="T4" s="5">
        <v>7.0</v>
      </c>
      <c r="U4" s="5">
        <f t="shared" si="1"/>
        <v>1</v>
      </c>
      <c r="V4" s="11" t="s">
        <v>230</v>
      </c>
      <c r="W4" s="5" t="s">
        <v>206</v>
      </c>
      <c r="X4" s="5">
        <v>1.0</v>
      </c>
      <c r="Y4" s="5">
        <v>4.0</v>
      </c>
      <c r="Z4" s="5">
        <v>1.0</v>
      </c>
      <c r="AA4" s="5">
        <v>5.0</v>
      </c>
      <c r="AB4" s="5">
        <v>1.0</v>
      </c>
      <c r="AC4" s="5">
        <v>2.0</v>
      </c>
      <c r="AD4" s="5" t="s">
        <v>231</v>
      </c>
      <c r="AE4" s="5" t="s">
        <v>206</v>
      </c>
      <c r="AF4" s="5">
        <v>1.0</v>
      </c>
      <c r="AG4" s="5">
        <v>4.0</v>
      </c>
      <c r="AH4" s="5">
        <v>5.0</v>
      </c>
      <c r="AI4" s="5">
        <v>1.0</v>
      </c>
      <c r="AJ4" s="5">
        <f t="shared" si="2"/>
        <v>7</v>
      </c>
      <c r="AK4" s="5">
        <v>1.0</v>
      </c>
      <c r="AL4" s="5">
        <f t="shared" si="3"/>
        <v>7</v>
      </c>
      <c r="AM4" s="5">
        <v>4.0</v>
      </c>
      <c r="AN4" s="5">
        <f t="shared" si="4"/>
        <v>4</v>
      </c>
      <c r="AO4" s="5">
        <v>1.0</v>
      </c>
      <c r="AP4" s="5">
        <f t="shared" si="5"/>
        <v>7</v>
      </c>
      <c r="AQ4" s="11" t="s">
        <v>232</v>
      </c>
    </row>
    <row r="5">
      <c r="A5" s="8">
        <v>237.0</v>
      </c>
      <c r="B5" s="7">
        <v>45866.290972222225</v>
      </c>
      <c r="C5" s="5" t="s">
        <v>233</v>
      </c>
      <c r="D5" s="5" t="s">
        <v>221</v>
      </c>
      <c r="E5" s="5" t="s">
        <v>216</v>
      </c>
      <c r="F5" s="5">
        <v>1.0</v>
      </c>
      <c r="G5" s="5">
        <v>1.0</v>
      </c>
      <c r="H5" s="5" t="s">
        <v>199</v>
      </c>
      <c r="I5" s="5">
        <v>7.0</v>
      </c>
      <c r="J5" s="5">
        <v>1.0</v>
      </c>
      <c r="K5" s="5">
        <v>1.0</v>
      </c>
      <c r="L5" s="5">
        <v>1.0</v>
      </c>
      <c r="M5" s="5">
        <v>1.0</v>
      </c>
      <c r="N5" s="5">
        <v>7.0</v>
      </c>
      <c r="O5" s="5">
        <v>7.0</v>
      </c>
      <c r="P5" s="5">
        <v>1.0</v>
      </c>
      <c r="Q5" s="5">
        <v>1.0</v>
      </c>
      <c r="R5" s="5">
        <v>1.0</v>
      </c>
      <c r="S5" s="5">
        <v>7.0</v>
      </c>
      <c r="T5" s="5">
        <v>7.0</v>
      </c>
      <c r="U5" s="5">
        <f t="shared" si="1"/>
        <v>1</v>
      </c>
      <c r="V5" s="5" t="s">
        <v>234</v>
      </c>
      <c r="W5" s="5" t="s">
        <v>206</v>
      </c>
      <c r="X5" s="5">
        <v>1.0</v>
      </c>
      <c r="Y5" s="5">
        <v>7.0</v>
      </c>
      <c r="Z5" s="5">
        <v>1.0</v>
      </c>
      <c r="AA5" s="5">
        <v>1.0</v>
      </c>
      <c r="AB5" s="5">
        <v>1.0</v>
      </c>
      <c r="AC5" s="5">
        <v>2.0</v>
      </c>
      <c r="AD5" s="5" t="s">
        <v>235</v>
      </c>
      <c r="AE5" s="5" t="s">
        <v>206</v>
      </c>
      <c r="AF5" s="5">
        <v>1.0</v>
      </c>
      <c r="AG5" s="5">
        <v>1.0</v>
      </c>
      <c r="AH5" s="5">
        <v>1.0</v>
      </c>
      <c r="AI5" s="5">
        <v>4.0</v>
      </c>
      <c r="AJ5" s="5">
        <f t="shared" si="2"/>
        <v>4</v>
      </c>
      <c r="AK5" s="5">
        <v>4.0</v>
      </c>
      <c r="AL5" s="5">
        <f t="shared" si="3"/>
        <v>4</v>
      </c>
      <c r="AM5" s="5">
        <v>4.0</v>
      </c>
      <c r="AN5" s="5">
        <f t="shared" si="4"/>
        <v>4</v>
      </c>
      <c r="AO5" s="5">
        <v>4.0</v>
      </c>
      <c r="AP5" s="5">
        <f t="shared" si="5"/>
        <v>4</v>
      </c>
      <c r="AQ5" s="5" t="s">
        <v>236</v>
      </c>
    </row>
    <row r="6">
      <c r="A6" s="8">
        <v>1957.0</v>
      </c>
      <c r="B6" s="7">
        <v>45866.3125</v>
      </c>
      <c r="C6" s="5" t="s">
        <v>238</v>
      </c>
      <c r="D6" s="5" t="s">
        <v>239</v>
      </c>
      <c r="E6" s="5" t="s">
        <v>216</v>
      </c>
      <c r="F6" s="5">
        <v>6.0</v>
      </c>
      <c r="G6" s="6">
        <v>5.0</v>
      </c>
      <c r="H6" s="5" t="s">
        <v>199</v>
      </c>
      <c r="I6" s="5">
        <v>7.0</v>
      </c>
      <c r="J6" s="5">
        <v>5.0</v>
      </c>
      <c r="K6" s="5">
        <v>7.0</v>
      </c>
      <c r="L6" s="5">
        <v>3.0</v>
      </c>
      <c r="M6" s="5">
        <v>3.0</v>
      </c>
      <c r="N6" s="5">
        <v>5.0</v>
      </c>
      <c r="O6" s="5">
        <v>5.0</v>
      </c>
      <c r="P6" s="5">
        <v>7.0</v>
      </c>
      <c r="Q6" s="5">
        <v>3.0</v>
      </c>
      <c r="R6" s="5">
        <v>7.0</v>
      </c>
      <c r="S6" s="5">
        <v>6.0</v>
      </c>
      <c r="T6" s="5">
        <v>3.0</v>
      </c>
      <c r="U6" s="5">
        <f t="shared" si="1"/>
        <v>5</v>
      </c>
      <c r="V6" s="5" t="s">
        <v>240</v>
      </c>
      <c r="W6" s="5" t="s">
        <v>206</v>
      </c>
      <c r="X6" s="5">
        <v>5.0</v>
      </c>
      <c r="Y6" s="5">
        <v>7.0</v>
      </c>
      <c r="Z6" s="5">
        <v>7.0</v>
      </c>
      <c r="AA6" s="5">
        <v>5.0</v>
      </c>
      <c r="AB6" s="5">
        <v>7.0</v>
      </c>
      <c r="AC6" s="5">
        <v>7.0</v>
      </c>
      <c r="AD6" s="5" t="s">
        <v>241</v>
      </c>
      <c r="AE6" s="5" t="s">
        <v>206</v>
      </c>
      <c r="AF6" s="5">
        <v>6.0</v>
      </c>
      <c r="AG6" s="5">
        <v>7.0</v>
      </c>
      <c r="AH6" s="5">
        <v>7.0</v>
      </c>
      <c r="AI6" s="5">
        <v>1.0</v>
      </c>
      <c r="AJ6" s="5">
        <f t="shared" si="2"/>
        <v>7</v>
      </c>
      <c r="AK6" s="5">
        <v>1.0</v>
      </c>
      <c r="AL6" s="5">
        <f t="shared" si="3"/>
        <v>7</v>
      </c>
      <c r="AM6" s="5">
        <v>1.0</v>
      </c>
      <c r="AN6" s="5">
        <f t="shared" si="4"/>
        <v>7</v>
      </c>
      <c r="AO6" s="5">
        <v>1.0</v>
      </c>
      <c r="AP6" s="5">
        <f t="shared" si="5"/>
        <v>7</v>
      </c>
      <c r="AQ6" s="5" t="s">
        <v>242</v>
      </c>
    </row>
    <row r="7">
      <c r="A7" s="8">
        <v>822.0</v>
      </c>
      <c r="B7" s="7">
        <v>45866.3125</v>
      </c>
      <c r="C7" s="5" t="s">
        <v>243</v>
      </c>
      <c r="D7" s="5" t="s">
        <v>244</v>
      </c>
      <c r="E7" s="5" t="s">
        <v>197</v>
      </c>
      <c r="F7" s="5">
        <v>2.0</v>
      </c>
      <c r="G7" s="5">
        <v>2.0</v>
      </c>
      <c r="H7" s="5" t="s">
        <v>199</v>
      </c>
      <c r="I7" s="5">
        <v>7.0</v>
      </c>
      <c r="J7" s="5">
        <v>3.0</v>
      </c>
      <c r="K7" s="5">
        <v>5.0</v>
      </c>
      <c r="L7" s="5">
        <v>3.0</v>
      </c>
      <c r="M7" s="5">
        <v>1.0</v>
      </c>
      <c r="N7" s="5">
        <v>5.0</v>
      </c>
      <c r="O7" s="5">
        <v>6.0</v>
      </c>
      <c r="P7" s="5">
        <v>6.0</v>
      </c>
      <c r="Q7" s="5">
        <v>1.0</v>
      </c>
      <c r="R7" s="5">
        <v>4.0</v>
      </c>
      <c r="S7" s="5">
        <v>7.0</v>
      </c>
      <c r="T7" s="5">
        <v>7.0</v>
      </c>
      <c r="U7" s="5">
        <f t="shared" si="1"/>
        <v>1</v>
      </c>
      <c r="V7" s="5" t="s">
        <v>245</v>
      </c>
      <c r="W7" s="5" t="s">
        <v>206</v>
      </c>
      <c r="X7" s="5">
        <v>5.0</v>
      </c>
      <c r="Y7" s="5">
        <v>6.0</v>
      </c>
      <c r="Z7" s="5">
        <v>6.0</v>
      </c>
      <c r="AA7" s="5">
        <v>5.0</v>
      </c>
      <c r="AB7" s="5">
        <v>5.0</v>
      </c>
      <c r="AC7" s="5">
        <v>4.0</v>
      </c>
      <c r="AD7" s="5" t="s">
        <v>246</v>
      </c>
      <c r="AE7" s="5" t="s">
        <v>206</v>
      </c>
      <c r="AF7" s="5">
        <v>5.0</v>
      </c>
      <c r="AG7" s="5">
        <v>3.0</v>
      </c>
      <c r="AH7" s="5">
        <v>6.0</v>
      </c>
      <c r="AI7" s="5">
        <v>2.0</v>
      </c>
      <c r="AJ7" s="5">
        <f t="shared" si="2"/>
        <v>6</v>
      </c>
      <c r="AK7" s="5">
        <v>1.0</v>
      </c>
      <c r="AL7" s="5">
        <f t="shared" si="3"/>
        <v>7</v>
      </c>
      <c r="AM7" s="5">
        <v>5.0</v>
      </c>
      <c r="AN7" s="5">
        <f t="shared" si="4"/>
        <v>3</v>
      </c>
      <c r="AO7" s="5">
        <v>5.0</v>
      </c>
      <c r="AP7" s="5">
        <f t="shared" si="5"/>
        <v>3</v>
      </c>
      <c r="AQ7" s="5" t="s">
        <v>247</v>
      </c>
    </row>
    <row r="8">
      <c r="A8" s="8">
        <v>1106.0</v>
      </c>
      <c r="B8" s="7">
        <v>45866.32777777778</v>
      </c>
      <c r="C8" s="5" t="s">
        <v>248</v>
      </c>
      <c r="D8" s="5" t="s">
        <v>244</v>
      </c>
      <c r="E8" s="5" t="s">
        <v>211</v>
      </c>
      <c r="F8" s="5">
        <v>3.0</v>
      </c>
      <c r="G8" s="5">
        <v>1.0</v>
      </c>
      <c r="H8" s="5" t="s">
        <v>199</v>
      </c>
      <c r="I8" s="5">
        <v>5.0</v>
      </c>
      <c r="J8" s="5">
        <v>2.0</v>
      </c>
      <c r="K8" s="5">
        <v>1.0</v>
      </c>
      <c r="L8" s="5">
        <v>3.0</v>
      </c>
      <c r="M8" s="5">
        <v>1.0</v>
      </c>
      <c r="N8" s="5">
        <v>5.0</v>
      </c>
      <c r="O8" s="5">
        <v>6.0</v>
      </c>
      <c r="P8" s="5">
        <v>2.0</v>
      </c>
      <c r="Q8" s="5">
        <v>1.0</v>
      </c>
      <c r="R8" s="5">
        <v>2.0</v>
      </c>
      <c r="S8" s="5">
        <v>5.0</v>
      </c>
      <c r="T8" s="5">
        <v>7.0</v>
      </c>
      <c r="U8" s="5">
        <f t="shared" si="1"/>
        <v>1</v>
      </c>
      <c r="V8" s="5" t="s">
        <v>249</v>
      </c>
      <c r="W8" s="5" t="s">
        <v>206</v>
      </c>
      <c r="X8" s="5">
        <v>6.0</v>
      </c>
      <c r="Y8" s="5">
        <v>6.0</v>
      </c>
      <c r="Z8" s="5">
        <v>6.0</v>
      </c>
      <c r="AA8" s="5">
        <v>5.0</v>
      </c>
      <c r="AB8" s="5">
        <v>3.0</v>
      </c>
      <c r="AC8" s="5">
        <v>4.0</v>
      </c>
      <c r="AD8" s="5" t="s">
        <v>250</v>
      </c>
      <c r="AE8" s="5" t="s">
        <v>206</v>
      </c>
      <c r="AF8" s="5">
        <v>6.0</v>
      </c>
      <c r="AG8" s="5">
        <v>6.0</v>
      </c>
      <c r="AH8" s="5">
        <v>2.0</v>
      </c>
      <c r="AI8" s="5">
        <v>1.0</v>
      </c>
      <c r="AJ8" s="5">
        <f t="shared" si="2"/>
        <v>7</v>
      </c>
      <c r="AK8" s="5">
        <v>1.0</v>
      </c>
      <c r="AL8" s="5">
        <f t="shared" si="3"/>
        <v>7</v>
      </c>
      <c r="AM8" s="5">
        <v>1.0</v>
      </c>
      <c r="AN8" s="5">
        <f t="shared" si="4"/>
        <v>7</v>
      </c>
      <c r="AO8" s="5">
        <v>1.0</v>
      </c>
      <c r="AP8" s="5">
        <f t="shared" si="5"/>
        <v>7</v>
      </c>
      <c r="AQ8" s="5" t="s">
        <v>251</v>
      </c>
    </row>
    <row r="9">
      <c r="A9" s="8">
        <v>1376.0</v>
      </c>
      <c r="B9" s="7">
        <v>45866.32847222222</v>
      </c>
      <c r="C9" s="5" t="s">
        <v>252</v>
      </c>
      <c r="D9" s="5" t="s">
        <v>239</v>
      </c>
      <c r="E9" s="5" t="s">
        <v>211</v>
      </c>
      <c r="F9" s="5">
        <v>7.0</v>
      </c>
      <c r="G9" s="5">
        <v>7.0</v>
      </c>
      <c r="H9" s="5" t="s">
        <v>199</v>
      </c>
      <c r="I9" s="5">
        <v>5.0</v>
      </c>
      <c r="J9" s="5">
        <v>5.0</v>
      </c>
      <c r="K9" s="5">
        <v>7.0</v>
      </c>
      <c r="L9" s="5">
        <v>4.0</v>
      </c>
      <c r="M9" s="5">
        <v>4.0</v>
      </c>
      <c r="N9" s="5">
        <v>7.0</v>
      </c>
      <c r="O9" s="5">
        <v>7.0</v>
      </c>
      <c r="P9" s="5">
        <v>7.0</v>
      </c>
      <c r="Q9" s="5">
        <v>4.0</v>
      </c>
      <c r="R9" s="5">
        <v>6.0</v>
      </c>
      <c r="S9" s="5">
        <v>7.0</v>
      </c>
      <c r="T9" s="5">
        <v>4.0</v>
      </c>
      <c r="U9" s="5">
        <f t="shared" si="1"/>
        <v>4</v>
      </c>
      <c r="V9" s="5" t="s">
        <v>253</v>
      </c>
      <c r="W9" s="5" t="s">
        <v>206</v>
      </c>
      <c r="X9" s="5">
        <v>5.0</v>
      </c>
      <c r="Y9" s="5">
        <v>7.0</v>
      </c>
      <c r="Z9" s="5">
        <v>6.0</v>
      </c>
      <c r="AA9" s="5">
        <v>6.0</v>
      </c>
      <c r="AB9" s="5">
        <v>6.0</v>
      </c>
      <c r="AC9" s="5">
        <v>6.0</v>
      </c>
      <c r="AD9" s="5" t="s">
        <v>254</v>
      </c>
      <c r="AE9" s="5" t="s">
        <v>206</v>
      </c>
      <c r="AF9" s="5">
        <v>5.0</v>
      </c>
      <c r="AG9" s="5">
        <v>5.0</v>
      </c>
      <c r="AH9" s="5">
        <v>7.0</v>
      </c>
      <c r="AI9" s="5">
        <v>5.0</v>
      </c>
      <c r="AJ9" s="5">
        <f t="shared" si="2"/>
        <v>3</v>
      </c>
      <c r="AK9" s="5">
        <v>1.0</v>
      </c>
      <c r="AL9" s="5">
        <f t="shared" si="3"/>
        <v>7</v>
      </c>
      <c r="AM9" s="5">
        <v>5.0</v>
      </c>
      <c r="AN9" s="5">
        <f t="shared" si="4"/>
        <v>3</v>
      </c>
      <c r="AO9" s="5">
        <v>5.0</v>
      </c>
      <c r="AP9" s="5">
        <f t="shared" si="5"/>
        <v>3</v>
      </c>
      <c r="AQ9" s="5" t="s">
        <v>255</v>
      </c>
    </row>
    <row r="10">
      <c r="A10" s="8">
        <v>1275.0</v>
      </c>
      <c r="B10" s="7">
        <v>45867.02638888889</v>
      </c>
      <c r="C10" s="5" t="s">
        <v>257</v>
      </c>
      <c r="D10" s="5" t="s">
        <v>258</v>
      </c>
      <c r="E10" s="5" t="s">
        <v>211</v>
      </c>
      <c r="F10" s="5">
        <v>3.0</v>
      </c>
      <c r="G10" s="5">
        <v>3.0</v>
      </c>
      <c r="H10" s="5" t="s">
        <v>199</v>
      </c>
      <c r="I10" s="5">
        <v>6.0</v>
      </c>
      <c r="J10" s="5">
        <v>7.0</v>
      </c>
      <c r="K10" s="5">
        <v>4.0</v>
      </c>
      <c r="L10" s="5">
        <v>1.0</v>
      </c>
      <c r="M10" s="5">
        <v>2.0</v>
      </c>
      <c r="N10" s="5">
        <v>7.0</v>
      </c>
      <c r="O10" s="5">
        <v>7.0</v>
      </c>
      <c r="P10" s="5">
        <v>6.0</v>
      </c>
      <c r="Q10" s="5">
        <v>1.0</v>
      </c>
      <c r="R10" s="5">
        <v>4.0</v>
      </c>
      <c r="S10" s="5">
        <v>5.0</v>
      </c>
      <c r="T10" s="5">
        <v>7.0</v>
      </c>
      <c r="U10" s="5">
        <f t="shared" si="1"/>
        <v>1</v>
      </c>
      <c r="V10" s="5" t="s">
        <v>259</v>
      </c>
      <c r="W10" s="5" t="s">
        <v>206</v>
      </c>
      <c r="X10" s="5">
        <v>6.0</v>
      </c>
      <c r="Y10" s="5">
        <v>6.0</v>
      </c>
      <c r="Z10" s="5">
        <v>6.0</v>
      </c>
      <c r="AA10" s="5">
        <v>6.0</v>
      </c>
      <c r="AB10" s="5">
        <v>6.0</v>
      </c>
      <c r="AC10" s="5">
        <v>6.0</v>
      </c>
      <c r="AD10" s="5" t="s">
        <v>260</v>
      </c>
      <c r="AE10" s="5" t="s">
        <v>206</v>
      </c>
      <c r="AF10" s="5">
        <v>5.0</v>
      </c>
      <c r="AG10" s="5">
        <v>7.0</v>
      </c>
      <c r="AH10" s="5">
        <v>7.0</v>
      </c>
      <c r="AI10" s="5">
        <v>1.0</v>
      </c>
      <c r="AJ10" s="5">
        <f t="shared" si="2"/>
        <v>7</v>
      </c>
      <c r="AK10" s="5">
        <v>1.0</v>
      </c>
      <c r="AL10" s="5">
        <f t="shared" si="3"/>
        <v>7</v>
      </c>
      <c r="AM10" s="5">
        <v>1.0</v>
      </c>
      <c r="AN10" s="5">
        <f t="shared" si="4"/>
        <v>7</v>
      </c>
      <c r="AO10" s="5">
        <v>1.0</v>
      </c>
      <c r="AP10" s="5">
        <f t="shared" si="5"/>
        <v>7</v>
      </c>
      <c r="AQ10" s="5" t="s">
        <v>261</v>
      </c>
    </row>
    <row r="11">
      <c r="A11" s="8">
        <v>859.0</v>
      </c>
      <c r="B11" s="7">
        <v>45867.027083333334</v>
      </c>
      <c r="C11" s="5" t="s">
        <v>262</v>
      </c>
      <c r="D11" s="5" t="s">
        <v>239</v>
      </c>
      <c r="E11" s="5" t="s">
        <v>263</v>
      </c>
      <c r="F11" s="5">
        <v>6.0</v>
      </c>
      <c r="G11" s="5">
        <v>5.0</v>
      </c>
      <c r="H11" s="5" t="s">
        <v>199</v>
      </c>
      <c r="I11" s="5">
        <v>4.0</v>
      </c>
      <c r="J11" s="5">
        <v>5.0</v>
      </c>
      <c r="K11" s="5">
        <v>7.0</v>
      </c>
      <c r="L11" s="5">
        <v>3.0</v>
      </c>
      <c r="M11" s="5">
        <v>4.0</v>
      </c>
      <c r="N11" s="5">
        <v>6.0</v>
      </c>
      <c r="O11" s="5">
        <v>7.0</v>
      </c>
      <c r="P11" s="5">
        <v>7.0</v>
      </c>
      <c r="Q11" s="5">
        <v>5.0</v>
      </c>
      <c r="R11" s="5">
        <v>7.0</v>
      </c>
      <c r="S11" s="5">
        <v>7.0</v>
      </c>
      <c r="T11" s="5">
        <v>4.0</v>
      </c>
      <c r="U11" s="5">
        <f t="shared" si="1"/>
        <v>4</v>
      </c>
      <c r="V11" s="5" t="s">
        <v>264</v>
      </c>
      <c r="W11" s="5" t="s">
        <v>206</v>
      </c>
      <c r="X11" s="5">
        <v>5.0</v>
      </c>
      <c r="Y11" s="5">
        <v>6.0</v>
      </c>
      <c r="Z11" s="5">
        <v>5.0</v>
      </c>
      <c r="AA11" s="5">
        <v>6.0</v>
      </c>
      <c r="AB11" s="5">
        <v>6.0</v>
      </c>
      <c r="AC11" s="5">
        <v>7.0</v>
      </c>
      <c r="AD11" s="5" t="s">
        <v>265</v>
      </c>
      <c r="AE11" s="5" t="s">
        <v>206</v>
      </c>
      <c r="AF11" s="5">
        <v>6.0</v>
      </c>
      <c r="AG11" s="5">
        <v>7.0</v>
      </c>
      <c r="AH11" s="5">
        <v>7.0</v>
      </c>
      <c r="AI11" s="5">
        <v>2.0</v>
      </c>
      <c r="AJ11" s="5">
        <f t="shared" si="2"/>
        <v>6</v>
      </c>
      <c r="AK11" s="5">
        <v>1.0</v>
      </c>
      <c r="AL11" s="5">
        <f t="shared" si="3"/>
        <v>7</v>
      </c>
      <c r="AM11" s="5">
        <v>1.0</v>
      </c>
      <c r="AN11" s="5">
        <f t="shared" si="4"/>
        <v>7</v>
      </c>
      <c r="AO11" s="5">
        <v>1.0</v>
      </c>
      <c r="AP11" s="5">
        <f t="shared" si="5"/>
        <v>7</v>
      </c>
      <c r="AQ11" s="5" t="s">
        <v>266</v>
      </c>
    </row>
    <row r="12">
      <c r="A12" s="8">
        <v>821.0</v>
      </c>
      <c r="B12" s="7">
        <v>45867.04583333333</v>
      </c>
      <c r="C12" s="5" t="s">
        <v>267</v>
      </c>
      <c r="D12" s="5" t="s">
        <v>239</v>
      </c>
      <c r="E12" s="5" t="s">
        <v>211</v>
      </c>
      <c r="F12" s="5">
        <v>6.0</v>
      </c>
      <c r="G12" s="5">
        <v>3.0</v>
      </c>
      <c r="H12" s="5" t="s">
        <v>199</v>
      </c>
      <c r="I12" s="5">
        <v>6.0</v>
      </c>
      <c r="J12" s="5">
        <v>7.0</v>
      </c>
      <c r="K12" s="5">
        <v>6.0</v>
      </c>
      <c r="L12" s="5">
        <v>4.0</v>
      </c>
      <c r="M12" s="5">
        <v>3.0</v>
      </c>
      <c r="N12" s="5">
        <v>7.0</v>
      </c>
      <c r="O12" s="5">
        <v>6.0</v>
      </c>
      <c r="P12" s="5">
        <v>3.0</v>
      </c>
      <c r="Q12" s="5">
        <v>4.0</v>
      </c>
      <c r="R12" s="5">
        <v>7.0</v>
      </c>
      <c r="S12" s="5">
        <v>6.0</v>
      </c>
      <c r="T12" s="5">
        <v>4.0</v>
      </c>
      <c r="U12" s="5">
        <f t="shared" si="1"/>
        <v>4</v>
      </c>
      <c r="V12" s="5" t="s">
        <v>268</v>
      </c>
      <c r="W12" s="5" t="s">
        <v>206</v>
      </c>
      <c r="X12" s="5">
        <v>4.0</v>
      </c>
      <c r="Y12" s="5">
        <v>5.0</v>
      </c>
      <c r="Z12" s="5">
        <v>4.0</v>
      </c>
      <c r="AA12" s="5">
        <v>3.0</v>
      </c>
      <c r="AB12" s="5">
        <v>4.0</v>
      </c>
      <c r="AC12" s="5">
        <v>3.0</v>
      </c>
      <c r="AD12" s="5" t="s">
        <v>269</v>
      </c>
      <c r="AE12" s="5" t="s">
        <v>206</v>
      </c>
      <c r="AF12" s="5">
        <v>4.0</v>
      </c>
      <c r="AG12" s="5">
        <v>3.0</v>
      </c>
      <c r="AH12" s="5">
        <v>5.0</v>
      </c>
      <c r="AI12" s="5">
        <v>2.0</v>
      </c>
      <c r="AJ12" s="5">
        <f t="shared" si="2"/>
        <v>6</v>
      </c>
      <c r="AK12" s="5">
        <v>2.0</v>
      </c>
      <c r="AL12" s="5">
        <f t="shared" si="3"/>
        <v>6</v>
      </c>
      <c r="AM12" s="5">
        <v>6.0</v>
      </c>
      <c r="AN12" s="5">
        <f t="shared" si="4"/>
        <v>2</v>
      </c>
      <c r="AO12" s="5">
        <v>2.0</v>
      </c>
      <c r="AP12" s="5">
        <f t="shared" si="5"/>
        <v>6</v>
      </c>
      <c r="AQ12" s="5" t="s">
        <v>270</v>
      </c>
    </row>
    <row r="13">
      <c r="A13" s="8">
        <v>741.0</v>
      </c>
      <c r="B13" s="7">
        <v>45867.06041666667</v>
      </c>
      <c r="C13" s="5" t="s">
        <v>271</v>
      </c>
      <c r="D13" s="5" t="s">
        <v>258</v>
      </c>
      <c r="E13" s="5" t="s">
        <v>197</v>
      </c>
      <c r="F13" s="5">
        <v>6.0</v>
      </c>
      <c r="G13" s="5">
        <v>2.0</v>
      </c>
      <c r="H13" s="5" t="s">
        <v>199</v>
      </c>
      <c r="I13" s="5">
        <v>7.0</v>
      </c>
      <c r="J13" s="5">
        <v>7.0</v>
      </c>
      <c r="K13" s="5">
        <v>7.0</v>
      </c>
      <c r="L13" s="5">
        <v>1.0</v>
      </c>
      <c r="M13" s="5">
        <v>3.0</v>
      </c>
      <c r="N13" s="5">
        <v>7.0</v>
      </c>
      <c r="O13" s="5">
        <v>7.0</v>
      </c>
      <c r="P13" s="5">
        <v>7.0</v>
      </c>
      <c r="Q13" s="5">
        <v>1.0</v>
      </c>
      <c r="R13" s="5">
        <v>1.0</v>
      </c>
      <c r="S13" s="5">
        <v>7.0</v>
      </c>
      <c r="T13" s="5">
        <v>7.0</v>
      </c>
      <c r="U13" s="5">
        <f t="shared" si="1"/>
        <v>1</v>
      </c>
      <c r="V13" s="5" t="s">
        <v>272</v>
      </c>
      <c r="W13" s="5" t="s">
        <v>206</v>
      </c>
      <c r="X13" s="5">
        <v>6.0</v>
      </c>
      <c r="Y13" s="5">
        <v>7.0</v>
      </c>
      <c r="Z13" s="5">
        <v>6.0</v>
      </c>
      <c r="AA13" s="5">
        <v>6.0</v>
      </c>
      <c r="AB13" s="5">
        <v>7.0</v>
      </c>
      <c r="AC13" s="5">
        <v>7.0</v>
      </c>
      <c r="AD13" s="5" t="s">
        <v>273</v>
      </c>
      <c r="AE13" s="5" t="s">
        <v>206</v>
      </c>
      <c r="AF13" s="5">
        <v>7.0</v>
      </c>
      <c r="AG13" s="5">
        <v>6.0</v>
      </c>
      <c r="AH13" s="5">
        <v>7.0</v>
      </c>
      <c r="AI13" s="5">
        <v>3.0</v>
      </c>
      <c r="AJ13" s="5">
        <f t="shared" si="2"/>
        <v>5</v>
      </c>
      <c r="AK13" s="5">
        <v>3.0</v>
      </c>
      <c r="AL13" s="5">
        <f t="shared" si="3"/>
        <v>5</v>
      </c>
      <c r="AM13" s="5">
        <v>7.0</v>
      </c>
      <c r="AN13" s="5">
        <f t="shared" si="4"/>
        <v>1</v>
      </c>
      <c r="AO13" s="5">
        <v>2.0</v>
      </c>
      <c r="AP13" s="5">
        <f t="shared" si="5"/>
        <v>6</v>
      </c>
      <c r="AQ13" s="5" t="s">
        <v>274</v>
      </c>
    </row>
    <row r="14">
      <c r="A14" s="8">
        <v>538.0</v>
      </c>
      <c r="B14" s="7">
        <v>45867.06180555555</v>
      </c>
      <c r="C14" s="5" t="s">
        <v>275</v>
      </c>
      <c r="D14" s="5" t="s">
        <v>258</v>
      </c>
      <c r="E14" s="5" t="s">
        <v>263</v>
      </c>
      <c r="F14" s="5">
        <v>5.0</v>
      </c>
      <c r="G14" s="5">
        <v>1.0</v>
      </c>
      <c r="H14" s="5" t="s">
        <v>199</v>
      </c>
      <c r="I14" s="5">
        <v>6.0</v>
      </c>
      <c r="J14" s="5">
        <v>7.0</v>
      </c>
      <c r="K14" s="5">
        <v>6.0</v>
      </c>
      <c r="L14" s="5">
        <v>1.0</v>
      </c>
      <c r="M14" s="5">
        <v>1.0</v>
      </c>
      <c r="N14" s="5">
        <v>7.0</v>
      </c>
      <c r="O14" s="5">
        <v>6.0</v>
      </c>
      <c r="P14" s="5">
        <v>7.0</v>
      </c>
      <c r="Q14" s="5">
        <v>2.0</v>
      </c>
      <c r="R14" s="5">
        <v>1.0</v>
      </c>
      <c r="S14" s="5">
        <v>7.0</v>
      </c>
      <c r="T14" s="5">
        <v>1.0</v>
      </c>
      <c r="U14" s="5">
        <f t="shared" si="1"/>
        <v>7</v>
      </c>
      <c r="V14" s="5" t="s">
        <v>276</v>
      </c>
      <c r="W14" s="5" t="s">
        <v>206</v>
      </c>
      <c r="X14" s="5">
        <v>7.0</v>
      </c>
      <c r="Y14" s="5">
        <v>7.0</v>
      </c>
      <c r="Z14" s="5">
        <v>7.0</v>
      </c>
      <c r="AA14" s="5">
        <v>7.0</v>
      </c>
      <c r="AB14" s="5">
        <v>5.0</v>
      </c>
      <c r="AC14" s="5">
        <v>7.0</v>
      </c>
      <c r="AD14" s="5" t="s">
        <v>277</v>
      </c>
      <c r="AE14" s="5" t="s">
        <v>206</v>
      </c>
      <c r="AF14" s="5">
        <v>7.0</v>
      </c>
      <c r="AG14" s="5">
        <v>7.0</v>
      </c>
      <c r="AH14" s="5">
        <v>6.0</v>
      </c>
      <c r="AI14" s="5">
        <v>2.0</v>
      </c>
      <c r="AJ14" s="5">
        <f t="shared" si="2"/>
        <v>6</v>
      </c>
      <c r="AK14" s="5">
        <v>2.0</v>
      </c>
      <c r="AL14" s="5">
        <f t="shared" si="3"/>
        <v>6</v>
      </c>
      <c r="AM14" s="5">
        <v>7.0</v>
      </c>
      <c r="AN14" s="5">
        <f t="shared" si="4"/>
        <v>1</v>
      </c>
      <c r="AO14" s="5">
        <v>2.0</v>
      </c>
      <c r="AP14" s="5">
        <f t="shared" si="5"/>
        <v>6</v>
      </c>
      <c r="AQ14" s="5" t="s">
        <v>278</v>
      </c>
    </row>
    <row r="15">
      <c r="A15" s="8">
        <v>1656.0</v>
      </c>
      <c r="B15" s="7">
        <v>45867.07361111111</v>
      </c>
      <c r="C15" s="5" t="s">
        <v>279</v>
      </c>
      <c r="D15" s="5" t="s">
        <v>258</v>
      </c>
      <c r="E15" s="5" t="s">
        <v>216</v>
      </c>
      <c r="F15" s="5">
        <v>7.0</v>
      </c>
      <c r="G15" s="5">
        <v>1.0</v>
      </c>
      <c r="H15" s="5" t="s">
        <v>199</v>
      </c>
      <c r="I15" s="5">
        <v>7.0</v>
      </c>
      <c r="J15" s="5">
        <v>7.0</v>
      </c>
      <c r="K15" s="5">
        <v>7.0</v>
      </c>
      <c r="L15" s="5">
        <v>1.0</v>
      </c>
      <c r="M15" s="5">
        <v>1.0</v>
      </c>
      <c r="N15" s="5">
        <v>7.0</v>
      </c>
      <c r="O15" s="5">
        <v>7.0</v>
      </c>
      <c r="P15" s="5">
        <v>7.0</v>
      </c>
      <c r="Q15" s="5">
        <v>1.0</v>
      </c>
      <c r="R15" s="5">
        <v>1.0</v>
      </c>
      <c r="S15" s="5">
        <v>7.0</v>
      </c>
      <c r="T15" s="5">
        <v>1.0</v>
      </c>
      <c r="U15" s="5">
        <f t="shared" si="1"/>
        <v>7</v>
      </c>
      <c r="V15" s="5" t="s">
        <v>280</v>
      </c>
      <c r="W15" s="5" t="s">
        <v>206</v>
      </c>
      <c r="X15" s="5">
        <v>7.0</v>
      </c>
      <c r="Y15" s="5">
        <v>6.0</v>
      </c>
      <c r="Z15" s="5">
        <v>7.0</v>
      </c>
      <c r="AA15" s="5">
        <v>7.0</v>
      </c>
      <c r="AB15" s="5">
        <v>6.0</v>
      </c>
      <c r="AC15" s="5">
        <v>7.0</v>
      </c>
      <c r="AD15" s="5" t="s">
        <v>281</v>
      </c>
      <c r="AE15" s="5" t="s">
        <v>206</v>
      </c>
      <c r="AF15" s="5">
        <v>7.0</v>
      </c>
      <c r="AG15" s="5">
        <v>7.0</v>
      </c>
      <c r="AH15" s="5">
        <v>7.0</v>
      </c>
      <c r="AI15" s="5">
        <v>7.0</v>
      </c>
      <c r="AJ15" s="5">
        <f t="shared" si="2"/>
        <v>1</v>
      </c>
      <c r="AK15" s="5">
        <v>7.0</v>
      </c>
      <c r="AL15" s="5">
        <f t="shared" si="3"/>
        <v>1</v>
      </c>
      <c r="AM15" s="5">
        <v>1.0</v>
      </c>
      <c r="AN15" s="5">
        <f t="shared" si="4"/>
        <v>7</v>
      </c>
      <c r="AO15" s="5">
        <v>7.0</v>
      </c>
      <c r="AP15" s="5">
        <f t="shared" si="5"/>
        <v>1</v>
      </c>
      <c r="AQ15" s="5" t="s">
        <v>282</v>
      </c>
    </row>
    <row r="16">
      <c r="A16" s="8">
        <v>797.0</v>
      </c>
      <c r="B16" s="7">
        <v>45867.095138888886</v>
      </c>
      <c r="C16" s="5" t="s">
        <v>283</v>
      </c>
      <c r="D16" s="5" t="s">
        <v>284</v>
      </c>
      <c r="E16" s="5" t="s">
        <v>263</v>
      </c>
      <c r="F16" s="5">
        <v>5.0</v>
      </c>
      <c r="G16" s="5">
        <v>6.0</v>
      </c>
      <c r="H16" s="5" t="s">
        <v>199</v>
      </c>
      <c r="I16" s="5">
        <v>6.0</v>
      </c>
      <c r="J16" s="5">
        <v>2.0</v>
      </c>
      <c r="K16" s="5">
        <v>2.0</v>
      </c>
      <c r="L16" s="5">
        <v>6.0</v>
      </c>
      <c r="M16" s="5">
        <v>3.0</v>
      </c>
      <c r="N16" s="5">
        <v>6.0</v>
      </c>
      <c r="O16" s="5">
        <v>6.0</v>
      </c>
      <c r="P16" s="5">
        <v>3.0</v>
      </c>
      <c r="Q16" s="5">
        <v>2.0</v>
      </c>
      <c r="R16" s="5">
        <v>6.0</v>
      </c>
      <c r="S16" s="5">
        <v>6.0</v>
      </c>
      <c r="T16" s="5">
        <v>5.0</v>
      </c>
      <c r="U16" s="5">
        <f t="shared" si="1"/>
        <v>3</v>
      </c>
      <c r="V16" s="5" t="s">
        <v>285</v>
      </c>
      <c r="W16" s="5" t="s">
        <v>206</v>
      </c>
      <c r="X16" s="5">
        <v>4.0</v>
      </c>
      <c r="Y16" s="5">
        <v>6.0</v>
      </c>
      <c r="Z16" s="5">
        <v>6.0</v>
      </c>
      <c r="AA16" s="5">
        <v>6.0</v>
      </c>
      <c r="AB16" s="5">
        <v>5.0</v>
      </c>
      <c r="AC16" s="5">
        <v>2.0</v>
      </c>
      <c r="AD16" s="5" t="s">
        <v>286</v>
      </c>
      <c r="AE16" s="5" t="s">
        <v>206</v>
      </c>
      <c r="AF16" s="5">
        <v>6.0</v>
      </c>
      <c r="AG16" s="5">
        <v>3.0</v>
      </c>
      <c r="AH16" s="5">
        <v>6.0</v>
      </c>
      <c r="AI16" s="5">
        <v>1.0</v>
      </c>
      <c r="AJ16" s="5">
        <f t="shared" si="2"/>
        <v>7</v>
      </c>
      <c r="AK16" s="5">
        <v>2.0</v>
      </c>
      <c r="AL16" s="5">
        <f t="shared" si="3"/>
        <v>6</v>
      </c>
      <c r="AM16" s="5">
        <v>5.0</v>
      </c>
      <c r="AN16" s="5">
        <f t="shared" si="4"/>
        <v>3</v>
      </c>
      <c r="AO16" s="5">
        <v>1.0</v>
      </c>
      <c r="AP16" s="5">
        <f t="shared" si="5"/>
        <v>7</v>
      </c>
      <c r="AQ16" s="5" t="s">
        <v>287</v>
      </c>
    </row>
    <row r="17">
      <c r="A17" s="8">
        <v>1356.0</v>
      </c>
      <c r="B17" s="7">
        <v>45867.09652777778</v>
      </c>
      <c r="C17" s="5" t="s">
        <v>288</v>
      </c>
      <c r="D17" s="5" t="s">
        <v>289</v>
      </c>
      <c r="E17" s="5" t="s">
        <v>216</v>
      </c>
      <c r="F17" s="5">
        <v>6.0</v>
      </c>
      <c r="G17" s="5">
        <v>5.0</v>
      </c>
      <c r="H17" s="5" t="s">
        <v>199</v>
      </c>
      <c r="I17" s="5">
        <v>6.0</v>
      </c>
      <c r="J17" s="5">
        <v>7.0</v>
      </c>
      <c r="K17" s="5">
        <v>6.0</v>
      </c>
      <c r="L17" s="5">
        <v>4.0</v>
      </c>
      <c r="M17" s="5">
        <v>6.0</v>
      </c>
      <c r="N17" s="5">
        <v>6.0</v>
      </c>
      <c r="O17" s="5">
        <v>6.0</v>
      </c>
      <c r="P17" s="5">
        <v>7.0</v>
      </c>
      <c r="Q17" s="5">
        <v>2.0</v>
      </c>
      <c r="R17" s="5">
        <v>2.0</v>
      </c>
      <c r="S17" s="5">
        <v>7.0</v>
      </c>
      <c r="T17" s="5">
        <v>4.0</v>
      </c>
      <c r="U17" s="5">
        <f t="shared" si="1"/>
        <v>4</v>
      </c>
      <c r="V17" s="5" t="s">
        <v>290</v>
      </c>
      <c r="W17" s="5" t="s">
        <v>206</v>
      </c>
      <c r="X17" s="5">
        <v>4.0</v>
      </c>
      <c r="Y17" s="5">
        <v>5.0</v>
      </c>
      <c r="Z17" s="5">
        <v>6.0</v>
      </c>
      <c r="AA17" s="5">
        <v>5.0</v>
      </c>
      <c r="AB17" s="5">
        <v>6.0</v>
      </c>
      <c r="AC17" s="5">
        <v>6.0</v>
      </c>
      <c r="AD17" s="5" t="s">
        <v>291</v>
      </c>
      <c r="AE17" s="5" t="s">
        <v>206</v>
      </c>
      <c r="AF17" s="5">
        <v>6.0</v>
      </c>
      <c r="AG17" s="5">
        <v>7.0</v>
      </c>
      <c r="AH17" s="5">
        <v>7.0</v>
      </c>
      <c r="AI17" s="5">
        <v>1.0</v>
      </c>
      <c r="AJ17" s="5">
        <f t="shared" si="2"/>
        <v>7</v>
      </c>
      <c r="AK17" s="5">
        <v>1.0</v>
      </c>
      <c r="AL17" s="5">
        <f t="shared" si="3"/>
        <v>7</v>
      </c>
      <c r="AM17" s="5">
        <v>1.0</v>
      </c>
      <c r="AN17" s="5">
        <f t="shared" si="4"/>
        <v>7</v>
      </c>
      <c r="AO17" s="5">
        <v>1.0</v>
      </c>
      <c r="AP17" s="5">
        <f t="shared" si="5"/>
        <v>7</v>
      </c>
      <c r="AQ17" s="5" t="s">
        <v>292</v>
      </c>
    </row>
    <row r="18">
      <c r="A18" s="8">
        <v>986.0</v>
      </c>
      <c r="B18" s="7">
        <v>45867.10902777778</v>
      </c>
      <c r="C18" s="5" t="s">
        <v>293</v>
      </c>
      <c r="D18" s="5" t="s">
        <v>284</v>
      </c>
      <c r="E18" s="5" t="s">
        <v>211</v>
      </c>
      <c r="F18" s="5">
        <v>3.0</v>
      </c>
      <c r="G18" s="5">
        <v>3.0</v>
      </c>
      <c r="H18" s="5" t="s">
        <v>199</v>
      </c>
      <c r="I18" s="5">
        <v>5.0</v>
      </c>
      <c r="J18" s="5">
        <v>5.0</v>
      </c>
      <c r="K18" s="5">
        <v>2.0</v>
      </c>
      <c r="L18" s="5">
        <v>3.0</v>
      </c>
      <c r="M18" s="5">
        <v>3.0</v>
      </c>
      <c r="N18" s="5">
        <v>6.0</v>
      </c>
      <c r="O18" s="5">
        <v>5.0</v>
      </c>
      <c r="P18" s="5">
        <v>6.0</v>
      </c>
      <c r="Q18" s="5">
        <v>2.0</v>
      </c>
      <c r="R18" s="5">
        <v>3.0</v>
      </c>
      <c r="S18" s="5">
        <v>6.0</v>
      </c>
      <c r="T18" s="5">
        <v>6.0</v>
      </c>
      <c r="U18" s="5">
        <f t="shared" si="1"/>
        <v>2</v>
      </c>
      <c r="V18" s="5" t="s">
        <v>294</v>
      </c>
      <c r="W18" s="5" t="s">
        <v>206</v>
      </c>
      <c r="X18" s="5">
        <v>3.0</v>
      </c>
      <c r="Y18" s="5">
        <v>5.0</v>
      </c>
      <c r="Z18" s="5">
        <v>5.0</v>
      </c>
      <c r="AA18" s="5">
        <v>5.0</v>
      </c>
      <c r="AB18" s="5">
        <v>5.0</v>
      </c>
      <c r="AC18" s="5">
        <v>5.0</v>
      </c>
      <c r="AD18" s="5" t="s">
        <v>295</v>
      </c>
      <c r="AE18" s="5" t="s">
        <v>206</v>
      </c>
      <c r="AF18" s="5">
        <v>5.0</v>
      </c>
      <c r="AG18" s="5">
        <v>5.0</v>
      </c>
      <c r="AH18" s="5">
        <v>5.0</v>
      </c>
      <c r="AI18" s="5">
        <v>2.0</v>
      </c>
      <c r="AJ18" s="5">
        <f t="shared" si="2"/>
        <v>6</v>
      </c>
      <c r="AK18" s="5">
        <v>2.0</v>
      </c>
      <c r="AL18" s="5">
        <f t="shared" si="3"/>
        <v>6</v>
      </c>
      <c r="AM18" s="5">
        <v>2.0</v>
      </c>
      <c r="AN18" s="5">
        <f t="shared" si="4"/>
        <v>6</v>
      </c>
      <c r="AO18" s="5">
        <v>1.0</v>
      </c>
      <c r="AP18" s="5">
        <f t="shared" si="5"/>
        <v>7</v>
      </c>
      <c r="AQ18" s="5" t="s">
        <v>296</v>
      </c>
    </row>
    <row r="19">
      <c r="A19" s="8">
        <v>401.0</v>
      </c>
      <c r="B19" s="7">
        <v>45867.11041666667</v>
      </c>
      <c r="C19" s="5" t="s">
        <v>297</v>
      </c>
      <c r="D19" s="5" t="s">
        <v>289</v>
      </c>
      <c r="E19" s="5" t="s">
        <v>197</v>
      </c>
      <c r="F19" s="5">
        <v>7.0</v>
      </c>
      <c r="G19" s="5">
        <v>6.0</v>
      </c>
      <c r="H19" s="5" t="s">
        <v>199</v>
      </c>
      <c r="I19" s="5">
        <v>6.0</v>
      </c>
      <c r="J19" s="5">
        <v>7.0</v>
      </c>
      <c r="K19" s="5">
        <v>5.0</v>
      </c>
      <c r="L19" s="5">
        <v>7.0</v>
      </c>
      <c r="M19" s="5">
        <v>7.0</v>
      </c>
      <c r="N19" s="5">
        <v>7.0</v>
      </c>
      <c r="O19" s="5">
        <v>6.0</v>
      </c>
      <c r="P19" s="5">
        <v>6.0</v>
      </c>
      <c r="Q19" s="5">
        <v>3.0</v>
      </c>
      <c r="R19" s="5">
        <v>4.0</v>
      </c>
      <c r="S19" s="5">
        <v>7.0</v>
      </c>
      <c r="T19" s="5">
        <v>6.0</v>
      </c>
      <c r="U19" s="5">
        <f t="shared" si="1"/>
        <v>2</v>
      </c>
      <c r="V19" s="5" t="s">
        <v>298</v>
      </c>
      <c r="W19" s="5" t="s">
        <v>206</v>
      </c>
      <c r="X19" s="5">
        <v>6.0</v>
      </c>
      <c r="Y19" s="5">
        <v>6.0</v>
      </c>
      <c r="Z19" s="5">
        <v>7.0</v>
      </c>
      <c r="AA19" s="5">
        <v>7.0</v>
      </c>
      <c r="AB19" s="5">
        <v>7.0</v>
      </c>
      <c r="AC19" s="5">
        <v>5.0</v>
      </c>
      <c r="AD19" s="5" t="s">
        <v>299</v>
      </c>
      <c r="AE19" s="5" t="s">
        <v>206</v>
      </c>
      <c r="AF19" s="5">
        <v>6.0</v>
      </c>
      <c r="AG19" s="5">
        <v>5.0</v>
      </c>
      <c r="AH19" s="5">
        <v>7.0</v>
      </c>
      <c r="AI19" s="5">
        <v>2.0</v>
      </c>
      <c r="AJ19" s="5">
        <f t="shared" si="2"/>
        <v>6</v>
      </c>
      <c r="AK19" s="5">
        <v>1.0</v>
      </c>
      <c r="AL19" s="5">
        <f t="shared" si="3"/>
        <v>7</v>
      </c>
      <c r="AM19" s="5">
        <v>3.0</v>
      </c>
      <c r="AN19" s="5">
        <f t="shared" si="4"/>
        <v>5</v>
      </c>
      <c r="AO19" s="5">
        <v>2.0</v>
      </c>
      <c r="AP19" s="5">
        <f t="shared" si="5"/>
        <v>6</v>
      </c>
      <c r="AQ19" s="5" t="s">
        <v>300</v>
      </c>
    </row>
    <row r="20">
      <c r="A20" s="8">
        <v>845.0</v>
      </c>
      <c r="B20" s="7">
        <v>45867.11944444444</v>
      </c>
      <c r="C20" s="5" t="s">
        <v>301</v>
      </c>
      <c r="D20" s="5" t="s">
        <v>284</v>
      </c>
      <c r="E20" s="5" t="s">
        <v>216</v>
      </c>
      <c r="F20" s="5">
        <v>3.0</v>
      </c>
      <c r="G20" s="5">
        <v>2.0</v>
      </c>
      <c r="H20" s="5" t="s">
        <v>199</v>
      </c>
      <c r="I20" s="5">
        <v>5.0</v>
      </c>
      <c r="J20" s="5">
        <v>3.0</v>
      </c>
      <c r="K20" s="5">
        <v>3.0</v>
      </c>
      <c r="L20" s="5">
        <v>3.0</v>
      </c>
      <c r="M20" s="5">
        <v>3.0</v>
      </c>
      <c r="N20" s="5">
        <v>6.0</v>
      </c>
      <c r="O20" s="5">
        <v>6.0</v>
      </c>
      <c r="P20" s="5">
        <v>6.0</v>
      </c>
      <c r="Q20" s="5">
        <v>2.0</v>
      </c>
      <c r="R20" s="5">
        <v>3.0</v>
      </c>
      <c r="S20" s="5">
        <v>6.0</v>
      </c>
      <c r="T20" s="5">
        <v>5.0</v>
      </c>
      <c r="U20" s="5">
        <f t="shared" si="1"/>
        <v>3</v>
      </c>
      <c r="V20" s="5" t="s">
        <v>302</v>
      </c>
      <c r="W20" s="5" t="s">
        <v>206</v>
      </c>
      <c r="X20" s="5">
        <v>5.0</v>
      </c>
      <c r="Y20" s="5">
        <v>6.0</v>
      </c>
      <c r="Z20" s="5">
        <v>6.0</v>
      </c>
      <c r="AA20" s="5">
        <v>6.0</v>
      </c>
      <c r="AB20" s="5">
        <v>5.0</v>
      </c>
      <c r="AC20" s="5">
        <v>5.0</v>
      </c>
      <c r="AD20" s="5" t="s">
        <v>303</v>
      </c>
      <c r="AE20" s="5" t="s">
        <v>206</v>
      </c>
      <c r="AF20" s="5">
        <v>6.0</v>
      </c>
      <c r="AG20" s="5">
        <v>6.0</v>
      </c>
      <c r="AH20" s="5">
        <v>3.0</v>
      </c>
      <c r="AI20" s="5">
        <v>2.0</v>
      </c>
      <c r="AJ20" s="5">
        <f t="shared" si="2"/>
        <v>6</v>
      </c>
      <c r="AK20" s="5">
        <v>2.0</v>
      </c>
      <c r="AL20" s="5">
        <f t="shared" si="3"/>
        <v>6</v>
      </c>
      <c r="AM20" s="5">
        <v>2.0</v>
      </c>
      <c r="AN20" s="5">
        <f t="shared" si="4"/>
        <v>6</v>
      </c>
      <c r="AO20" s="5">
        <v>1.0</v>
      </c>
      <c r="AP20" s="5">
        <f t="shared" si="5"/>
        <v>7</v>
      </c>
      <c r="AQ20" s="5" t="s">
        <v>304</v>
      </c>
    </row>
    <row r="21">
      <c r="A21" s="8">
        <v>341.0</v>
      </c>
      <c r="B21" s="7">
        <v>45867.12013888889</v>
      </c>
      <c r="C21" s="5" t="s">
        <v>305</v>
      </c>
      <c r="D21" s="5" t="s">
        <v>289</v>
      </c>
      <c r="E21" s="5" t="s">
        <v>263</v>
      </c>
      <c r="F21" s="5">
        <v>7.0</v>
      </c>
      <c r="G21" s="5">
        <v>5.0</v>
      </c>
      <c r="H21" s="5" t="s">
        <v>199</v>
      </c>
      <c r="I21" s="5">
        <v>7.0</v>
      </c>
      <c r="J21" s="5">
        <v>7.0</v>
      </c>
      <c r="K21" s="5">
        <v>7.0</v>
      </c>
      <c r="L21" s="5">
        <v>5.0</v>
      </c>
      <c r="M21" s="5">
        <v>7.0</v>
      </c>
      <c r="N21" s="5">
        <v>6.0</v>
      </c>
      <c r="O21" s="5">
        <v>6.0</v>
      </c>
      <c r="P21" s="5">
        <v>5.0</v>
      </c>
      <c r="Q21" s="5">
        <v>6.0</v>
      </c>
      <c r="R21" s="5">
        <v>4.0</v>
      </c>
      <c r="S21" s="5">
        <v>6.0</v>
      </c>
      <c r="T21" s="5">
        <v>2.0</v>
      </c>
      <c r="U21" s="5">
        <f t="shared" si="1"/>
        <v>6</v>
      </c>
      <c r="V21" s="5" t="s">
        <v>306</v>
      </c>
      <c r="W21" s="5" t="s">
        <v>206</v>
      </c>
      <c r="X21" s="5">
        <v>6.0</v>
      </c>
      <c r="Y21" s="5">
        <v>7.0</v>
      </c>
      <c r="Z21" s="5">
        <v>7.0</v>
      </c>
      <c r="AA21" s="5">
        <v>7.0</v>
      </c>
      <c r="AB21" s="5">
        <v>7.0</v>
      </c>
      <c r="AC21" s="5">
        <v>6.0</v>
      </c>
      <c r="AD21" s="5" t="s">
        <v>307</v>
      </c>
      <c r="AE21" s="5" t="s">
        <v>206</v>
      </c>
      <c r="AF21" s="5">
        <v>7.0</v>
      </c>
      <c r="AG21" s="5">
        <v>6.0</v>
      </c>
      <c r="AH21" s="5">
        <v>7.0</v>
      </c>
      <c r="AI21" s="5">
        <v>2.0</v>
      </c>
      <c r="AJ21" s="5">
        <f t="shared" si="2"/>
        <v>6</v>
      </c>
      <c r="AK21" s="5">
        <v>1.0</v>
      </c>
      <c r="AL21" s="5">
        <f t="shared" si="3"/>
        <v>7</v>
      </c>
      <c r="AM21" s="5">
        <v>1.0</v>
      </c>
      <c r="AN21" s="5">
        <f t="shared" si="4"/>
        <v>7</v>
      </c>
      <c r="AO21" s="5">
        <v>1.0</v>
      </c>
      <c r="AP21" s="5">
        <f t="shared" si="5"/>
        <v>7</v>
      </c>
      <c r="AQ21" s="5" t="s">
        <v>308</v>
      </c>
    </row>
    <row r="22">
      <c r="A22" s="8">
        <v>465.0</v>
      </c>
      <c r="B22" s="7">
        <v>45867.12847222222</v>
      </c>
      <c r="C22" s="5" t="s">
        <v>309</v>
      </c>
      <c r="D22" s="5" t="s">
        <v>289</v>
      </c>
      <c r="E22" s="5" t="s">
        <v>216</v>
      </c>
      <c r="F22" s="5">
        <v>7.0</v>
      </c>
      <c r="G22" s="5">
        <v>6.0</v>
      </c>
      <c r="H22" s="5" t="s">
        <v>199</v>
      </c>
      <c r="I22" s="5">
        <v>7.0</v>
      </c>
      <c r="J22" s="5">
        <v>7.0</v>
      </c>
      <c r="K22" s="5">
        <v>6.0</v>
      </c>
      <c r="L22" s="5">
        <v>7.0</v>
      </c>
      <c r="M22" s="5">
        <v>7.0</v>
      </c>
      <c r="N22" s="5">
        <v>7.0</v>
      </c>
      <c r="O22" s="5">
        <v>7.0</v>
      </c>
      <c r="P22" s="5">
        <v>7.0</v>
      </c>
      <c r="Q22" s="5">
        <v>6.0</v>
      </c>
      <c r="R22" s="5">
        <v>4.0</v>
      </c>
      <c r="S22" s="5">
        <v>7.0</v>
      </c>
      <c r="T22" s="5">
        <v>6.0</v>
      </c>
      <c r="U22" s="5">
        <f t="shared" si="1"/>
        <v>2</v>
      </c>
      <c r="V22" s="5" t="s">
        <v>310</v>
      </c>
      <c r="W22" s="5" t="s">
        <v>206</v>
      </c>
      <c r="X22" s="5">
        <v>7.0</v>
      </c>
      <c r="Y22" s="5">
        <v>6.0</v>
      </c>
      <c r="Z22" s="5">
        <v>6.0</v>
      </c>
      <c r="AA22" s="5">
        <v>6.0</v>
      </c>
      <c r="AB22" s="5">
        <v>7.0</v>
      </c>
      <c r="AC22" s="5">
        <v>6.0</v>
      </c>
      <c r="AD22" s="5" t="s">
        <v>311</v>
      </c>
      <c r="AE22" s="5" t="s">
        <v>206</v>
      </c>
      <c r="AF22" s="5">
        <v>6.0</v>
      </c>
      <c r="AG22" s="5">
        <v>7.0</v>
      </c>
      <c r="AH22" s="5">
        <v>7.0</v>
      </c>
      <c r="AI22" s="5">
        <v>1.0</v>
      </c>
      <c r="AJ22" s="5">
        <f t="shared" si="2"/>
        <v>7</v>
      </c>
      <c r="AK22" s="5">
        <v>1.0</v>
      </c>
      <c r="AL22" s="5">
        <f t="shared" si="3"/>
        <v>7</v>
      </c>
      <c r="AM22" s="5">
        <v>1.0</v>
      </c>
      <c r="AN22" s="5">
        <f t="shared" si="4"/>
        <v>7</v>
      </c>
      <c r="AO22" s="5">
        <v>1.0</v>
      </c>
      <c r="AP22" s="5">
        <f t="shared" si="5"/>
        <v>7</v>
      </c>
      <c r="AQ22" s="5" t="s">
        <v>312</v>
      </c>
    </row>
    <row r="23">
      <c r="A23" s="8">
        <v>559.0</v>
      </c>
      <c r="B23" s="7">
        <v>45867.131944444445</v>
      </c>
      <c r="C23" s="5" t="s">
        <v>313</v>
      </c>
      <c r="D23" s="5" t="s">
        <v>284</v>
      </c>
      <c r="E23" s="5" t="s">
        <v>197</v>
      </c>
      <c r="F23" s="5">
        <v>6.0</v>
      </c>
      <c r="G23" s="6">
        <v>4.0</v>
      </c>
      <c r="H23" s="5" t="s">
        <v>199</v>
      </c>
      <c r="I23" s="5">
        <v>5.0</v>
      </c>
      <c r="J23" s="5">
        <v>6.0</v>
      </c>
      <c r="K23" s="5">
        <v>2.0</v>
      </c>
      <c r="L23" s="5">
        <v>3.0</v>
      </c>
      <c r="M23" s="5">
        <v>2.0</v>
      </c>
      <c r="N23" s="5">
        <v>6.0</v>
      </c>
      <c r="O23" s="5">
        <v>6.0</v>
      </c>
      <c r="P23" s="5">
        <v>6.0</v>
      </c>
      <c r="Q23" s="5">
        <v>2.0</v>
      </c>
      <c r="R23" s="5">
        <v>2.0</v>
      </c>
      <c r="S23" s="5">
        <v>2.0</v>
      </c>
      <c r="T23" s="5">
        <v>5.0</v>
      </c>
      <c r="U23" s="5">
        <f t="shared" si="1"/>
        <v>3</v>
      </c>
      <c r="V23" s="5" t="s">
        <v>314</v>
      </c>
      <c r="W23" s="5" t="s">
        <v>206</v>
      </c>
      <c r="X23" s="5">
        <v>6.0</v>
      </c>
      <c r="Y23" s="5">
        <v>6.0</v>
      </c>
      <c r="Z23" s="5">
        <v>6.0</v>
      </c>
      <c r="AA23" s="5">
        <v>6.0</v>
      </c>
      <c r="AB23" s="5">
        <v>6.0</v>
      </c>
      <c r="AC23" s="5">
        <v>5.0</v>
      </c>
      <c r="AD23" s="5" t="s">
        <v>315</v>
      </c>
      <c r="AE23" s="5" t="s">
        <v>206</v>
      </c>
      <c r="AF23" s="5">
        <v>6.0</v>
      </c>
      <c r="AG23" s="5">
        <v>6.0</v>
      </c>
      <c r="AH23" s="5">
        <v>5.0</v>
      </c>
      <c r="AI23" s="5">
        <v>2.0</v>
      </c>
      <c r="AJ23" s="5">
        <f t="shared" si="2"/>
        <v>6</v>
      </c>
      <c r="AK23" s="5">
        <v>4.0</v>
      </c>
      <c r="AL23" s="5">
        <f t="shared" si="3"/>
        <v>4</v>
      </c>
      <c r="AM23" s="5">
        <v>5.0</v>
      </c>
      <c r="AN23" s="5">
        <f t="shared" si="4"/>
        <v>3</v>
      </c>
      <c r="AO23" s="5">
        <v>2.0</v>
      </c>
      <c r="AP23" s="5">
        <f t="shared" si="5"/>
        <v>6</v>
      </c>
      <c r="AQ23" s="5" t="s">
        <v>316</v>
      </c>
    </row>
    <row r="24">
      <c r="A24" s="8">
        <v>845.0</v>
      </c>
      <c r="B24" s="7">
        <v>45867.2125</v>
      </c>
      <c r="C24" s="5" t="s">
        <v>317</v>
      </c>
      <c r="D24" s="5" t="s">
        <v>318</v>
      </c>
      <c r="E24" s="5" t="s">
        <v>197</v>
      </c>
      <c r="F24" s="5">
        <v>3.0</v>
      </c>
      <c r="G24" s="5">
        <v>2.0</v>
      </c>
      <c r="H24" s="5" t="s">
        <v>199</v>
      </c>
      <c r="I24" s="5">
        <v>3.0</v>
      </c>
      <c r="J24" s="5">
        <v>5.0</v>
      </c>
      <c r="K24" s="5">
        <v>3.0</v>
      </c>
      <c r="L24" s="5">
        <v>4.0</v>
      </c>
      <c r="M24" s="5">
        <v>3.0</v>
      </c>
      <c r="N24" s="5">
        <v>5.0</v>
      </c>
      <c r="O24" s="5">
        <v>6.0</v>
      </c>
      <c r="P24" s="5">
        <v>4.0</v>
      </c>
      <c r="Q24" s="5">
        <v>2.0</v>
      </c>
      <c r="R24" s="5">
        <v>1.0</v>
      </c>
      <c r="S24" s="5">
        <v>4.0</v>
      </c>
      <c r="T24" s="5">
        <v>6.0</v>
      </c>
      <c r="U24" s="5">
        <f t="shared" si="1"/>
        <v>2</v>
      </c>
      <c r="V24" s="5" t="s">
        <v>319</v>
      </c>
      <c r="W24" s="5" t="s">
        <v>206</v>
      </c>
      <c r="X24" s="5">
        <v>3.0</v>
      </c>
      <c r="Y24" s="5">
        <v>5.0</v>
      </c>
      <c r="Z24" s="5">
        <v>5.0</v>
      </c>
      <c r="AA24" s="5">
        <v>6.0</v>
      </c>
      <c r="AB24" s="5">
        <v>5.0</v>
      </c>
      <c r="AC24" s="5">
        <v>6.0</v>
      </c>
      <c r="AD24" s="5" t="s">
        <v>320</v>
      </c>
      <c r="AE24" s="5" t="s">
        <v>206</v>
      </c>
      <c r="AF24" s="5">
        <v>5.0</v>
      </c>
      <c r="AG24" s="5">
        <v>6.0</v>
      </c>
      <c r="AH24" s="5">
        <v>6.0</v>
      </c>
      <c r="AI24" s="5">
        <v>1.0</v>
      </c>
      <c r="AJ24" s="5">
        <f t="shared" si="2"/>
        <v>7</v>
      </c>
      <c r="AK24" s="5">
        <v>1.0</v>
      </c>
      <c r="AL24" s="5">
        <f t="shared" si="3"/>
        <v>7</v>
      </c>
      <c r="AM24" s="5">
        <v>1.0</v>
      </c>
      <c r="AN24" s="5">
        <f t="shared" si="4"/>
        <v>7</v>
      </c>
      <c r="AO24" s="5">
        <v>1.0</v>
      </c>
      <c r="AP24" s="5">
        <f t="shared" si="5"/>
        <v>7</v>
      </c>
      <c r="AQ24" s="5" t="s">
        <v>321</v>
      </c>
    </row>
    <row r="25">
      <c r="A25" s="8">
        <v>353.0</v>
      </c>
      <c r="B25" s="7">
        <v>45867.22222222222</v>
      </c>
      <c r="C25" s="5" t="s">
        <v>322</v>
      </c>
      <c r="D25" s="5" t="s">
        <v>318</v>
      </c>
      <c r="E25" s="5" t="s">
        <v>211</v>
      </c>
      <c r="F25" s="5">
        <v>5.0</v>
      </c>
      <c r="G25" s="5">
        <v>4.0</v>
      </c>
      <c r="H25" s="5" t="s">
        <v>199</v>
      </c>
      <c r="I25" s="5">
        <v>6.0</v>
      </c>
      <c r="J25" s="5">
        <v>5.0</v>
      </c>
      <c r="K25" s="5">
        <v>3.0</v>
      </c>
      <c r="L25" s="5">
        <v>4.0</v>
      </c>
      <c r="M25" s="5">
        <v>4.0</v>
      </c>
      <c r="N25" s="5">
        <v>6.0</v>
      </c>
      <c r="O25" s="5">
        <v>6.0</v>
      </c>
      <c r="P25" s="5">
        <v>6.0</v>
      </c>
      <c r="Q25" s="5">
        <v>2.0</v>
      </c>
      <c r="R25" s="5">
        <v>3.0</v>
      </c>
      <c r="S25" s="5">
        <v>4.0</v>
      </c>
      <c r="T25" s="5">
        <v>5.0</v>
      </c>
      <c r="U25" s="5">
        <f t="shared" si="1"/>
        <v>3</v>
      </c>
      <c r="V25" s="5" t="s">
        <v>323</v>
      </c>
      <c r="W25" s="5" t="s">
        <v>206</v>
      </c>
      <c r="X25" s="5">
        <v>6.0</v>
      </c>
      <c r="Y25" s="5">
        <v>6.0</v>
      </c>
      <c r="Z25" s="5">
        <v>6.0</v>
      </c>
      <c r="AA25" s="5">
        <v>7.0</v>
      </c>
      <c r="AB25" s="5">
        <v>7.0</v>
      </c>
      <c r="AC25" s="5">
        <v>6.0</v>
      </c>
      <c r="AD25" s="5" t="s">
        <v>324</v>
      </c>
      <c r="AE25" s="5" t="s">
        <v>206</v>
      </c>
      <c r="AF25" s="5">
        <v>6.0</v>
      </c>
      <c r="AG25" s="5">
        <v>6.0</v>
      </c>
      <c r="AH25" s="5">
        <v>6.0</v>
      </c>
      <c r="AI25" s="5">
        <v>1.0</v>
      </c>
      <c r="AJ25" s="5">
        <f t="shared" si="2"/>
        <v>7</v>
      </c>
      <c r="AK25" s="5">
        <v>1.0</v>
      </c>
      <c r="AL25" s="5">
        <f t="shared" si="3"/>
        <v>7</v>
      </c>
      <c r="AM25" s="5">
        <v>1.0</v>
      </c>
      <c r="AN25" s="5">
        <f t="shared" si="4"/>
        <v>7</v>
      </c>
      <c r="AO25" s="5">
        <v>1.0</v>
      </c>
      <c r="AP25" s="5">
        <f t="shared" si="5"/>
        <v>7</v>
      </c>
      <c r="AQ25" s="5" t="s">
        <v>325</v>
      </c>
    </row>
    <row r="26">
      <c r="A26" s="8">
        <v>560.0</v>
      </c>
      <c r="B26" s="7">
        <v>45867.23125</v>
      </c>
      <c r="C26" s="5" t="s">
        <v>326</v>
      </c>
      <c r="D26" s="5" t="s">
        <v>318</v>
      </c>
      <c r="E26" s="5" t="s">
        <v>216</v>
      </c>
      <c r="F26" s="5">
        <v>4.0</v>
      </c>
      <c r="G26" s="5">
        <v>3.0</v>
      </c>
      <c r="H26" s="5" t="s">
        <v>199</v>
      </c>
      <c r="I26" s="5">
        <v>6.0</v>
      </c>
      <c r="J26" s="5">
        <v>6.0</v>
      </c>
      <c r="K26" s="5">
        <v>3.0</v>
      </c>
      <c r="L26" s="5">
        <v>3.0</v>
      </c>
      <c r="M26" s="5">
        <v>5.0</v>
      </c>
      <c r="N26" s="5">
        <v>6.0</v>
      </c>
      <c r="O26" s="5">
        <v>6.0</v>
      </c>
      <c r="P26" s="5">
        <v>5.0</v>
      </c>
      <c r="Q26" s="5">
        <v>3.0</v>
      </c>
      <c r="R26" s="5">
        <v>4.0</v>
      </c>
      <c r="S26" s="5">
        <v>3.0</v>
      </c>
      <c r="T26" s="5">
        <v>5.0</v>
      </c>
      <c r="U26" s="5">
        <f t="shared" si="1"/>
        <v>3</v>
      </c>
      <c r="V26" s="5" t="s">
        <v>327</v>
      </c>
      <c r="W26" s="5" t="s">
        <v>206</v>
      </c>
      <c r="X26" s="5">
        <v>6.0</v>
      </c>
      <c r="Y26" s="5">
        <v>7.0</v>
      </c>
      <c r="Z26" s="5">
        <v>6.0</v>
      </c>
      <c r="AA26" s="5">
        <v>7.0</v>
      </c>
      <c r="AB26" s="5">
        <v>7.0</v>
      </c>
      <c r="AC26" s="5">
        <v>7.0</v>
      </c>
      <c r="AD26" s="5" t="s">
        <v>328</v>
      </c>
      <c r="AE26" s="5" t="s">
        <v>206</v>
      </c>
      <c r="AF26" s="5">
        <v>6.0</v>
      </c>
      <c r="AG26" s="5">
        <v>7.0</v>
      </c>
      <c r="AH26" s="5">
        <v>5.0</v>
      </c>
      <c r="AI26" s="5">
        <v>1.0</v>
      </c>
      <c r="AJ26" s="5">
        <f t="shared" si="2"/>
        <v>7</v>
      </c>
      <c r="AK26" s="5">
        <v>1.0</v>
      </c>
      <c r="AL26" s="5">
        <f t="shared" si="3"/>
        <v>7</v>
      </c>
      <c r="AM26" s="5">
        <v>1.0</v>
      </c>
      <c r="AN26" s="5">
        <f t="shared" si="4"/>
        <v>7</v>
      </c>
      <c r="AO26" s="5">
        <v>1.0</v>
      </c>
      <c r="AP26" s="5">
        <f t="shared" si="5"/>
        <v>7</v>
      </c>
      <c r="AQ26" s="5" t="s">
        <v>329</v>
      </c>
    </row>
    <row r="27">
      <c r="A27" s="8">
        <v>990.0</v>
      </c>
      <c r="B27" s="7">
        <v>45867.240277777775</v>
      </c>
      <c r="C27" s="5" t="s">
        <v>330</v>
      </c>
      <c r="D27" s="5" t="s">
        <v>331</v>
      </c>
      <c r="E27" s="5" t="s">
        <v>197</v>
      </c>
      <c r="F27" s="5">
        <v>6.0</v>
      </c>
      <c r="G27" s="5">
        <v>6.0</v>
      </c>
      <c r="H27" s="5" t="s">
        <v>199</v>
      </c>
      <c r="I27" s="5">
        <v>6.0</v>
      </c>
      <c r="J27" s="5">
        <v>7.0</v>
      </c>
      <c r="K27" s="5">
        <v>5.0</v>
      </c>
      <c r="L27" s="5">
        <v>6.0</v>
      </c>
      <c r="M27" s="5">
        <v>6.0</v>
      </c>
      <c r="N27" s="5">
        <v>5.0</v>
      </c>
      <c r="O27" s="5">
        <v>5.0</v>
      </c>
      <c r="P27" s="5">
        <v>7.0</v>
      </c>
      <c r="Q27" s="5">
        <v>3.0</v>
      </c>
      <c r="R27" s="5">
        <v>5.0</v>
      </c>
      <c r="S27" s="5">
        <v>7.0</v>
      </c>
      <c r="T27" s="5">
        <v>2.0</v>
      </c>
      <c r="U27" s="5">
        <f t="shared" si="1"/>
        <v>6</v>
      </c>
      <c r="V27" s="5" t="s">
        <v>332</v>
      </c>
      <c r="W27" s="5" t="s">
        <v>206</v>
      </c>
      <c r="X27" s="5">
        <v>5.0</v>
      </c>
      <c r="Y27" s="5">
        <v>7.0</v>
      </c>
      <c r="Z27" s="5">
        <v>7.0</v>
      </c>
      <c r="AA27" s="5">
        <v>7.0</v>
      </c>
      <c r="AB27" s="5">
        <v>7.0</v>
      </c>
      <c r="AC27" s="5">
        <v>4.0</v>
      </c>
      <c r="AD27" s="5" t="s">
        <v>333</v>
      </c>
      <c r="AE27" s="5" t="s">
        <v>206</v>
      </c>
      <c r="AF27" s="5">
        <v>7.0</v>
      </c>
      <c r="AG27" s="5">
        <v>6.0</v>
      </c>
      <c r="AH27" s="5">
        <v>7.0</v>
      </c>
      <c r="AI27" s="5">
        <v>2.0</v>
      </c>
      <c r="AJ27" s="5">
        <f t="shared" si="2"/>
        <v>6</v>
      </c>
      <c r="AK27" s="5">
        <v>1.0</v>
      </c>
      <c r="AL27" s="5">
        <f t="shared" si="3"/>
        <v>7</v>
      </c>
      <c r="AM27" s="5">
        <v>2.0</v>
      </c>
      <c r="AN27" s="5">
        <f t="shared" si="4"/>
        <v>6</v>
      </c>
      <c r="AO27" s="5">
        <v>1.0</v>
      </c>
      <c r="AP27" s="5">
        <f t="shared" si="5"/>
        <v>7</v>
      </c>
      <c r="AQ27" s="5" t="s">
        <v>334</v>
      </c>
    </row>
    <row r="28">
      <c r="A28" s="8">
        <v>934.0</v>
      </c>
      <c r="B28" s="7">
        <v>45867.25208333333</v>
      </c>
      <c r="C28" s="5" t="s">
        <v>335</v>
      </c>
      <c r="D28" s="5" t="s">
        <v>331</v>
      </c>
      <c r="E28" s="5" t="s">
        <v>211</v>
      </c>
      <c r="F28" s="5">
        <v>5.0</v>
      </c>
      <c r="G28" s="5">
        <v>6.0</v>
      </c>
      <c r="H28" s="5" t="s">
        <v>199</v>
      </c>
      <c r="I28" s="5">
        <v>6.0</v>
      </c>
      <c r="J28" s="5">
        <v>6.0</v>
      </c>
      <c r="K28" s="5">
        <v>6.0</v>
      </c>
      <c r="L28" s="5">
        <v>6.0</v>
      </c>
      <c r="M28" s="5">
        <v>7.0</v>
      </c>
      <c r="N28" s="5">
        <v>6.0</v>
      </c>
      <c r="O28" s="5">
        <v>5.0</v>
      </c>
      <c r="P28" s="5">
        <v>7.0</v>
      </c>
      <c r="Q28" s="5">
        <v>6.0</v>
      </c>
      <c r="R28" s="5">
        <v>3.0</v>
      </c>
      <c r="S28" s="5">
        <v>6.0</v>
      </c>
      <c r="T28" s="5">
        <v>2.0</v>
      </c>
      <c r="U28" s="5">
        <f t="shared" si="1"/>
        <v>6</v>
      </c>
      <c r="V28" s="5" t="s">
        <v>336</v>
      </c>
      <c r="W28" s="5" t="s">
        <v>206</v>
      </c>
      <c r="X28" s="5">
        <v>6.0</v>
      </c>
      <c r="Y28" s="5">
        <v>6.0</v>
      </c>
      <c r="Z28" s="5">
        <v>7.0</v>
      </c>
      <c r="AA28" s="5">
        <v>7.0</v>
      </c>
      <c r="AB28" s="5">
        <v>6.0</v>
      </c>
      <c r="AC28" s="5">
        <v>3.0</v>
      </c>
      <c r="AD28" s="5" t="s">
        <v>337</v>
      </c>
      <c r="AE28" s="5" t="s">
        <v>206</v>
      </c>
      <c r="AF28" s="5">
        <v>7.0</v>
      </c>
      <c r="AG28" s="5">
        <v>7.0</v>
      </c>
      <c r="AH28" s="5">
        <v>7.0</v>
      </c>
      <c r="AI28" s="5">
        <v>1.0</v>
      </c>
      <c r="AJ28" s="5">
        <f t="shared" si="2"/>
        <v>7</v>
      </c>
      <c r="AK28" s="5">
        <v>1.0</v>
      </c>
      <c r="AL28" s="5">
        <f t="shared" si="3"/>
        <v>7</v>
      </c>
      <c r="AM28" s="5">
        <v>1.0</v>
      </c>
      <c r="AN28" s="5">
        <f t="shared" si="4"/>
        <v>7</v>
      </c>
      <c r="AO28" s="5">
        <v>1.0</v>
      </c>
      <c r="AP28" s="5">
        <f t="shared" si="5"/>
        <v>7</v>
      </c>
      <c r="AQ28" s="5" t="s">
        <v>338</v>
      </c>
    </row>
    <row r="29">
      <c r="A29" s="8">
        <v>468.0</v>
      </c>
      <c r="B29" s="7">
        <v>45867.25486111111</v>
      </c>
      <c r="C29" s="5" t="s">
        <v>339</v>
      </c>
      <c r="D29" s="5" t="s">
        <v>318</v>
      </c>
      <c r="E29" s="5" t="s">
        <v>263</v>
      </c>
      <c r="F29" s="5">
        <v>5.0</v>
      </c>
      <c r="G29" s="5">
        <v>4.0</v>
      </c>
      <c r="H29" s="5" t="s">
        <v>199</v>
      </c>
      <c r="I29" s="5">
        <v>5.0</v>
      </c>
      <c r="J29" s="5">
        <v>6.0</v>
      </c>
      <c r="K29" s="5">
        <v>4.0</v>
      </c>
      <c r="L29" s="5">
        <v>2.0</v>
      </c>
      <c r="M29" s="5">
        <v>4.0</v>
      </c>
      <c r="N29" s="5">
        <v>6.0</v>
      </c>
      <c r="O29" s="5">
        <v>6.0</v>
      </c>
      <c r="P29" s="5">
        <v>5.0</v>
      </c>
      <c r="Q29" s="5">
        <v>4.0</v>
      </c>
      <c r="R29" s="5">
        <v>3.0</v>
      </c>
      <c r="S29" s="5">
        <v>5.0</v>
      </c>
      <c r="T29" s="5">
        <v>5.0</v>
      </c>
      <c r="U29" s="5">
        <f t="shared" si="1"/>
        <v>3</v>
      </c>
      <c r="V29" s="5" t="s">
        <v>340</v>
      </c>
      <c r="W29" s="5" t="s">
        <v>206</v>
      </c>
      <c r="X29" s="5">
        <v>5.0</v>
      </c>
      <c r="Y29" s="5">
        <v>7.0</v>
      </c>
      <c r="Z29" s="5">
        <v>6.0</v>
      </c>
      <c r="AA29" s="5">
        <v>7.0</v>
      </c>
      <c r="AB29" s="5">
        <v>7.0</v>
      </c>
      <c r="AC29" s="5">
        <v>7.0</v>
      </c>
      <c r="AD29" s="5" t="s">
        <v>341</v>
      </c>
      <c r="AE29" s="5" t="s">
        <v>206</v>
      </c>
      <c r="AF29" s="5">
        <v>6.0</v>
      </c>
      <c r="AG29" s="5">
        <v>3.0</v>
      </c>
      <c r="AH29" s="5">
        <v>5.0</v>
      </c>
      <c r="AI29" s="5">
        <v>4.0</v>
      </c>
      <c r="AJ29" s="5">
        <f t="shared" si="2"/>
        <v>4</v>
      </c>
      <c r="AK29" s="5">
        <v>1.0</v>
      </c>
      <c r="AL29" s="5">
        <f t="shared" si="3"/>
        <v>7</v>
      </c>
      <c r="AM29" s="5">
        <v>5.0</v>
      </c>
      <c r="AN29" s="5">
        <f t="shared" si="4"/>
        <v>3</v>
      </c>
      <c r="AO29" s="5">
        <v>3.0</v>
      </c>
      <c r="AP29" s="5">
        <f t="shared" si="5"/>
        <v>5</v>
      </c>
      <c r="AQ29" s="5" t="s">
        <v>342</v>
      </c>
    </row>
    <row r="30">
      <c r="A30" s="8">
        <v>4924.0</v>
      </c>
      <c r="B30" s="7">
        <v>45867.26388888889</v>
      </c>
      <c r="C30" s="5" t="s">
        <v>343</v>
      </c>
      <c r="D30" s="5" t="s">
        <v>331</v>
      </c>
      <c r="E30" s="5" t="s">
        <v>216</v>
      </c>
      <c r="F30" s="5">
        <v>6.0</v>
      </c>
      <c r="G30" s="5">
        <v>6.0</v>
      </c>
      <c r="H30" s="5" t="s">
        <v>199</v>
      </c>
      <c r="I30" s="5">
        <v>6.0</v>
      </c>
      <c r="J30" s="5">
        <v>7.0</v>
      </c>
      <c r="K30" s="5">
        <v>6.0</v>
      </c>
      <c r="L30" s="5">
        <v>6.0</v>
      </c>
      <c r="M30" s="5">
        <v>6.0</v>
      </c>
      <c r="N30" s="5">
        <v>6.0</v>
      </c>
      <c r="O30" s="5">
        <v>5.0</v>
      </c>
      <c r="P30" s="5">
        <v>6.0</v>
      </c>
      <c r="Q30" s="5">
        <v>6.0</v>
      </c>
      <c r="R30" s="5">
        <v>3.0</v>
      </c>
      <c r="S30" s="5">
        <v>6.0</v>
      </c>
      <c r="T30" s="5">
        <v>5.0</v>
      </c>
      <c r="U30" s="5">
        <f t="shared" si="1"/>
        <v>3</v>
      </c>
      <c r="V30" s="5" t="s">
        <v>344</v>
      </c>
      <c r="W30" s="5" t="s">
        <v>206</v>
      </c>
      <c r="X30" s="5">
        <v>6.0</v>
      </c>
      <c r="Y30" s="5">
        <v>6.0</v>
      </c>
      <c r="Z30" s="5">
        <v>6.0</v>
      </c>
      <c r="AA30" s="5">
        <v>6.0</v>
      </c>
      <c r="AB30" s="5">
        <v>6.0</v>
      </c>
      <c r="AC30" s="5">
        <v>6.0</v>
      </c>
      <c r="AD30" s="5" t="s">
        <v>345</v>
      </c>
      <c r="AE30" s="5" t="s">
        <v>206</v>
      </c>
      <c r="AF30" s="5">
        <v>6.0</v>
      </c>
      <c r="AG30" s="5">
        <v>7.0</v>
      </c>
      <c r="AH30" s="5">
        <v>6.0</v>
      </c>
      <c r="AI30" s="5">
        <v>1.0</v>
      </c>
      <c r="AJ30" s="5">
        <f t="shared" si="2"/>
        <v>7</v>
      </c>
      <c r="AK30" s="5">
        <v>1.0</v>
      </c>
      <c r="AL30" s="5">
        <f t="shared" si="3"/>
        <v>7</v>
      </c>
      <c r="AM30" s="5">
        <v>1.0</v>
      </c>
      <c r="AN30" s="5">
        <f t="shared" si="4"/>
        <v>7</v>
      </c>
      <c r="AO30" s="5">
        <v>1.0</v>
      </c>
      <c r="AP30" s="5">
        <f t="shared" si="5"/>
        <v>7</v>
      </c>
      <c r="AQ30" s="5" t="s">
        <v>346</v>
      </c>
    </row>
    <row r="31">
      <c r="A31" s="8">
        <v>764.0</v>
      </c>
      <c r="B31" s="7">
        <v>45867.27569444444</v>
      </c>
      <c r="C31" s="5" t="s">
        <v>348</v>
      </c>
      <c r="D31" s="5" t="s">
        <v>331</v>
      </c>
      <c r="E31" s="5" t="s">
        <v>263</v>
      </c>
      <c r="F31" s="5">
        <v>7.0</v>
      </c>
      <c r="G31" s="5">
        <v>6.0</v>
      </c>
      <c r="H31" s="5" t="s">
        <v>199</v>
      </c>
      <c r="I31" s="5">
        <v>6.0</v>
      </c>
      <c r="J31" s="5">
        <v>6.0</v>
      </c>
      <c r="K31" s="5">
        <v>7.0</v>
      </c>
      <c r="L31" s="5">
        <v>6.0</v>
      </c>
      <c r="M31" s="5">
        <v>7.0</v>
      </c>
      <c r="N31" s="5">
        <v>6.0</v>
      </c>
      <c r="O31" s="5">
        <v>6.0</v>
      </c>
      <c r="P31" s="5">
        <v>5.0</v>
      </c>
      <c r="Q31" s="5">
        <v>6.0</v>
      </c>
      <c r="R31" s="5">
        <v>2.0</v>
      </c>
      <c r="S31" s="5">
        <v>6.0</v>
      </c>
      <c r="T31" s="5">
        <v>2.0</v>
      </c>
      <c r="U31" s="5">
        <f t="shared" si="1"/>
        <v>6</v>
      </c>
      <c r="V31" s="5" t="s">
        <v>349</v>
      </c>
      <c r="W31" s="5" t="s">
        <v>206</v>
      </c>
      <c r="X31" s="5">
        <v>5.0</v>
      </c>
      <c r="Y31" s="5">
        <v>7.0</v>
      </c>
      <c r="Z31" s="5">
        <v>6.0</v>
      </c>
      <c r="AA31" s="5">
        <v>5.0</v>
      </c>
      <c r="AB31" s="5">
        <v>6.0</v>
      </c>
      <c r="AC31" s="5">
        <v>6.0</v>
      </c>
      <c r="AD31" s="5" t="s">
        <v>350</v>
      </c>
      <c r="AE31" s="5" t="s">
        <v>206</v>
      </c>
      <c r="AF31" s="5">
        <v>6.0</v>
      </c>
      <c r="AG31" s="5">
        <v>7.0</v>
      </c>
      <c r="AH31" s="5">
        <v>7.0</v>
      </c>
      <c r="AI31" s="5">
        <v>2.0</v>
      </c>
      <c r="AJ31" s="5">
        <f t="shared" si="2"/>
        <v>6</v>
      </c>
      <c r="AK31" s="5">
        <v>3.0</v>
      </c>
      <c r="AL31" s="5">
        <f t="shared" si="3"/>
        <v>5</v>
      </c>
      <c r="AM31" s="5">
        <v>2.0</v>
      </c>
      <c r="AN31" s="5">
        <f t="shared" si="4"/>
        <v>6</v>
      </c>
      <c r="AO31" s="5">
        <v>1.0</v>
      </c>
      <c r="AP31" s="5">
        <f t="shared" si="5"/>
        <v>7</v>
      </c>
      <c r="AQ31" s="5" t="s">
        <v>351</v>
      </c>
    </row>
    <row r="32">
      <c r="A32" s="8">
        <v>1145.0</v>
      </c>
      <c r="B32" s="7">
        <v>45867.282638888886</v>
      </c>
      <c r="C32" s="5" t="s">
        <v>352</v>
      </c>
      <c r="D32" s="5" t="s">
        <v>353</v>
      </c>
      <c r="E32" s="5" t="s">
        <v>197</v>
      </c>
      <c r="F32" s="5">
        <v>2.0</v>
      </c>
      <c r="G32" s="5">
        <v>1.0</v>
      </c>
      <c r="H32" s="5" t="s">
        <v>199</v>
      </c>
      <c r="I32" s="5">
        <v>2.0</v>
      </c>
      <c r="J32" s="5">
        <v>5.0</v>
      </c>
      <c r="K32" s="5">
        <v>1.0</v>
      </c>
      <c r="L32" s="5">
        <v>4.0</v>
      </c>
      <c r="M32" s="5">
        <v>3.0</v>
      </c>
      <c r="N32" s="5">
        <v>2.0</v>
      </c>
      <c r="O32" s="5">
        <v>4.0</v>
      </c>
      <c r="P32" s="5">
        <v>3.0</v>
      </c>
      <c r="Q32" s="5">
        <v>1.0</v>
      </c>
      <c r="R32" s="5">
        <v>1.0</v>
      </c>
      <c r="S32" s="5">
        <v>3.0</v>
      </c>
      <c r="T32" s="5">
        <v>7.0</v>
      </c>
      <c r="U32" s="5">
        <f t="shared" si="1"/>
        <v>1</v>
      </c>
      <c r="V32" s="5" t="s">
        <v>354</v>
      </c>
      <c r="W32" s="5" t="s">
        <v>206</v>
      </c>
      <c r="X32" s="5">
        <v>4.0</v>
      </c>
      <c r="Y32" s="5">
        <v>3.0</v>
      </c>
      <c r="Z32" s="5">
        <v>5.0</v>
      </c>
      <c r="AA32" s="5">
        <v>5.0</v>
      </c>
      <c r="AB32" s="5">
        <v>4.0</v>
      </c>
      <c r="AC32" s="5">
        <v>7.0</v>
      </c>
      <c r="AD32" s="5" t="s">
        <v>355</v>
      </c>
      <c r="AE32" s="5" t="s">
        <v>206</v>
      </c>
      <c r="AF32" s="5">
        <v>4.0</v>
      </c>
      <c r="AG32" s="5">
        <v>5.0</v>
      </c>
      <c r="AH32" s="5">
        <v>5.0</v>
      </c>
      <c r="AI32" s="5">
        <v>3.0</v>
      </c>
      <c r="AJ32" s="5">
        <f t="shared" si="2"/>
        <v>5</v>
      </c>
      <c r="AK32" s="5">
        <v>2.0</v>
      </c>
      <c r="AL32" s="5">
        <f t="shared" si="3"/>
        <v>6</v>
      </c>
      <c r="AM32" s="5">
        <v>5.0</v>
      </c>
      <c r="AN32" s="5">
        <f t="shared" si="4"/>
        <v>3</v>
      </c>
      <c r="AO32" s="5">
        <v>1.0</v>
      </c>
      <c r="AP32" s="5">
        <f t="shared" si="5"/>
        <v>7</v>
      </c>
      <c r="AQ32" s="5" t="s">
        <v>356</v>
      </c>
    </row>
    <row r="33">
      <c r="A33" s="8">
        <v>418.0</v>
      </c>
      <c r="B33" s="7">
        <v>45867.29375</v>
      </c>
      <c r="C33" s="5" t="s">
        <v>357</v>
      </c>
      <c r="D33" s="5" t="s">
        <v>353</v>
      </c>
      <c r="E33" s="5" t="s">
        <v>263</v>
      </c>
      <c r="F33" s="5">
        <v>2.0</v>
      </c>
      <c r="G33" s="5">
        <v>4.0</v>
      </c>
      <c r="H33" s="5" t="s">
        <v>199</v>
      </c>
      <c r="I33" s="5">
        <v>3.0</v>
      </c>
      <c r="J33" s="5">
        <v>1.0</v>
      </c>
      <c r="K33" s="5">
        <v>1.0</v>
      </c>
      <c r="L33" s="5">
        <v>3.0</v>
      </c>
      <c r="M33" s="5">
        <v>3.0</v>
      </c>
      <c r="N33" s="5">
        <v>6.0</v>
      </c>
      <c r="O33" s="5">
        <v>6.0</v>
      </c>
      <c r="P33" s="5">
        <v>6.0</v>
      </c>
      <c r="Q33" s="5">
        <v>2.0</v>
      </c>
      <c r="R33" s="5">
        <v>1.0</v>
      </c>
      <c r="S33" s="5">
        <v>2.0</v>
      </c>
      <c r="T33" s="5">
        <v>7.0</v>
      </c>
      <c r="U33" s="5">
        <f t="shared" si="1"/>
        <v>1</v>
      </c>
      <c r="V33" s="11" t="s">
        <v>358</v>
      </c>
      <c r="W33" s="5" t="s">
        <v>206</v>
      </c>
      <c r="X33" s="5">
        <v>4.0</v>
      </c>
      <c r="Y33" s="5">
        <v>5.0</v>
      </c>
      <c r="Z33" s="5">
        <v>6.0</v>
      </c>
      <c r="AA33" s="5">
        <v>3.0</v>
      </c>
      <c r="AB33" s="5">
        <v>7.0</v>
      </c>
      <c r="AC33" s="5">
        <v>5.0</v>
      </c>
      <c r="AD33" s="5" t="s">
        <v>359</v>
      </c>
      <c r="AE33" s="5" t="s">
        <v>206</v>
      </c>
      <c r="AF33" s="5">
        <v>5.0</v>
      </c>
      <c r="AG33" s="5">
        <v>6.0</v>
      </c>
      <c r="AH33" s="5">
        <v>3.0</v>
      </c>
      <c r="AI33" s="5">
        <v>3.0</v>
      </c>
      <c r="AJ33" s="5">
        <f t="shared" si="2"/>
        <v>5</v>
      </c>
      <c r="AK33" s="5">
        <v>3.0</v>
      </c>
      <c r="AL33" s="5">
        <f t="shared" si="3"/>
        <v>5</v>
      </c>
      <c r="AM33" s="5">
        <v>5.0</v>
      </c>
      <c r="AN33" s="5">
        <f t="shared" si="4"/>
        <v>3</v>
      </c>
      <c r="AO33" s="5">
        <v>3.0</v>
      </c>
      <c r="AP33" s="5">
        <f t="shared" si="5"/>
        <v>5</v>
      </c>
      <c r="AQ33" s="5" t="s">
        <v>360</v>
      </c>
    </row>
    <row r="34">
      <c r="A34" s="8">
        <v>1716.0</v>
      </c>
      <c r="B34" s="7">
        <v>45867.29375</v>
      </c>
      <c r="C34" s="5" t="s">
        <v>361</v>
      </c>
      <c r="D34" s="5" t="s">
        <v>362</v>
      </c>
      <c r="E34" s="5" t="s">
        <v>216</v>
      </c>
      <c r="F34" s="5">
        <v>5.0</v>
      </c>
      <c r="G34" s="5">
        <v>7.0</v>
      </c>
      <c r="H34" s="5" t="s">
        <v>199</v>
      </c>
      <c r="I34" s="5">
        <v>6.0</v>
      </c>
      <c r="J34" s="5">
        <v>7.0</v>
      </c>
      <c r="K34" s="5">
        <v>3.0</v>
      </c>
      <c r="L34" s="5">
        <v>6.0</v>
      </c>
      <c r="M34" s="5">
        <v>7.0</v>
      </c>
      <c r="N34" s="5">
        <v>7.0</v>
      </c>
      <c r="O34" s="5">
        <v>7.0</v>
      </c>
      <c r="P34" s="5">
        <v>7.0</v>
      </c>
      <c r="Q34" s="5">
        <v>2.0</v>
      </c>
      <c r="R34" s="5">
        <v>5.0</v>
      </c>
      <c r="S34" s="5">
        <v>5.0</v>
      </c>
      <c r="T34" s="5">
        <v>4.0</v>
      </c>
      <c r="U34" s="5">
        <f t="shared" si="1"/>
        <v>4</v>
      </c>
      <c r="V34" s="11" t="s">
        <v>363</v>
      </c>
      <c r="W34" s="5" t="s">
        <v>206</v>
      </c>
      <c r="X34" s="5">
        <v>6.0</v>
      </c>
      <c r="Y34" s="5">
        <v>6.0</v>
      </c>
      <c r="Z34" s="5">
        <v>7.0</v>
      </c>
      <c r="AA34" s="5">
        <v>7.0</v>
      </c>
      <c r="AB34" s="5">
        <v>7.0</v>
      </c>
      <c r="AC34" s="5">
        <v>7.0</v>
      </c>
      <c r="AD34" s="5" t="s">
        <v>364</v>
      </c>
      <c r="AE34" s="5" t="s">
        <v>206</v>
      </c>
      <c r="AF34" s="5">
        <v>7.0</v>
      </c>
      <c r="AG34" s="5">
        <v>6.0</v>
      </c>
      <c r="AH34" s="5">
        <v>7.0</v>
      </c>
      <c r="AI34" s="5">
        <v>1.0</v>
      </c>
      <c r="AJ34" s="5">
        <f t="shared" si="2"/>
        <v>7</v>
      </c>
      <c r="AK34" s="5">
        <v>1.0</v>
      </c>
      <c r="AL34" s="5">
        <f t="shared" si="3"/>
        <v>7</v>
      </c>
      <c r="AM34" s="5">
        <v>1.0</v>
      </c>
      <c r="AN34" s="5">
        <f t="shared" si="4"/>
        <v>7</v>
      </c>
      <c r="AO34" s="5">
        <v>1.0</v>
      </c>
      <c r="AP34" s="5">
        <f t="shared" si="5"/>
        <v>7</v>
      </c>
      <c r="AQ34" s="11" t="s">
        <v>365</v>
      </c>
    </row>
    <row r="35">
      <c r="A35" s="8">
        <v>1001.0</v>
      </c>
      <c r="B35" s="7">
        <v>45867.305555555555</v>
      </c>
      <c r="C35" s="5" t="s">
        <v>366</v>
      </c>
      <c r="D35" s="5" t="s">
        <v>353</v>
      </c>
      <c r="E35" s="5" t="s">
        <v>216</v>
      </c>
      <c r="F35" s="5">
        <v>4.0</v>
      </c>
      <c r="G35" s="5">
        <v>2.0</v>
      </c>
      <c r="H35" s="5" t="s">
        <v>199</v>
      </c>
      <c r="I35" s="5">
        <v>4.0</v>
      </c>
      <c r="J35" s="5">
        <v>2.0</v>
      </c>
      <c r="K35" s="5">
        <v>1.0</v>
      </c>
      <c r="L35" s="5">
        <v>3.0</v>
      </c>
      <c r="M35" s="5">
        <v>6.0</v>
      </c>
      <c r="N35" s="5">
        <v>3.0</v>
      </c>
      <c r="O35" s="5">
        <v>6.0</v>
      </c>
      <c r="P35" s="5">
        <v>6.0</v>
      </c>
      <c r="Q35" s="5">
        <v>1.0</v>
      </c>
      <c r="R35" s="5">
        <v>1.0</v>
      </c>
      <c r="S35" s="5">
        <v>5.0</v>
      </c>
      <c r="T35" s="5">
        <v>7.0</v>
      </c>
      <c r="U35" s="5">
        <f t="shared" si="1"/>
        <v>1</v>
      </c>
      <c r="V35" s="5" t="s">
        <v>367</v>
      </c>
      <c r="W35" s="5" t="s">
        <v>206</v>
      </c>
      <c r="X35" s="5">
        <v>6.0</v>
      </c>
      <c r="Y35" s="5">
        <v>4.0</v>
      </c>
      <c r="Z35" s="5">
        <v>5.0</v>
      </c>
      <c r="AA35" s="5">
        <v>6.0</v>
      </c>
      <c r="AB35" s="5">
        <v>6.0</v>
      </c>
      <c r="AC35" s="5">
        <v>4.0</v>
      </c>
      <c r="AD35" s="5" t="s">
        <v>368</v>
      </c>
      <c r="AE35" s="5" t="s">
        <v>206</v>
      </c>
      <c r="AF35" s="5">
        <v>4.0</v>
      </c>
      <c r="AG35" s="5">
        <v>6.0</v>
      </c>
      <c r="AH35" s="5">
        <v>5.0</v>
      </c>
      <c r="AI35" s="5">
        <v>1.0</v>
      </c>
      <c r="AJ35" s="5">
        <f t="shared" si="2"/>
        <v>7</v>
      </c>
      <c r="AK35" s="5">
        <v>1.0</v>
      </c>
      <c r="AL35" s="5">
        <f t="shared" si="3"/>
        <v>7</v>
      </c>
      <c r="AM35" s="5">
        <v>1.0</v>
      </c>
      <c r="AN35" s="5">
        <f t="shared" si="4"/>
        <v>7</v>
      </c>
      <c r="AO35" s="5">
        <v>1.0</v>
      </c>
      <c r="AP35" s="5">
        <f t="shared" si="5"/>
        <v>7</v>
      </c>
      <c r="AQ35" s="5" t="s">
        <v>369</v>
      </c>
    </row>
    <row r="36">
      <c r="A36" s="8">
        <v>594.0</v>
      </c>
      <c r="B36" s="7">
        <v>45867.31458333333</v>
      </c>
      <c r="C36" s="5" t="s">
        <v>370</v>
      </c>
      <c r="D36" s="5" t="s">
        <v>353</v>
      </c>
      <c r="E36" s="5" t="s">
        <v>211</v>
      </c>
      <c r="F36" s="5">
        <v>5.0</v>
      </c>
      <c r="G36" s="5">
        <v>1.0</v>
      </c>
      <c r="H36" s="5" t="s">
        <v>199</v>
      </c>
      <c r="I36" s="5">
        <v>1.0</v>
      </c>
      <c r="J36" s="5">
        <v>5.0</v>
      </c>
      <c r="K36" s="5">
        <v>3.0</v>
      </c>
      <c r="L36" s="5">
        <v>2.0</v>
      </c>
      <c r="M36" s="5">
        <v>6.0</v>
      </c>
      <c r="N36" s="5">
        <v>4.0</v>
      </c>
      <c r="O36" s="5">
        <v>5.0</v>
      </c>
      <c r="P36" s="5">
        <v>5.0</v>
      </c>
      <c r="Q36" s="5">
        <v>6.0</v>
      </c>
      <c r="R36" s="5">
        <v>3.0</v>
      </c>
      <c r="S36" s="5">
        <v>5.0</v>
      </c>
      <c r="T36" s="5">
        <v>4.0</v>
      </c>
      <c r="U36" s="5">
        <f t="shared" si="1"/>
        <v>4</v>
      </c>
      <c r="V36" s="5" t="s">
        <v>371</v>
      </c>
      <c r="W36" s="5" t="s">
        <v>206</v>
      </c>
      <c r="X36" s="5">
        <v>6.0</v>
      </c>
      <c r="Y36" s="5">
        <v>5.0</v>
      </c>
      <c r="Z36" s="5">
        <v>5.0</v>
      </c>
      <c r="AA36" s="5">
        <v>2.0</v>
      </c>
      <c r="AB36" s="5">
        <v>4.0</v>
      </c>
      <c r="AC36" s="5">
        <v>1.0</v>
      </c>
      <c r="AD36" s="5" t="s">
        <v>372</v>
      </c>
      <c r="AE36" s="5" t="s">
        <v>206</v>
      </c>
      <c r="AF36" s="5">
        <v>5.0</v>
      </c>
      <c r="AG36" s="5">
        <v>5.0</v>
      </c>
      <c r="AH36" s="5">
        <v>6.0</v>
      </c>
      <c r="AI36" s="5">
        <v>1.0</v>
      </c>
      <c r="AJ36" s="5">
        <f t="shared" si="2"/>
        <v>7</v>
      </c>
      <c r="AK36" s="5">
        <v>1.0</v>
      </c>
      <c r="AL36" s="5">
        <f t="shared" si="3"/>
        <v>7</v>
      </c>
      <c r="AM36" s="5">
        <v>1.0</v>
      </c>
      <c r="AN36" s="5">
        <f t="shared" si="4"/>
        <v>7</v>
      </c>
      <c r="AO36" s="5">
        <v>1.0</v>
      </c>
      <c r="AP36" s="5">
        <f t="shared" si="5"/>
        <v>7</v>
      </c>
      <c r="AQ36" s="5" t="s">
        <v>373</v>
      </c>
    </row>
    <row r="37">
      <c r="A37" s="8">
        <v>1333.0</v>
      </c>
      <c r="B37" s="7">
        <v>45867.34583333333</v>
      </c>
      <c r="C37" s="5" t="s">
        <v>374</v>
      </c>
      <c r="D37" s="5" t="s">
        <v>362</v>
      </c>
      <c r="E37" s="5" t="s">
        <v>263</v>
      </c>
      <c r="F37" s="5">
        <v>6.0</v>
      </c>
      <c r="G37" s="5">
        <v>6.0</v>
      </c>
      <c r="H37" s="5" t="s">
        <v>199</v>
      </c>
      <c r="I37" s="5">
        <v>7.0</v>
      </c>
      <c r="J37" s="5">
        <v>3.0</v>
      </c>
      <c r="K37" s="5">
        <v>5.0</v>
      </c>
      <c r="L37" s="5">
        <v>6.0</v>
      </c>
      <c r="M37" s="5">
        <v>7.0</v>
      </c>
      <c r="N37" s="5">
        <v>7.0</v>
      </c>
      <c r="O37" s="5">
        <v>7.0</v>
      </c>
      <c r="P37" s="5">
        <v>7.0</v>
      </c>
      <c r="Q37" s="5">
        <v>5.0</v>
      </c>
      <c r="R37" s="5">
        <v>5.0</v>
      </c>
      <c r="S37" s="5">
        <v>7.0</v>
      </c>
      <c r="T37" s="5">
        <v>5.0</v>
      </c>
      <c r="U37" s="5">
        <f t="shared" si="1"/>
        <v>3</v>
      </c>
      <c r="V37" s="5" t="s">
        <v>375</v>
      </c>
      <c r="W37" s="5" t="s">
        <v>206</v>
      </c>
      <c r="X37" s="5">
        <v>6.0</v>
      </c>
      <c r="Y37" s="5">
        <v>7.0</v>
      </c>
      <c r="Z37" s="5">
        <v>7.0</v>
      </c>
      <c r="AA37" s="5">
        <v>3.0</v>
      </c>
      <c r="AB37" s="5">
        <v>4.0</v>
      </c>
      <c r="AC37" s="5">
        <v>4.0</v>
      </c>
      <c r="AD37" s="5" t="s">
        <v>376</v>
      </c>
      <c r="AE37" s="5" t="s">
        <v>206</v>
      </c>
      <c r="AF37" s="5">
        <v>6.0</v>
      </c>
      <c r="AG37" s="5">
        <v>6.0</v>
      </c>
      <c r="AH37" s="5">
        <v>6.0</v>
      </c>
      <c r="AI37" s="5">
        <v>2.0</v>
      </c>
      <c r="AJ37" s="5">
        <f t="shared" si="2"/>
        <v>6</v>
      </c>
      <c r="AK37" s="5">
        <v>6.0</v>
      </c>
      <c r="AL37" s="5">
        <f t="shared" si="3"/>
        <v>2</v>
      </c>
      <c r="AM37" s="5">
        <v>2.0</v>
      </c>
      <c r="AN37" s="5">
        <f t="shared" si="4"/>
        <v>6</v>
      </c>
      <c r="AO37" s="5">
        <v>2.0</v>
      </c>
      <c r="AP37" s="5">
        <f t="shared" si="5"/>
        <v>6</v>
      </c>
      <c r="AQ37" s="5" t="s">
        <v>377</v>
      </c>
    </row>
    <row r="38">
      <c r="A38" s="8">
        <v>1140.0</v>
      </c>
      <c r="B38" s="7">
        <v>45868.02847222222</v>
      </c>
      <c r="C38" s="5" t="s">
        <v>378</v>
      </c>
      <c r="D38" s="5" t="s">
        <v>379</v>
      </c>
      <c r="E38" s="5" t="s">
        <v>197</v>
      </c>
      <c r="F38" s="5">
        <v>6.0</v>
      </c>
      <c r="G38" s="5">
        <v>6.0</v>
      </c>
      <c r="H38" s="5" t="s">
        <v>199</v>
      </c>
      <c r="I38" s="5">
        <v>6.0</v>
      </c>
      <c r="J38" s="5">
        <v>7.0</v>
      </c>
      <c r="K38" s="5">
        <v>7.0</v>
      </c>
      <c r="L38" s="5">
        <v>6.0</v>
      </c>
      <c r="M38" s="5">
        <v>7.0</v>
      </c>
      <c r="N38" s="5">
        <v>7.0</v>
      </c>
      <c r="O38" s="5">
        <v>7.0</v>
      </c>
      <c r="P38" s="5">
        <v>6.0</v>
      </c>
      <c r="Q38" s="5">
        <v>6.0</v>
      </c>
      <c r="R38" s="5">
        <v>5.0</v>
      </c>
      <c r="S38" s="5">
        <v>6.0</v>
      </c>
      <c r="T38" s="5">
        <v>5.0</v>
      </c>
      <c r="U38" s="5">
        <f t="shared" si="1"/>
        <v>3</v>
      </c>
      <c r="V38" s="5" t="s">
        <v>380</v>
      </c>
      <c r="W38" s="5" t="s">
        <v>206</v>
      </c>
      <c r="X38" s="5">
        <v>7.0</v>
      </c>
      <c r="Y38" s="5">
        <v>7.0</v>
      </c>
      <c r="Z38" s="5">
        <v>7.0</v>
      </c>
      <c r="AA38" s="5">
        <v>7.0</v>
      </c>
      <c r="AB38" s="5">
        <v>7.0</v>
      </c>
      <c r="AC38" s="5">
        <v>6.0</v>
      </c>
      <c r="AD38" s="5" t="s">
        <v>381</v>
      </c>
      <c r="AE38" s="5" t="s">
        <v>206</v>
      </c>
      <c r="AF38" s="5">
        <v>6.0</v>
      </c>
      <c r="AG38" s="5">
        <v>6.0</v>
      </c>
      <c r="AH38" s="5">
        <v>7.0</v>
      </c>
      <c r="AI38" s="5">
        <v>2.0</v>
      </c>
      <c r="AJ38" s="5">
        <f t="shared" si="2"/>
        <v>6</v>
      </c>
      <c r="AK38" s="5">
        <v>1.0</v>
      </c>
      <c r="AL38" s="5">
        <f t="shared" si="3"/>
        <v>7</v>
      </c>
      <c r="AM38" s="5">
        <v>2.0</v>
      </c>
      <c r="AN38" s="5">
        <f t="shared" si="4"/>
        <v>6</v>
      </c>
      <c r="AO38" s="5">
        <v>1.0</v>
      </c>
      <c r="AP38" s="5">
        <f t="shared" si="5"/>
        <v>7</v>
      </c>
      <c r="AQ38" s="5" t="s">
        <v>382</v>
      </c>
    </row>
    <row r="39">
      <c r="A39" s="8">
        <v>2166.0</v>
      </c>
      <c r="B39" s="7">
        <v>45868.040972222225</v>
      </c>
      <c r="C39" s="5" t="s">
        <v>384</v>
      </c>
      <c r="D39" s="5" t="s">
        <v>385</v>
      </c>
      <c r="E39" s="5" t="s">
        <v>211</v>
      </c>
      <c r="F39" s="5">
        <v>4.0</v>
      </c>
      <c r="G39" s="5">
        <v>5.0</v>
      </c>
      <c r="H39" s="5" t="s">
        <v>199</v>
      </c>
      <c r="I39" s="5">
        <v>6.0</v>
      </c>
      <c r="J39" s="5">
        <v>6.0</v>
      </c>
      <c r="K39" s="5">
        <v>3.0</v>
      </c>
      <c r="L39" s="5">
        <v>3.0</v>
      </c>
      <c r="M39" s="5">
        <v>6.0</v>
      </c>
      <c r="N39" s="5">
        <v>5.0</v>
      </c>
      <c r="O39" s="5">
        <v>5.0</v>
      </c>
      <c r="P39" s="5">
        <v>6.0</v>
      </c>
      <c r="Q39" s="5">
        <v>4.0</v>
      </c>
      <c r="R39" s="5">
        <v>4.0</v>
      </c>
      <c r="S39" s="5">
        <v>5.0</v>
      </c>
      <c r="T39" s="5">
        <v>4.0</v>
      </c>
      <c r="U39" s="5">
        <f t="shared" si="1"/>
        <v>4</v>
      </c>
      <c r="V39" s="5" t="s">
        <v>386</v>
      </c>
      <c r="W39" s="5" t="s">
        <v>206</v>
      </c>
      <c r="X39" s="5">
        <v>6.0</v>
      </c>
      <c r="Y39" s="5">
        <v>6.0</v>
      </c>
      <c r="Z39" s="5">
        <v>7.0</v>
      </c>
      <c r="AA39" s="5">
        <v>6.0</v>
      </c>
      <c r="AB39" s="5">
        <v>5.0</v>
      </c>
      <c r="AC39" s="5">
        <v>4.0</v>
      </c>
      <c r="AD39" s="5" t="s">
        <v>387</v>
      </c>
      <c r="AE39" s="5" t="s">
        <v>206</v>
      </c>
      <c r="AF39" s="5">
        <v>7.0</v>
      </c>
      <c r="AG39" s="5">
        <v>6.0</v>
      </c>
      <c r="AH39" s="5">
        <v>6.0</v>
      </c>
      <c r="AI39" s="5">
        <v>1.0</v>
      </c>
      <c r="AJ39" s="5">
        <f t="shared" si="2"/>
        <v>7</v>
      </c>
      <c r="AK39" s="5">
        <v>1.0</v>
      </c>
      <c r="AL39" s="5">
        <f t="shared" si="3"/>
        <v>7</v>
      </c>
      <c r="AM39" s="5">
        <v>1.0</v>
      </c>
      <c r="AN39" s="5">
        <f t="shared" si="4"/>
        <v>7</v>
      </c>
      <c r="AO39" s="5">
        <v>1.0</v>
      </c>
      <c r="AP39" s="5">
        <f t="shared" si="5"/>
        <v>7</v>
      </c>
      <c r="AQ39" s="5" t="s">
        <v>388</v>
      </c>
    </row>
    <row r="40">
      <c r="A40" s="8">
        <v>1527.0</v>
      </c>
      <c r="B40" s="7">
        <v>45868.041666666664</v>
      </c>
      <c r="C40" s="5" t="s">
        <v>390</v>
      </c>
      <c r="D40" s="5" t="s">
        <v>379</v>
      </c>
      <c r="E40" s="5" t="s">
        <v>211</v>
      </c>
      <c r="F40" s="5">
        <v>6.0</v>
      </c>
      <c r="G40" s="5">
        <v>6.0</v>
      </c>
      <c r="H40" s="5" t="s">
        <v>199</v>
      </c>
      <c r="I40" s="5">
        <v>6.0</v>
      </c>
      <c r="J40" s="5">
        <v>7.0</v>
      </c>
      <c r="K40" s="5">
        <v>7.0</v>
      </c>
      <c r="L40" s="5">
        <v>6.0</v>
      </c>
      <c r="M40" s="5">
        <v>7.0</v>
      </c>
      <c r="N40" s="5">
        <v>7.0</v>
      </c>
      <c r="O40" s="5">
        <v>7.0</v>
      </c>
      <c r="P40" s="5">
        <v>6.0</v>
      </c>
      <c r="Q40" s="5">
        <v>6.0</v>
      </c>
      <c r="R40" s="5">
        <v>4.0</v>
      </c>
      <c r="S40" s="5">
        <v>6.0</v>
      </c>
      <c r="T40" s="5">
        <v>2.0</v>
      </c>
      <c r="U40" s="5">
        <f t="shared" si="1"/>
        <v>6</v>
      </c>
      <c r="V40" s="5" t="s">
        <v>391</v>
      </c>
      <c r="W40" s="5" t="s">
        <v>206</v>
      </c>
      <c r="X40" s="5">
        <v>6.0</v>
      </c>
      <c r="Y40" s="5">
        <v>6.0</v>
      </c>
      <c r="Z40" s="5">
        <v>6.0</v>
      </c>
      <c r="AA40" s="5">
        <v>7.0</v>
      </c>
      <c r="AB40" s="5">
        <v>6.0</v>
      </c>
      <c r="AC40" s="5">
        <v>7.0</v>
      </c>
      <c r="AD40" s="5" t="s">
        <v>392</v>
      </c>
      <c r="AE40" s="5" t="s">
        <v>206</v>
      </c>
      <c r="AF40" s="5">
        <v>7.0</v>
      </c>
      <c r="AG40" s="5">
        <v>7.0</v>
      </c>
      <c r="AH40" s="5">
        <v>6.0</v>
      </c>
      <c r="AI40" s="5">
        <v>1.0</v>
      </c>
      <c r="AJ40" s="5">
        <f t="shared" si="2"/>
        <v>7</v>
      </c>
      <c r="AK40" s="5">
        <v>1.0</v>
      </c>
      <c r="AL40" s="5">
        <f t="shared" si="3"/>
        <v>7</v>
      </c>
      <c r="AM40" s="5">
        <v>1.0</v>
      </c>
      <c r="AN40" s="5">
        <f t="shared" si="4"/>
        <v>7</v>
      </c>
      <c r="AO40" s="5">
        <v>1.0</v>
      </c>
      <c r="AP40" s="5">
        <f t="shared" si="5"/>
        <v>7</v>
      </c>
      <c r="AQ40" s="5" t="s">
        <v>393</v>
      </c>
    </row>
    <row r="41">
      <c r="A41" s="8">
        <v>866.0</v>
      </c>
      <c r="B41" s="7">
        <v>45868.05416666667</v>
      </c>
      <c r="C41" s="5" t="s">
        <v>394</v>
      </c>
      <c r="D41" s="5" t="s">
        <v>379</v>
      </c>
      <c r="E41" s="5" t="s">
        <v>216</v>
      </c>
      <c r="F41" s="5">
        <v>6.0</v>
      </c>
      <c r="G41" s="5">
        <v>5.0</v>
      </c>
      <c r="H41" s="5" t="s">
        <v>199</v>
      </c>
      <c r="I41" s="5">
        <v>7.0</v>
      </c>
      <c r="J41" s="5">
        <v>7.0</v>
      </c>
      <c r="K41" s="5">
        <v>7.0</v>
      </c>
      <c r="L41" s="5">
        <v>6.0</v>
      </c>
      <c r="M41" s="5">
        <v>6.0</v>
      </c>
      <c r="N41" s="5">
        <v>7.0</v>
      </c>
      <c r="O41" s="5">
        <v>7.0</v>
      </c>
      <c r="P41" s="5">
        <v>6.0</v>
      </c>
      <c r="Q41" s="5">
        <v>5.0</v>
      </c>
      <c r="R41" s="5">
        <v>6.0</v>
      </c>
      <c r="S41" s="5">
        <v>6.0</v>
      </c>
      <c r="T41" s="5">
        <v>3.0</v>
      </c>
      <c r="U41" s="5">
        <f t="shared" si="1"/>
        <v>5</v>
      </c>
      <c r="V41" s="5" t="s">
        <v>395</v>
      </c>
      <c r="W41" s="5" t="s">
        <v>206</v>
      </c>
      <c r="X41" s="5">
        <v>6.0</v>
      </c>
      <c r="Y41" s="5">
        <v>6.0</v>
      </c>
      <c r="Z41" s="5">
        <v>7.0</v>
      </c>
      <c r="AA41" s="5">
        <v>7.0</v>
      </c>
      <c r="AB41" s="5">
        <v>7.0</v>
      </c>
      <c r="AC41" s="5">
        <v>7.0</v>
      </c>
      <c r="AD41" s="5" t="s">
        <v>396</v>
      </c>
      <c r="AE41" s="5" t="s">
        <v>206</v>
      </c>
      <c r="AF41" s="5">
        <v>6.0</v>
      </c>
      <c r="AG41" s="5">
        <v>6.0</v>
      </c>
      <c r="AH41" s="5">
        <v>6.0</v>
      </c>
      <c r="AI41" s="5">
        <v>1.0</v>
      </c>
      <c r="AJ41" s="5">
        <f t="shared" si="2"/>
        <v>7</v>
      </c>
      <c r="AK41" s="5">
        <v>1.0</v>
      </c>
      <c r="AL41" s="5">
        <f t="shared" si="3"/>
        <v>7</v>
      </c>
      <c r="AM41" s="5">
        <v>1.0</v>
      </c>
      <c r="AN41" s="5">
        <f t="shared" si="4"/>
        <v>7</v>
      </c>
      <c r="AO41" s="5">
        <v>1.0</v>
      </c>
      <c r="AP41" s="5">
        <f t="shared" si="5"/>
        <v>7</v>
      </c>
      <c r="AQ41" s="5" t="s">
        <v>397</v>
      </c>
    </row>
    <row r="42">
      <c r="A42" s="8">
        <v>863.0</v>
      </c>
      <c r="B42" s="7">
        <v>45868.055555555555</v>
      </c>
      <c r="C42" s="5" t="s">
        <v>398</v>
      </c>
      <c r="D42" s="5" t="s">
        <v>385</v>
      </c>
      <c r="E42" s="5" t="s">
        <v>197</v>
      </c>
      <c r="F42" s="5">
        <v>7.0</v>
      </c>
      <c r="G42" s="5">
        <v>6.0</v>
      </c>
      <c r="H42" s="5" t="s">
        <v>199</v>
      </c>
      <c r="I42" s="5">
        <v>6.0</v>
      </c>
      <c r="J42" s="5">
        <v>6.0</v>
      </c>
      <c r="K42" s="5">
        <v>7.0</v>
      </c>
      <c r="L42" s="5">
        <v>6.0</v>
      </c>
      <c r="M42" s="5">
        <v>7.0</v>
      </c>
      <c r="N42" s="5">
        <v>6.0</v>
      </c>
      <c r="O42" s="5">
        <v>6.0</v>
      </c>
      <c r="P42" s="5">
        <v>6.0</v>
      </c>
      <c r="Q42" s="5">
        <v>4.0</v>
      </c>
      <c r="R42" s="5">
        <v>4.0</v>
      </c>
      <c r="S42" s="5">
        <v>6.0</v>
      </c>
      <c r="T42" s="5">
        <v>5.0</v>
      </c>
      <c r="U42" s="5">
        <f t="shared" si="1"/>
        <v>3</v>
      </c>
      <c r="V42" s="5" t="s">
        <v>399</v>
      </c>
      <c r="W42" s="5" t="s">
        <v>206</v>
      </c>
      <c r="X42" s="5">
        <v>6.0</v>
      </c>
      <c r="Y42" s="5">
        <v>6.0</v>
      </c>
      <c r="Z42" s="5">
        <v>7.0</v>
      </c>
      <c r="AA42" s="5">
        <v>6.0</v>
      </c>
      <c r="AB42" s="5">
        <v>6.0</v>
      </c>
      <c r="AC42" s="5">
        <v>4.0</v>
      </c>
      <c r="AD42" s="5" t="s">
        <v>400</v>
      </c>
      <c r="AE42" s="5" t="s">
        <v>206</v>
      </c>
      <c r="AF42" s="5">
        <v>6.0</v>
      </c>
      <c r="AG42" s="5">
        <v>6.0</v>
      </c>
      <c r="AH42" s="5">
        <v>6.0</v>
      </c>
      <c r="AI42" s="5">
        <v>2.0</v>
      </c>
      <c r="AJ42" s="5">
        <f t="shared" si="2"/>
        <v>6</v>
      </c>
      <c r="AK42" s="5">
        <v>1.0</v>
      </c>
      <c r="AL42" s="5">
        <f t="shared" si="3"/>
        <v>7</v>
      </c>
      <c r="AM42" s="5">
        <v>2.0</v>
      </c>
      <c r="AN42" s="5">
        <f t="shared" si="4"/>
        <v>6</v>
      </c>
      <c r="AO42" s="5">
        <v>1.0</v>
      </c>
      <c r="AP42" s="5">
        <f t="shared" si="5"/>
        <v>7</v>
      </c>
      <c r="AQ42" s="5" t="s">
        <v>401</v>
      </c>
    </row>
    <row r="43">
      <c r="A43" s="8">
        <v>942.0</v>
      </c>
      <c r="B43" s="7">
        <v>45868.07083333333</v>
      </c>
      <c r="C43" s="5" t="s">
        <v>402</v>
      </c>
      <c r="D43" s="5" t="s">
        <v>385</v>
      </c>
      <c r="E43" s="5" t="s">
        <v>263</v>
      </c>
      <c r="F43" s="5">
        <v>6.0</v>
      </c>
      <c r="G43" s="5">
        <v>5.0</v>
      </c>
      <c r="H43" s="5" t="s">
        <v>199</v>
      </c>
      <c r="I43" s="5">
        <v>6.0</v>
      </c>
      <c r="J43" s="5">
        <v>5.0</v>
      </c>
      <c r="K43" s="5">
        <v>7.0</v>
      </c>
      <c r="L43" s="5">
        <v>5.0</v>
      </c>
      <c r="M43" s="5">
        <v>7.0</v>
      </c>
      <c r="N43" s="5">
        <v>6.0</v>
      </c>
      <c r="O43" s="5">
        <v>5.0</v>
      </c>
      <c r="P43" s="5">
        <v>6.0</v>
      </c>
      <c r="Q43" s="5">
        <v>6.0</v>
      </c>
      <c r="R43" s="5">
        <v>2.0</v>
      </c>
      <c r="S43" s="5">
        <v>6.0</v>
      </c>
      <c r="T43" s="5">
        <v>5.0</v>
      </c>
      <c r="U43" s="5">
        <f t="shared" si="1"/>
        <v>3</v>
      </c>
      <c r="V43" s="5" t="s">
        <v>403</v>
      </c>
      <c r="W43" s="5" t="s">
        <v>206</v>
      </c>
      <c r="X43" s="5">
        <v>6.0</v>
      </c>
      <c r="Y43" s="5">
        <v>6.0</v>
      </c>
      <c r="Z43" s="5">
        <v>6.0</v>
      </c>
      <c r="AA43" s="5">
        <v>6.0</v>
      </c>
      <c r="AB43" s="5">
        <v>6.0</v>
      </c>
      <c r="AC43" s="5">
        <v>4.0</v>
      </c>
      <c r="AD43" s="5" t="s">
        <v>404</v>
      </c>
      <c r="AE43" s="5" t="s">
        <v>206</v>
      </c>
      <c r="AF43" s="5">
        <v>6.0</v>
      </c>
      <c r="AG43" s="5">
        <v>5.0</v>
      </c>
      <c r="AH43" s="5">
        <v>5.0</v>
      </c>
      <c r="AI43" s="5">
        <v>2.0</v>
      </c>
      <c r="AJ43" s="5">
        <f t="shared" si="2"/>
        <v>6</v>
      </c>
      <c r="AK43" s="5">
        <v>2.0</v>
      </c>
      <c r="AL43" s="5">
        <f t="shared" si="3"/>
        <v>6</v>
      </c>
      <c r="AM43" s="5">
        <v>5.0</v>
      </c>
      <c r="AN43" s="5">
        <f t="shared" si="4"/>
        <v>3</v>
      </c>
      <c r="AO43" s="5">
        <v>2.0</v>
      </c>
      <c r="AP43" s="5">
        <f t="shared" si="5"/>
        <v>6</v>
      </c>
      <c r="AQ43" s="5" t="s">
        <v>405</v>
      </c>
    </row>
    <row r="44">
      <c r="A44" s="8">
        <v>659.0</v>
      </c>
      <c r="B44" s="7">
        <v>45868.072916666664</v>
      </c>
      <c r="C44" s="5" t="s">
        <v>406</v>
      </c>
      <c r="D44" s="5" t="s">
        <v>379</v>
      </c>
      <c r="E44" s="5" t="s">
        <v>263</v>
      </c>
      <c r="F44" s="5">
        <v>6.0</v>
      </c>
      <c r="G44" s="5">
        <v>6.0</v>
      </c>
      <c r="H44" s="5" t="s">
        <v>199</v>
      </c>
      <c r="I44" s="5">
        <v>6.0</v>
      </c>
      <c r="J44" s="5">
        <v>6.0</v>
      </c>
      <c r="K44" s="5">
        <v>6.0</v>
      </c>
      <c r="L44" s="5">
        <v>6.0</v>
      </c>
      <c r="M44" s="5">
        <v>7.0</v>
      </c>
      <c r="N44" s="5">
        <v>7.0</v>
      </c>
      <c r="O44" s="5">
        <v>7.0</v>
      </c>
      <c r="P44" s="5">
        <v>7.0</v>
      </c>
      <c r="Q44" s="5">
        <v>5.0</v>
      </c>
      <c r="R44" s="5">
        <v>6.0</v>
      </c>
      <c r="S44" s="5">
        <v>6.0</v>
      </c>
      <c r="T44" s="5">
        <v>6.0</v>
      </c>
      <c r="U44" s="5">
        <f t="shared" si="1"/>
        <v>2</v>
      </c>
      <c r="V44" s="5" t="s">
        <v>407</v>
      </c>
      <c r="W44" s="5" t="s">
        <v>206</v>
      </c>
      <c r="X44" s="5">
        <v>6.0</v>
      </c>
      <c r="Y44" s="5">
        <v>7.0</v>
      </c>
      <c r="Z44" s="5">
        <v>7.0</v>
      </c>
      <c r="AA44" s="5">
        <v>7.0</v>
      </c>
      <c r="AB44" s="5">
        <v>7.0</v>
      </c>
      <c r="AC44" s="5">
        <v>7.0</v>
      </c>
      <c r="AD44" s="5" t="s">
        <v>408</v>
      </c>
      <c r="AE44" s="5" t="s">
        <v>206</v>
      </c>
      <c r="AF44" s="5">
        <v>7.0</v>
      </c>
      <c r="AG44" s="5">
        <v>7.0</v>
      </c>
      <c r="AH44" s="5">
        <v>7.0</v>
      </c>
      <c r="AI44" s="5">
        <v>1.0</v>
      </c>
      <c r="AJ44" s="5">
        <f t="shared" si="2"/>
        <v>7</v>
      </c>
      <c r="AK44" s="5">
        <v>1.0</v>
      </c>
      <c r="AL44" s="5">
        <f t="shared" si="3"/>
        <v>7</v>
      </c>
      <c r="AM44" s="5">
        <v>1.0</v>
      </c>
      <c r="AN44" s="5">
        <f t="shared" si="4"/>
        <v>7</v>
      </c>
      <c r="AO44" s="5">
        <v>1.0</v>
      </c>
      <c r="AP44" s="5">
        <f t="shared" si="5"/>
        <v>7</v>
      </c>
      <c r="AQ44" s="5" t="s">
        <v>409</v>
      </c>
    </row>
    <row r="45">
      <c r="A45" s="8">
        <v>380.0</v>
      </c>
      <c r="B45" s="7">
        <v>45868.08541666667</v>
      </c>
      <c r="C45" s="5" t="s">
        <v>410</v>
      </c>
      <c r="D45" s="5" t="s">
        <v>411</v>
      </c>
      <c r="E45" s="5" t="s">
        <v>263</v>
      </c>
      <c r="F45" s="5">
        <v>3.0</v>
      </c>
      <c r="G45" s="5">
        <v>3.0</v>
      </c>
      <c r="H45" s="5" t="s">
        <v>199</v>
      </c>
      <c r="I45" s="5">
        <v>6.0</v>
      </c>
      <c r="J45" s="5">
        <v>6.0</v>
      </c>
      <c r="K45" s="5">
        <v>3.0</v>
      </c>
      <c r="L45" s="5">
        <v>3.0</v>
      </c>
      <c r="M45" s="5">
        <v>5.0</v>
      </c>
      <c r="N45" s="5">
        <v>6.0</v>
      </c>
      <c r="O45" s="5">
        <v>6.0</v>
      </c>
      <c r="P45" s="5">
        <v>6.0</v>
      </c>
      <c r="Q45" s="5">
        <v>3.0</v>
      </c>
      <c r="R45" s="5">
        <v>4.0</v>
      </c>
      <c r="S45" s="5">
        <v>6.0</v>
      </c>
      <c r="T45" s="5">
        <v>2.0</v>
      </c>
      <c r="U45" s="5">
        <f t="shared" si="1"/>
        <v>6</v>
      </c>
      <c r="V45" s="11" t="s">
        <v>412</v>
      </c>
      <c r="W45" s="5" t="s">
        <v>206</v>
      </c>
      <c r="X45" s="5">
        <v>5.0</v>
      </c>
      <c r="Y45" s="5">
        <v>5.0</v>
      </c>
      <c r="Z45" s="5">
        <v>5.0</v>
      </c>
      <c r="AA45" s="5">
        <v>5.0</v>
      </c>
      <c r="AB45" s="5">
        <v>5.0</v>
      </c>
      <c r="AC45" s="5">
        <v>6.0</v>
      </c>
      <c r="AD45" s="5" t="s">
        <v>413</v>
      </c>
      <c r="AE45" s="5" t="s">
        <v>206</v>
      </c>
      <c r="AF45" s="5">
        <v>6.0</v>
      </c>
      <c r="AG45" s="5">
        <v>7.0</v>
      </c>
      <c r="AH45" s="5">
        <v>6.0</v>
      </c>
      <c r="AI45" s="5">
        <v>2.0</v>
      </c>
      <c r="AJ45" s="5">
        <f t="shared" si="2"/>
        <v>6</v>
      </c>
      <c r="AK45" s="5">
        <v>2.0</v>
      </c>
      <c r="AL45" s="5">
        <f t="shared" si="3"/>
        <v>6</v>
      </c>
      <c r="AM45" s="5">
        <v>1.0</v>
      </c>
      <c r="AN45" s="5">
        <f t="shared" si="4"/>
        <v>7</v>
      </c>
      <c r="AO45" s="5">
        <v>2.0</v>
      </c>
      <c r="AP45" s="5">
        <f t="shared" si="5"/>
        <v>6</v>
      </c>
      <c r="AQ45" s="5" t="s">
        <v>414</v>
      </c>
    </row>
    <row r="46">
      <c r="A46" s="8">
        <v>1190.0</v>
      </c>
      <c r="B46" s="7">
        <v>45868.08541666667</v>
      </c>
      <c r="C46" s="5" t="s">
        <v>415</v>
      </c>
      <c r="D46" s="5" t="s">
        <v>385</v>
      </c>
      <c r="E46" s="5" t="s">
        <v>216</v>
      </c>
      <c r="F46" s="5">
        <v>3.0</v>
      </c>
      <c r="G46" s="5">
        <v>5.0</v>
      </c>
      <c r="H46" s="5" t="s">
        <v>199</v>
      </c>
      <c r="I46" s="5">
        <v>4.0</v>
      </c>
      <c r="J46" s="5">
        <v>3.0</v>
      </c>
      <c r="K46" s="5">
        <v>3.0</v>
      </c>
      <c r="L46" s="5">
        <v>5.0</v>
      </c>
      <c r="M46" s="5">
        <v>6.0</v>
      </c>
      <c r="N46" s="5">
        <v>6.0</v>
      </c>
      <c r="O46" s="5">
        <v>6.0</v>
      </c>
      <c r="P46" s="5">
        <v>5.0</v>
      </c>
      <c r="Q46" s="5">
        <v>3.0</v>
      </c>
      <c r="R46" s="5">
        <v>3.0</v>
      </c>
      <c r="S46" s="5">
        <v>6.0</v>
      </c>
      <c r="T46" s="5">
        <v>5.0</v>
      </c>
      <c r="U46" s="5">
        <f t="shared" si="1"/>
        <v>3</v>
      </c>
      <c r="V46" s="5" t="s">
        <v>416</v>
      </c>
      <c r="W46" s="5" t="s">
        <v>206</v>
      </c>
      <c r="X46" s="5">
        <v>6.0</v>
      </c>
      <c r="Y46" s="5">
        <v>5.0</v>
      </c>
      <c r="Z46" s="5">
        <v>6.0</v>
      </c>
      <c r="AA46" s="5">
        <v>5.0</v>
      </c>
      <c r="AB46" s="5">
        <v>3.0</v>
      </c>
      <c r="AC46" s="5">
        <v>4.0</v>
      </c>
      <c r="AD46" s="5" t="s">
        <v>417</v>
      </c>
      <c r="AE46" s="5" t="s">
        <v>206</v>
      </c>
      <c r="AF46" s="5">
        <v>6.0</v>
      </c>
      <c r="AG46" s="5">
        <v>5.0</v>
      </c>
      <c r="AH46" s="5">
        <v>3.0</v>
      </c>
      <c r="AI46" s="5">
        <v>1.0</v>
      </c>
      <c r="AJ46" s="5">
        <f t="shared" si="2"/>
        <v>7</v>
      </c>
      <c r="AK46" s="5">
        <v>1.0</v>
      </c>
      <c r="AL46" s="5">
        <f t="shared" si="3"/>
        <v>7</v>
      </c>
      <c r="AM46" s="5">
        <v>2.0</v>
      </c>
      <c r="AN46" s="5">
        <f t="shared" si="4"/>
        <v>6</v>
      </c>
      <c r="AO46" s="5">
        <v>1.0</v>
      </c>
      <c r="AP46" s="5">
        <f t="shared" si="5"/>
        <v>7</v>
      </c>
      <c r="AQ46" s="5" t="s">
        <v>418</v>
      </c>
    </row>
    <row r="47">
      <c r="A47" s="8">
        <v>627.0</v>
      </c>
      <c r="B47" s="7">
        <v>45868.089583333334</v>
      </c>
      <c r="C47" s="5" t="s">
        <v>419</v>
      </c>
      <c r="D47" s="5" t="s">
        <v>411</v>
      </c>
      <c r="E47" s="5" t="s">
        <v>211</v>
      </c>
      <c r="F47" s="5">
        <v>2.0</v>
      </c>
      <c r="G47" s="5">
        <v>2.0</v>
      </c>
      <c r="H47" s="5" t="s">
        <v>199</v>
      </c>
      <c r="I47" s="5">
        <v>2.0</v>
      </c>
      <c r="J47" s="5">
        <v>1.0</v>
      </c>
      <c r="K47" s="5">
        <v>1.0</v>
      </c>
      <c r="L47" s="5">
        <v>2.0</v>
      </c>
      <c r="M47" s="5">
        <v>6.0</v>
      </c>
      <c r="N47" s="5">
        <v>4.0</v>
      </c>
      <c r="O47" s="5">
        <v>5.0</v>
      </c>
      <c r="P47" s="5">
        <v>5.0</v>
      </c>
      <c r="Q47" s="5">
        <v>1.0</v>
      </c>
      <c r="R47" s="5">
        <v>4.0</v>
      </c>
      <c r="S47" s="5">
        <v>2.0</v>
      </c>
      <c r="T47" s="5">
        <v>6.0</v>
      </c>
      <c r="U47" s="5">
        <f t="shared" si="1"/>
        <v>2</v>
      </c>
      <c r="V47" s="5" t="s">
        <v>420</v>
      </c>
      <c r="W47" s="5" t="s">
        <v>206</v>
      </c>
      <c r="X47" s="5">
        <v>1.0</v>
      </c>
      <c r="Y47" s="5">
        <v>3.0</v>
      </c>
      <c r="Z47" s="5">
        <v>1.0</v>
      </c>
      <c r="AA47" s="5">
        <v>4.0</v>
      </c>
      <c r="AB47" s="5">
        <v>5.0</v>
      </c>
      <c r="AC47" s="5">
        <v>6.0</v>
      </c>
      <c r="AD47" s="5" t="s">
        <v>421</v>
      </c>
      <c r="AE47" s="5" t="s">
        <v>206</v>
      </c>
      <c r="AF47" s="5">
        <v>5.0</v>
      </c>
      <c r="AG47" s="5">
        <v>4.0</v>
      </c>
      <c r="AH47" s="5">
        <v>4.0</v>
      </c>
      <c r="AI47" s="5">
        <v>1.0</v>
      </c>
      <c r="AJ47" s="5">
        <f t="shared" si="2"/>
        <v>7</v>
      </c>
      <c r="AK47" s="5">
        <v>1.0</v>
      </c>
      <c r="AL47" s="5">
        <f t="shared" si="3"/>
        <v>7</v>
      </c>
      <c r="AM47" s="5">
        <v>1.0</v>
      </c>
      <c r="AN47" s="5">
        <f t="shared" si="4"/>
        <v>7</v>
      </c>
      <c r="AO47" s="5">
        <v>1.0</v>
      </c>
      <c r="AP47" s="5">
        <f t="shared" si="5"/>
        <v>7</v>
      </c>
      <c r="AQ47" s="5" t="s">
        <v>422</v>
      </c>
    </row>
    <row r="48">
      <c r="A48" s="8">
        <v>323.0</v>
      </c>
      <c r="B48" s="7">
        <v>45868.09583333333</v>
      </c>
      <c r="C48" s="5" t="s">
        <v>423</v>
      </c>
      <c r="D48" s="5" t="s">
        <v>411</v>
      </c>
      <c r="E48" s="5" t="s">
        <v>197</v>
      </c>
      <c r="F48" s="5">
        <v>4.0</v>
      </c>
      <c r="G48" s="5">
        <v>3.0</v>
      </c>
      <c r="H48" s="5" t="s">
        <v>199</v>
      </c>
      <c r="I48" s="5">
        <v>5.0</v>
      </c>
      <c r="J48" s="5">
        <v>6.0</v>
      </c>
      <c r="K48" s="5">
        <v>4.0</v>
      </c>
      <c r="L48" s="5">
        <v>4.0</v>
      </c>
      <c r="M48" s="5">
        <v>6.0</v>
      </c>
      <c r="N48" s="5">
        <v>6.0</v>
      </c>
      <c r="O48" s="5">
        <v>6.0</v>
      </c>
      <c r="P48" s="5">
        <v>6.0</v>
      </c>
      <c r="Q48" s="5">
        <v>5.0</v>
      </c>
      <c r="R48" s="5">
        <v>4.0</v>
      </c>
      <c r="S48" s="5">
        <v>6.0</v>
      </c>
      <c r="T48" s="5">
        <v>4.0</v>
      </c>
      <c r="U48" s="5">
        <f t="shared" si="1"/>
        <v>4</v>
      </c>
      <c r="V48" s="11" t="s">
        <v>424</v>
      </c>
      <c r="W48" s="5" t="s">
        <v>206</v>
      </c>
      <c r="X48" s="5">
        <v>4.0</v>
      </c>
      <c r="Y48" s="5">
        <v>5.0</v>
      </c>
      <c r="Z48" s="5">
        <v>6.0</v>
      </c>
      <c r="AA48" s="5">
        <v>4.0</v>
      </c>
      <c r="AB48" s="5">
        <v>6.0</v>
      </c>
      <c r="AC48" s="5">
        <v>6.0</v>
      </c>
      <c r="AD48" s="11" t="s">
        <v>425</v>
      </c>
      <c r="AE48" s="10"/>
      <c r="AF48" s="5">
        <v>6.0</v>
      </c>
      <c r="AG48" s="5">
        <v>6.0</v>
      </c>
      <c r="AH48" s="5">
        <v>6.0</v>
      </c>
      <c r="AI48" s="5">
        <v>1.0</v>
      </c>
      <c r="AJ48" s="5">
        <f t="shared" si="2"/>
        <v>7</v>
      </c>
      <c r="AK48" s="5">
        <v>1.0</v>
      </c>
      <c r="AL48" s="5">
        <f t="shared" si="3"/>
        <v>7</v>
      </c>
      <c r="AM48" s="5">
        <v>1.0</v>
      </c>
      <c r="AN48" s="5">
        <f t="shared" si="4"/>
        <v>7</v>
      </c>
      <c r="AO48" s="5">
        <v>1.0</v>
      </c>
      <c r="AP48" s="5">
        <f t="shared" si="5"/>
        <v>7</v>
      </c>
      <c r="AQ48" s="5" t="s">
        <v>426</v>
      </c>
    </row>
    <row r="49">
      <c r="A49" s="8">
        <v>885.0</v>
      </c>
      <c r="B49" s="7">
        <v>45868.10208333333</v>
      </c>
      <c r="C49" s="5" t="s">
        <v>427</v>
      </c>
      <c r="D49" s="5" t="s">
        <v>428</v>
      </c>
      <c r="E49" s="5" t="s">
        <v>216</v>
      </c>
      <c r="F49" s="5">
        <v>4.0</v>
      </c>
      <c r="G49" s="5">
        <v>6.0</v>
      </c>
      <c r="H49" s="5" t="s">
        <v>199</v>
      </c>
      <c r="I49" s="5">
        <v>6.0</v>
      </c>
      <c r="J49" s="5">
        <v>6.0</v>
      </c>
      <c r="K49" s="5">
        <v>6.0</v>
      </c>
      <c r="L49" s="5">
        <v>3.0</v>
      </c>
      <c r="M49" s="5">
        <v>6.0</v>
      </c>
      <c r="N49" s="5">
        <v>6.0</v>
      </c>
      <c r="O49" s="5">
        <v>6.0</v>
      </c>
      <c r="P49" s="5">
        <v>6.0</v>
      </c>
      <c r="Q49" s="5">
        <v>3.0</v>
      </c>
      <c r="R49" s="5">
        <v>4.0</v>
      </c>
      <c r="S49" s="5">
        <v>6.0</v>
      </c>
      <c r="T49" s="5">
        <v>6.0</v>
      </c>
      <c r="U49" s="5">
        <f t="shared" si="1"/>
        <v>2</v>
      </c>
      <c r="V49" s="5" t="s">
        <v>429</v>
      </c>
      <c r="W49" s="5" t="s">
        <v>206</v>
      </c>
      <c r="X49" s="5">
        <v>5.0</v>
      </c>
      <c r="Y49" s="5">
        <v>5.0</v>
      </c>
      <c r="Z49" s="5">
        <v>5.0</v>
      </c>
      <c r="AA49" s="5">
        <v>6.0</v>
      </c>
      <c r="AB49" s="5">
        <v>4.0</v>
      </c>
      <c r="AC49" s="5">
        <v>5.0</v>
      </c>
      <c r="AD49" s="5" t="s">
        <v>430</v>
      </c>
      <c r="AE49" s="5" t="s">
        <v>206</v>
      </c>
      <c r="AF49" s="5">
        <v>6.0</v>
      </c>
      <c r="AG49" s="5">
        <v>5.0</v>
      </c>
      <c r="AH49" s="5">
        <v>4.0</v>
      </c>
      <c r="AI49" s="5">
        <v>1.0</v>
      </c>
      <c r="AJ49" s="5">
        <f t="shared" si="2"/>
        <v>7</v>
      </c>
      <c r="AK49" s="5">
        <v>1.0</v>
      </c>
      <c r="AL49" s="5">
        <f t="shared" si="3"/>
        <v>7</v>
      </c>
      <c r="AM49" s="5">
        <v>1.0</v>
      </c>
      <c r="AN49" s="5">
        <f t="shared" si="4"/>
        <v>7</v>
      </c>
      <c r="AO49" s="5">
        <v>1.0</v>
      </c>
      <c r="AP49" s="5">
        <f t="shared" si="5"/>
        <v>7</v>
      </c>
      <c r="AQ49" s="5" t="s">
        <v>431</v>
      </c>
    </row>
    <row r="50">
      <c r="A50" s="8">
        <v>1034.0</v>
      </c>
      <c r="B50" s="7">
        <v>45868.16805555556</v>
      </c>
      <c r="C50" s="5" t="s">
        <v>432</v>
      </c>
      <c r="D50" s="5" t="s">
        <v>433</v>
      </c>
      <c r="E50" s="5" t="s">
        <v>216</v>
      </c>
      <c r="F50" s="5">
        <v>3.0</v>
      </c>
      <c r="G50" s="5">
        <v>2.0</v>
      </c>
      <c r="H50" s="5" t="s">
        <v>199</v>
      </c>
      <c r="I50" s="5">
        <v>5.0</v>
      </c>
      <c r="J50" s="5">
        <v>4.0</v>
      </c>
      <c r="K50" s="5">
        <v>2.0</v>
      </c>
      <c r="L50" s="5">
        <v>2.0</v>
      </c>
      <c r="M50" s="5">
        <v>2.0</v>
      </c>
      <c r="N50" s="5">
        <v>6.0</v>
      </c>
      <c r="O50" s="5">
        <v>6.0</v>
      </c>
      <c r="P50" s="5">
        <v>3.0</v>
      </c>
      <c r="Q50" s="5">
        <v>2.0</v>
      </c>
      <c r="R50" s="5">
        <v>2.0</v>
      </c>
      <c r="S50" s="5">
        <v>6.0</v>
      </c>
      <c r="T50" s="5">
        <v>6.0</v>
      </c>
      <c r="U50" s="5">
        <f t="shared" si="1"/>
        <v>2</v>
      </c>
      <c r="V50" s="5" t="s">
        <v>434</v>
      </c>
      <c r="W50" s="5" t="s">
        <v>206</v>
      </c>
      <c r="X50" s="5">
        <v>6.0</v>
      </c>
      <c r="Y50" s="5">
        <v>4.0</v>
      </c>
      <c r="Z50" s="5">
        <v>3.0</v>
      </c>
      <c r="AA50" s="5">
        <v>6.0</v>
      </c>
      <c r="AB50" s="5">
        <v>4.0</v>
      </c>
      <c r="AC50" s="5">
        <v>2.0</v>
      </c>
      <c r="AD50" s="5" t="s">
        <v>435</v>
      </c>
      <c r="AE50" s="5" t="s">
        <v>206</v>
      </c>
      <c r="AF50" s="5">
        <v>6.0</v>
      </c>
      <c r="AG50" s="5">
        <v>5.0</v>
      </c>
      <c r="AH50" s="5">
        <v>3.0</v>
      </c>
      <c r="AI50" s="5">
        <v>2.0</v>
      </c>
      <c r="AJ50" s="5">
        <f t="shared" si="2"/>
        <v>6</v>
      </c>
      <c r="AK50" s="5">
        <v>2.0</v>
      </c>
      <c r="AL50" s="5">
        <f t="shared" si="3"/>
        <v>6</v>
      </c>
      <c r="AM50" s="5">
        <v>1.0</v>
      </c>
      <c r="AN50" s="5">
        <f t="shared" si="4"/>
        <v>7</v>
      </c>
      <c r="AO50" s="5">
        <v>1.0</v>
      </c>
      <c r="AP50" s="5">
        <f t="shared" si="5"/>
        <v>7</v>
      </c>
      <c r="AQ50" s="11" t="s">
        <v>436</v>
      </c>
    </row>
    <row r="51">
      <c r="A51" s="8">
        <v>1006.0</v>
      </c>
      <c r="B51" s="7">
        <v>45868.180555555555</v>
      </c>
      <c r="C51" s="5" t="s">
        <v>437</v>
      </c>
      <c r="D51" s="5" t="s">
        <v>433</v>
      </c>
      <c r="E51" s="5" t="s">
        <v>211</v>
      </c>
      <c r="F51" s="5">
        <v>2.0</v>
      </c>
      <c r="G51" s="5">
        <v>5.0</v>
      </c>
      <c r="H51" s="5" t="s">
        <v>199</v>
      </c>
      <c r="I51" s="5">
        <v>6.0</v>
      </c>
      <c r="J51" s="5">
        <v>5.0</v>
      </c>
      <c r="K51" s="5">
        <v>4.0</v>
      </c>
      <c r="L51" s="5">
        <v>5.0</v>
      </c>
      <c r="M51" s="5">
        <v>5.0</v>
      </c>
      <c r="N51" s="5">
        <v>7.0</v>
      </c>
      <c r="O51" s="5">
        <v>6.0</v>
      </c>
      <c r="P51" s="5">
        <v>3.0</v>
      </c>
      <c r="Q51" s="5">
        <v>5.0</v>
      </c>
      <c r="R51" s="5">
        <v>5.0</v>
      </c>
      <c r="S51" s="5">
        <v>6.0</v>
      </c>
      <c r="T51" s="5">
        <v>6.0</v>
      </c>
      <c r="U51" s="5">
        <f t="shared" si="1"/>
        <v>2</v>
      </c>
      <c r="V51" s="11" t="s">
        <v>438</v>
      </c>
      <c r="W51" s="5" t="s">
        <v>206</v>
      </c>
      <c r="X51" s="5">
        <v>6.0</v>
      </c>
      <c r="Y51" s="5">
        <v>4.0</v>
      </c>
      <c r="Z51" s="5">
        <v>5.0</v>
      </c>
      <c r="AA51" s="5">
        <v>5.0</v>
      </c>
      <c r="AB51" s="5">
        <v>5.0</v>
      </c>
      <c r="AC51" s="5">
        <v>6.0</v>
      </c>
      <c r="AD51" s="11" t="s">
        <v>439</v>
      </c>
      <c r="AE51" s="5" t="s">
        <v>206</v>
      </c>
      <c r="AF51" s="5">
        <v>5.0</v>
      </c>
      <c r="AG51" s="5">
        <v>6.0</v>
      </c>
      <c r="AH51" s="5">
        <v>7.0</v>
      </c>
      <c r="AI51" s="5">
        <v>1.0</v>
      </c>
      <c r="AJ51" s="5">
        <f t="shared" si="2"/>
        <v>7</v>
      </c>
      <c r="AK51" s="5">
        <v>2.0</v>
      </c>
      <c r="AL51" s="5">
        <f t="shared" si="3"/>
        <v>6</v>
      </c>
      <c r="AM51" s="5">
        <v>1.0</v>
      </c>
      <c r="AN51" s="5">
        <f t="shared" si="4"/>
        <v>7</v>
      </c>
      <c r="AO51" s="5">
        <v>1.0</v>
      </c>
      <c r="AP51" s="5">
        <f t="shared" si="5"/>
        <v>7</v>
      </c>
      <c r="AQ51" s="5" t="s">
        <v>440</v>
      </c>
    </row>
    <row r="52">
      <c r="A52" s="8">
        <v>961.0</v>
      </c>
      <c r="B52" s="7">
        <v>45868.183333333334</v>
      </c>
      <c r="C52" s="5" t="s">
        <v>441</v>
      </c>
      <c r="D52" s="5" t="s">
        <v>442</v>
      </c>
      <c r="E52" s="5" t="s">
        <v>197</v>
      </c>
      <c r="F52" s="5">
        <v>3.0</v>
      </c>
      <c r="G52" s="5">
        <v>5.0</v>
      </c>
      <c r="H52" s="5" t="s">
        <v>199</v>
      </c>
      <c r="I52" s="5">
        <v>3.0</v>
      </c>
      <c r="J52" s="5">
        <v>5.0</v>
      </c>
      <c r="K52" s="5">
        <v>5.0</v>
      </c>
      <c r="L52" s="5">
        <v>6.0</v>
      </c>
      <c r="M52" s="5">
        <v>6.0</v>
      </c>
      <c r="N52" s="5">
        <v>6.0</v>
      </c>
      <c r="O52" s="5">
        <v>6.0</v>
      </c>
      <c r="P52" s="5">
        <v>6.0</v>
      </c>
      <c r="Q52" s="5">
        <v>4.0</v>
      </c>
      <c r="R52" s="5">
        <v>5.0</v>
      </c>
      <c r="S52" s="5">
        <v>6.0</v>
      </c>
      <c r="T52" s="5">
        <v>4.0</v>
      </c>
      <c r="U52" s="5">
        <f t="shared" si="1"/>
        <v>4</v>
      </c>
      <c r="V52" s="5" t="s">
        <v>443</v>
      </c>
      <c r="W52" s="5" t="s">
        <v>206</v>
      </c>
      <c r="X52" s="5">
        <v>3.0</v>
      </c>
      <c r="Y52" s="5">
        <v>3.0</v>
      </c>
      <c r="Z52" s="5">
        <v>3.0</v>
      </c>
      <c r="AA52" s="5">
        <v>3.0</v>
      </c>
      <c r="AB52" s="5">
        <v>4.0</v>
      </c>
      <c r="AC52" s="5">
        <v>5.0</v>
      </c>
      <c r="AD52" s="5" t="s">
        <v>444</v>
      </c>
      <c r="AE52" s="5" t="s">
        <v>206</v>
      </c>
      <c r="AF52" s="5">
        <v>4.0</v>
      </c>
      <c r="AG52" s="5">
        <v>5.0</v>
      </c>
      <c r="AH52" s="5">
        <v>5.0</v>
      </c>
      <c r="AI52" s="5">
        <v>2.0</v>
      </c>
      <c r="AJ52" s="5">
        <f t="shared" si="2"/>
        <v>6</v>
      </c>
      <c r="AK52" s="5">
        <v>3.0</v>
      </c>
      <c r="AL52" s="5">
        <f t="shared" si="3"/>
        <v>5</v>
      </c>
      <c r="AM52" s="5">
        <v>5.0</v>
      </c>
      <c r="AN52" s="5">
        <f t="shared" si="4"/>
        <v>3</v>
      </c>
      <c r="AO52" s="5">
        <v>3.0</v>
      </c>
      <c r="AP52" s="5">
        <f t="shared" si="5"/>
        <v>5</v>
      </c>
      <c r="AQ52" s="5" t="s">
        <v>445</v>
      </c>
    </row>
    <row r="53">
      <c r="A53" s="8">
        <v>829.0</v>
      </c>
      <c r="B53" s="7">
        <v>45868.19375</v>
      </c>
      <c r="C53" s="5" t="s">
        <v>446</v>
      </c>
      <c r="D53" s="5" t="s">
        <v>442</v>
      </c>
      <c r="E53" s="5" t="s">
        <v>197</v>
      </c>
      <c r="F53" s="5">
        <v>5.0</v>
      </c>
      <c r="G53" s="5">
        <v>3.0</v>
      </c>
      <c r="H53" s="5" t="s">
        <v>199</v>
      </c>
      <c r="I53" s="5">
        <v>4.0</v>
      </c>
      <c r="J53" s="5">
        <v>5.0</v>
      </c>
      <c r="K53" s="5">
        <v>7.0</v>
      </c>
      <c r="L53" s="5">
        <v>6.0</v>
      </c>
      <c r="M53" s="5">
        <v>7.0</v>
      </c>
      <c r="N53" s="5">
        <v>7.0</v>
      </c>
      <c r="O53" s="5">
        <v>6.0</v>
      </c>
      <c r="P53" s="5">
        <v>6.0</v>
      </c>
      <c r="Q53" s="5">
        <v>3.0</v>
      </c>
      <c r="R53" s="5">
        <v>5.0</v>
      </c>
      <c r="S53" s="5">
        <v>5.0</v>
      </c>
      <c r="T53" s="5">
        <v>5.0</v>
      </c>
      <c r="U53" s="5">
        <f t="shared" si="1"/>
        <v>3</v>
      </c>
      <c r="V53" s="5" t="s">
        <v>447</v>
      </c>
      <c r="W53" s="5" t="s">
        <v>206</v>
      </c>
      <c r="X53" s="5">
        <v>5.0</v>
      </c>
      <c r="Y53" s="5">
        <v>5.0</v>
      </c>
      <c r="Z53" s="5">
        <v>4.0</v>
      </c>
      <c r="AA53" s="5">
        <v>5.0</v>
      </c>
      <c r="AB53" s="5">
        <v>3.0</v>
      </c>
      <c r="AC53" s="5">
        <v>5.0</v>
      </c>
      <c r="AD53" s="5" t="s">
        <v>448</v>
      </c>
      <c r="AE53" s="5" t="s">
        <v>206</v>
      </c>
      <c r="AF53" s="5">
        <v>6.0</v>
      </c>
      <c r="AG53" s="5">
        <v>6.0</v>
      </c>
      <c r="AH53" s="5">
        <v>6.0</v>
      </c>
      <c r="AI53" s="5">
        <v>2.0</v>
      </c>
      <c r="AJ53" s="5">
        <f t="shared" si="2"/>
        <v>6</v>
      </c>
      <c r="AK53" s="5">
        <v>1.0</v>
      </c>
      <c r="AL53" s="5">
        <f t="shared" si="3"/>
        <v>7</v>
      </c>
      <c r="AM53" s="5">
        <v>2.0</v>
      </c>
      <c r="AN53" s="5">
        <f t="shared" si="4"/>
        <v>6</v>
      </c>
      <c r="AO53" s="5">
        <v>1.0</v>
      </c>
      <c r="AP53" s="5">
        <f t="shared" si="5"/>
        <v>7</v>
      </c>
      <c r="AQ53" s="5" t="s">
        <v>449</v>
      </c>
    </row>
    <row r="54">
      <c r="A54" s="8">
        <v>1471.0</v>
      </c>
      <c r="B54" s="7">
        <v>45868.20138888889</v>
      </c>
      <c r="C54" s="5" t="s">
        <v>450</v>
      </c>
      <c r="D54" s="5" t="s">
        <v>433</v>
      </c>
      <c r="E54" s="5" t="s">
        <v>197</v>
      </c>
      <c r="F54" s="5">
        <v>6.0</v>
      </c>
      <c r="G54" s="5">
        <v>6.0</v>
      </c>
      <c r="H54" s="5" t="s">
        <v>199</v>
      </c>
      <c r="I54" s="5">
        <v>6.0</v>
      </c>
      <c r="J54" s="5">
        <v>7.0</v>
      </c>
      <c r="K54" s="5">
        <v>7.0</v>
      </c>
      <c r="L54" s="5">
        <v>6.0</v>
      </c>
      <c r="M54" s="5">
        <v>4.0</v>
      </c>
      <c r="N54" s="5">
        <v>6.0</v>
      </c>
      <c r="O54" s="5">
        <v>6.0</v>
      </c>
      <c r="P54" s="5">
        <v>6.0</v>
      </c>
      <c r="Q54" s="5">
        <v>6.0</v>
      </c>
      <c r="R54" s="5">
        <v>5.0</v>
      </c>
      <c r="S54" s="5">
        <v>7.0</v>
      </c>
      <c r="T54" s="5">
        <v>6.0</v>
      </c>
      <c r="U54" s="5">
        <f t="shared" si="1"/>
        <v>2</v>
      </c>
      <c r="V54" s="11" t="s">
        <v>451</v>
      </c>
      <c r="W54" s="5" t="s">
        <v>206</v>
      </c>
      <c r="X54" s="5">
        <v>6.0</v>
      </c>
      <c r="Y54" s="5">
        <v>6.0</v>
      </c>
      <c r="Z54" s="5">
        <v>6.0</v>
      </c>
      <c r="AA54" s="5">
        <v>5.0</v>
      </c>
      <c r="AB54" s="5">
        <v>5.0</v>
      </c>
      <c r="AC54" s="5">
        <v>6.0</v>
      </c>
      <c r="AD54" s="5" t="s">
        <v>452</v>
      </c>
      <c r="AE54" s="5" t="s">
        <v>206</v>
      </c>
      <c r="AF54" s="5">
        <v>6.0</v>
      </c>
      <c r="AG54" s="5">
        <v>2.0</v>
      </c>
      <c r="AH54" s="5">
        <v>7.0</v>
      </c>
      <c r="AI54" s="5">
        <v>2.0</v>
      </c>
      <c r="AJ54" s="5">
        <f t="shared" si="2"/>
        <v>6</v>
      </c>
      <c r="AK54" s="5">
        <v>2.0</v>
      </c>
      <c r="AL54" s="5">
        <f t="shared" si="3"/>
        <v>6</v>
      </c>
      <c r="AM54" s="5">
        <v>5.0</v>
      </c>
      <c r="AN54" s="5">
        <f t="shared" si="4"/>
        <v>3</v>
      </c>
      <c r="AO54" s="5">
        <v>6.0</v>
      </c>
      <c r="AP54" s="5">
        <f t="shared" si="5"/>
        <v>2</v>
      </c>
      <c r="AQ54" s="11" t="s">
        <v>453</v>
      </c>
    </row>
    <row r="55">
      <c r="A55" s="8">
        <v>626.0</v>
      </c>
      <c r="B55" s="7">
        <v>45868.20208333333</v>
      </c>
      <c r="C55" s="5" t="s">
        <v>454</v>
      </c>
      <c r="D55" s="5" t="s">
        <v>442</v>
      </c>
      <c r="E55" s="5" t="s">
        <v>216</v>
      </c>
      <c r="F55" s="5">
        <v>5.0</v>
      </c>
      <c r="G55" s="5">
        <v>5.0</v>
      </c>
      <c r="H55" s="5" t="s">
        <v>199</v>
      </c>
      <c r="I55" s="5">
        <v>5.0</v>
      </c>
      <c r="J55" s="5">
        <v>5.0</v>
      </c>
      <c r="K55" s="5">
        <v>6.0</v>
      </c>
      <c r="L55" s="5">
        <v>5.0</v>
      </c>
      <c r="M55" s="5">
        <v>5.0</v>
      </c>
      <c r="N55" s="5">
        <v>5.0</v>
      </c>
      <c r="O55" s="5">
        <v>5.0</v>
      </c>
      <c r="P55" s="5">
        <v>5.0</v>
      </c>
      <c r="Q55" s="5">
        <v>4.0</v>
      </c>
      <c r="R55" s="5">
        <v>3.0</v>
      </c>
      <c r="S55" s="5">
        <v>5.0</v>
      </c>
      <c r="T55" s="5">
        <v>2.0</v>
      </c>
      <c r="U55" s="5">
        <f t="shared" si="1"/>
        <v>6</v>
      </c>
      <c r="V55" s="5" t="s">
        <v>455</v>
      </c>
      <c r="W55" s="5" t="s">
        <v>206</v>
      </c>
      <c r="X55" s="5">
        <v>5.0</v>
      </c>
      <c r="Y55" s="5">
        <v>5.0</v>
      </c>
      <c r="Z55" s="5">
        <v>5.0</v>
      </c>
      <c r="AA55" s="5">
        <v>6.0</v>
      </c>
      <c r="AB55" s="5">
        <v>6.0</v>
      </c>
      <c r="AC55" s="5">
        <v>6.0</v>
      </c>
      <c r="AD55" s="5" t="s">
        <v>456</v>
      </c>
      <c r="AE55" s="5" t="s">
        <v>206</v>
      </c>
      <c r="AF55" s="5">
        <v>6.0</v>
      </c>
      <c r="AG55" s="5">
        <v>6.0</v>
      </c>
      <c r="AH55" s="5">
        <v>6.0</v>
      </c>
      <c r="AI55" s="5">
        <v>2.0</v>
      </c>
      <c r="AJ55" s="5">
        <f t="shared" si="2"/>
        <v>6</v>
      </c>
      <c r="AK55" s="5">
        <v>2.0</v>
      </c>
      <c r="AL55" s="5">
        <f t="shared" si="3"/>
        <v>6</v>
      </c>
      <c r="AM55" s="5">
        <v>2.0</v>
      </c>
      <c r="AN55" s="5">
        <f t="shared" si="4"/>
        <v>6</v>
      </c>
      <c r="AO55" s="5">
        <v>2.0</v>
      </c>
      <c r="AP55" s="5">
        <f t="shared" si="5"/>
        <v>6</v>
      </c>
      <c r="AQ55" s="5" t="s">
        <v>457</v>
      </c>
    </row>
    <row r="56">
      <c r="A56" s="8">
        <v>319.0</v>
      </c>
      <c r="B56" s="7">
        <v>45868.21527777778</v>
      </c>
      <c r="C56" s="5" t="s">
        <v>458</v>
      </c>
      <c r="D56" s="5" t="s">
        <v>442</v>
      </c>
      <c r="E56" s="5" t="s">
        <v>263</v>
      </c>
      <c r="F56" s="5">
        <v>5.0</v>
      </c>
      <c r="G56" s="5">
        <v>5.0</v>
      </c>
      <c r="H56" s="5" t="s">
        <v>199</v>
      </c>
      <c r="I56" s="5">
        <v>6.0</v>
      </c>
      <c r="J56" s="5">
        <v>5.0</v>
      </c>
      <c r="K56" s="5">
        <v>5.0</v>
      </c>
      <c r="L56" s="5">
        <v>6.0</v>
      </c>
      <c r="M56" s="5">
        <v>6.0</v>
      </c>
      <c r="N56" s="5">
        <v>6.0</v>
      </c>
      <c r="O56" s="5">
        <v>6.0</v>
      </c>
      <c r="P56" s="5">
        <v>6.0</v>
      </c>
      <c r="Q56" s="5">
        <v>5.0</v>
      </c>
      <c r="R56" s="5">
        <v>4.0</v>
      </c>
      <c r="S56" s="5">
        <v>6.0</v>
      </c>
      <c r="T56" s="5">
        <v>4.0</v>
      </c>
      <c r="U56" s="5">
        <f t="shared" si="1"/>
        <v>4</v>
      </c>
      <c r="V56" s="5" t="s">
        <v>459</v>
      </c>
      <c r="W56" s="5" t="s">
        <v>206</v>
      </c>
      <c r="X56" s="5">
        <v>6.0</v>
      </c>
      <c r="Y56" s="5">
        <v>6.0</v>
      </c>
      <c r="Z56" s="5">
        <v>6.0</v>
      </c>
      <c r="AA56" s="5">
        <v>4.0</v>
      </c>
      <c r="AB56" s="5">
        <v>6.0</v>
      </c>
      <c r="AC56" s="5">
        <v>6.0</v>
      </c>
      <c r="AD56" s="5" t="s">
        <v>460</v>
      </c>
      <c r="AE56" s="5" t="s">
        <v>206</v>
      </c>
      <c r="AF56" s="5">
        <v>5.0</v>
      </c>
      <c r="AG56" s="5">
        <v>5.0</v>
      </c>
      <c r="AH56" s="5">
        <v>4.0</v>
      </c>
      <c r="AI56" s="5">
        <v>3.0</v>
      </c>
      <c r="AJ56" s="5">
        <f t="shared" si="2"/>
        <v>5</v>
      </c>
      <c r="AK56" s="5">
        <v>3.0</v>
      </c>
      <c r="AL56" s="5">
        <f t="shared" si="3"/>
        <v>5</v>
      </c>
      <c r="AM56" s="5">
        <v>5.0</v>
      </c>
      <c r="AN56" s="5">
        <f t="shared" si="4"/>
        <v>3</v>
      </c>
      <c r="AO56" s="5">
        <v>5.0</v>
      </c>
      <c r="AP56" s="5">
        <f t="shared" si="5"/>
        <v>3</v>
      </c>
      <c r="AQ56" s="5" t="s">
        <v>461</v>
      </c>
    </row>
    <row r="57">
      <c r="A57" s="8">
        <v>746.0</v>
      </c>
      <c r="B57" s="7">
        <v>45868.21597222222</v>
      </c>
      <c r="C57" s="5" t="s">
        <v>462</v>
      </c>
      <c r="D57" s="5" t="s">
        <v>433</v>
      </c>
      <c r="E57" s="5" t="s">
        <v>263</v>
      </c>
      <c r="F57" s="5">
        <v>6.0</v>
      </c>
      <c r="G57" s="5">
        <v>5.0</v>
      </c>
      <c r="H57" s="5" t="s">
        <v>199</v>
      </c>
      <c r="I57" s="5">
        <v>6.0</v>
      </c>
      <c r="J57" s="5">
        <v>7.0</v>
      </c>
      <c r="K57" s="5">
        <v>6.0</v>
      </c>
      <c r="L57" s="5">
        <v>6.0</v>
      </c>
      <c r="M57" s="5">
        <v>5.0</v>
      </c>
      <c r="N57" s="5">
        <v>6.0</v>
      </c>
      <c r="O57" s="5">
        <v>6.0</v>
      </c>
      <c r="P57" s="5">
        <v>6.0</v>
      </c>
      <c r="Q57" s="5">
        <v>2.0</v>
      </c>
      <c r="R57" s="5">
        <v>3.0</v>
      </c>
      <c r="S57" s="5">
        <v>5.0</v>
      </c>
      <c r="T57" s="5">
        <v>6.0</v>
      </c>
      <c r="U57" s="5">
        <f t="shared" si="1"/>
        <v>2</v>
      </c>
      <c r="V57" s="11" t="s">
        <v>463</v>
      </c>
      <c r="W57" s="5" t="s">
        <v>206</v>
      </c>
      <c r="X57" s="5">
        <v>6.0</v>
      </c>
      <c r="Y57" s="5">
        <v>6.0</v>
      </c>
      <c r="Z57" s="5">
        <v>6.0</v>
      </c>
      <c r="AA57" s="5">
        <v>5.0</v>
      </c>
      <c r="AB57" s="5">
        <v>5.0</v>
      </c>
      <c r="AC57" s="5">
        <v>6.0</v>
      </c>
      <c r="AD57" s="5" t="s">
        <v>464</v>
      </c>
      <c r="AE57" s="5" t="s">
        <v>206</v>
      </c>
      <c r="AF57" s="5">
        <v>6.0</v>
      </c>
      <c r="AG57" s="5">
        <v>5.0</v>
      </c>
      <c r="AH57" s="5">
        <v>7.0</v>
      </c>
      <c r="AI57" s="5">
        <v>2.0</v>
      </c>
      <c r="AJ57" s="5">
        <f t="shared" si="2"/>
        <v>6</v>
      </c>
      <c r="AK57" s="5">
        <v>2.0</v>
      </c>
      <c r="AL57" s="5">
        <f t="shared" si="3"/>
        <v>6</v>
      </c>
      <c r="AM57" s="5">
        <v>6.0</v>
      </c>
      <c r="AN57" s="5">
        <f t="shared" si="4"/>
        <v>2</v>
      </c>
      <c r="AO57" s="5">
        <v>5.0</v>
      </c>
      <c r="AP57" s="5">
        <f t="shared" si="5"/>
        <v>3</v>
      </c>
      <c r="AQ57" s="11" t="s">
        <v>465</v>
      </c>
    </row>
    <row r="58">
      <c r="A58" s="8">
        <v>459.0</v>
      </c>
      <c r="B58" s="7">
        <v>45868.222916666666</v>
      </c>
      <c r="C58" s="5" t="s">
        <v>466</v>
      </c>
      <c r="D58" s="5" t="s">
        <v>411</v>
      </c>
      <c r="E58" s="5" t="s">
        <v>211</v>
      </c>
      <c r="F58" s="5">
        <v>3.0</v>
      </c>
      <c r="G58" s="5">
        <v>3.0</v>
      </c>
      <c r="H58" s="5" t="s">
        <v>199</v>
      </c>
      <c r="I58" s="5">
        <v>5.0</v>
      </c>
      <c r="J58" s="5">
        <v>5.0</v>
      </c>
      <c r="K58" s="5">
        <v>4.0</v>
      </c>
      <c r="L58" s="5">
        <v>5.0</v>
      </c>
      <c r="M58" s="5">
        <v>5.0</v>
      </c>
      <c r="N58" s="5">
        <v>6.0</v>
      </c>
      <c r="O58" s="5">
        <v>5.0</v>
      </c>
      <c r="P58" s="5">
        <v>5.0</v>
      </c>
      <c r="Q58" s="5">
        <v>4.0</v>
      </c>
      <c r="R58" s="5">
        <v>4.0</v>
      </c>
      <c r="S58" s="5">
        <v>5.0</v>
      </c>
      <c r="T58" s="5">
        <v>7.0</v>
      </c>
      <c r="U58" s="5">
        <f t="shared" si="1"/>
        <v>1</v>
      </c>
      <c r="V58" s="5" t="s">
        <v>467</v>
      </c>
      <c r="W58" s="5" t="s">
        <v>206</v>
      </c>
      <c r="X58" s="5">
        <v>5.0</v>
      </c>
      <c r="Y58" s="5">
        <v>6.0</v>
      </c>
      <c r="Z58" s="5">
        <v>6.0</v>
      </c>
      <c r="AA58" s="5">
        <v>5.0</v>
      </c>
      <c r="AB58" s="5">
        <v>4.0</v>
      </c>
      <c r="AC58" s="5">
        <v>5.0</v>
      </c>
      <c r="AD58" s="5" t="s">
        <v>413</v>
      </c>
      <c r="AE58" s="5" t="s">
        <v>206</v>
      </c>
      <c r="AF58" s="5">
        <v>5.0</v>
      </c>
      <c r="AG58" s="5">
        <v>5.0</v>
      </c>
      <c r="AH58" s="5">
        <v>6.0</v>
      </c>
      <c r="AI58" s="5">
        <v>1.0</v>
      </c>
      <c r="AJ58" s="5">
        <f t="shared" si="2"/>
        <v>7</v>
      </c>
      <c r="AK58" s="5">
        <v>1.0</v>
      </c>
      <c r="AL58" s="5">
        <f t="shared" si="3"/>
        <v>7</v>
      </c>
      <c r="AM58" s="5">
        <v>1.0</v>
      </c>
      <c r="AN58" s="5">
        <f t="shared" si="4"/>
        <v>7</v>
      </c>
      <c r="AO58" s="5">
        <v>1.0</v>
      </c>
      <c r="AP58" s="5">
        <f t="shared" si="5"/>
        <v>7</v>
      </c>
      <c r="AQ58" s="5" t="s">
        <v>413</v>
      </c>
    </row>
    <row r="59">
      <c r="A59" s="8">
        <v>309.0</v>
      </c>
      <c r="B59" s="7">
        <v>45868.22986111111</v>
      </c>
      <c r="C59" s="5" t="s">
        <v>468</v>
      </c>
      <c r="D59" s="5" t="s">
        <v>411</v>
      </c>
      <c r="E59" s="5" t="s">
        <v>216</v>
      </c>
      <c r="F59" s="5">
        <v>4.0</v>
      </c>
      <c r="G59" s="5">
        <v>2.0</v>
      </c>
      <c r="H59" s="5" t="s">
        <v>199</v>
      </c>
      <c r="I59" s="5">
        <v>5.0</v>
      </c>
      <c r="J59" s="5">
        <v>6.0</v>
      </c>
      <c r="K59" s="5">
        <v>3.0</v>
      </c>
      <c r="L59" s="5">
        <v>2.0</v>
      </c>
      <c r="M59" s="5">
        <v>5.0</v>
      </c>
      <c r="N59" s="5">
        <v>5.0</v>
      </c>
      <c r="O59" s="5">
        <v>5.0</v>
      </c>
      <c r="P59" s="5">
        <v>5.0</v>
      </c>
      <c r="Q59" s="5">
        <v>3.0</v>
      </c>
      <c r="R59" s="5">
        <v>4.0</v>
      </c>
      <c r="S59" s="5">
        <v>5.0</v>
      </c>
      <c r="T59" s="5">
        <v>3.0</v>
      </c>
      <c r="U59" s="5">
        <f t="shared" si="1"/>
        <v>5</v>
      </c>
      <c r="V59" s="5" t="s">
        <v>413</v>
      </c>
      <c r="W59" s="5" t="s">
        <v>206</v>
      </c>
      <c r="X59" s="5">
        <v>5.0</v>
      </c>
      <c r="Y59" s="5">
        <v>5.0</v>
      </c>
      <c r="Z59" s="5">
        <v>4.0</v>
      </c>
      <c r="AA59" s="5">
        <v>5.0</v>
      </c>
      <c r="AB59" s="5">
        <v>5.0</v>
      </c>
      <c r="AC59" s="5">
        <v>5.0</v>
      </c>
      <c r="AD59" s="5" t="s">
        <v>413</v>
      </c>
      <c r="AE59" s="5" t="s">
        <v>206</v>
      </c>
      <c r="AF59" s="5">
        <v>6.0</v>
      </c>
      <c r="AG59" s="5">
        <v>5.0</v>
      </c>
      <c r="AH59" s="5">
        <v>5.0</v>
      </c>
      <c r="AI59" s="5">
        <v>1.0</v>
      </c>
      <c r="AJ59" s="5">
        <f t="shared" si="2"/>
        <v>7</v>
      </c>
      <c r="AK59" s="5">
        <v>1.0</v>
      </c>
      <c r="AL59" s="5">
        <f t="shared" si="3"/>
        <v>7</v>
      </c>
      <c r="AM59" s="5">
        <v>1.0</v>
      </c>
      <c r="AN59" s="5">
        <f t="shared" si="4"/>
        <v>7</v>
      </c>
      <c r="AO59" s="5">
        <v>1.0</v>
      </c>
      <c r="AP59" s="5">
        <f t="shared" si="5"/>
        <v>7</v>
      </c>
      <c r="AQ59" s="5" t="s">
        <v>413</v>
      </c>
    </row>
    <row r="60">
      <c r="A60" s="8">
        <v>723.0</v>
      </c>
      <c r="B60" s="7">
        <v>45868.2375</v>
      </c>
      <c r="C60" s="5" t="s">
        <v>469</v>
      </c>
      <c r="D60" s="5" t="s">
        <v>470</v>
      </c>
      <c r="E60" s="5" t="s">
        <v>197</v>
      </c>
      <c r="F60" s="5">
        <v>5.0</v>
      </c>
      <c r="G60" s="5">
        <v>6.0</v>
      </c>
      <c r="H60" s="5" t="s">
        <v>199</v>
      </c>
      <c r="I60" s="5">
        <v>6.0</v>
      </c>
      <c r="J60" s="5">
        <v>6.0</v>
      </c>
      <c r="K60" s="5">
        <v>6.0</v>
      </c>
      <c r="L60" s="5">
        <v>6.0</v>
      </c>
      <c r="M60" s="5">
        <v>5.0</v>
      </c>
      <c r="N60" s="5">
        <v>6.0</v>
      </c>
      <c r="O60" s="5">
        <v>6.0</v>
      </c>
      <c r="P60" s="5">
        <v>6.0</v>
      </c>
      <c r="Q60" s="5">
        <v>4.0</v>
      </c>
      <c r="R60" s="5">
        <v>4.0</v>
      </c>
      <c r="S60" s="5">
        <v>5.0</v>
      </c>
      <c r="T60" s="5">
        <v>5.0</v>
      </c>
      <c r="U60" s="5">
        <f t="shared" si="1"/>
        <v>3</v>
      </c>
      <c r="V60" s="5" t="s">
        <v>471</v>
      </c>
      <c r="W60" s="5" t="s">
        <v>206</v>
      </c>
      <c r="X60" s="5">
        <v>4.0</v>
      </c>
      <c r="Y60" s="5">
        <v>4.0</v>
      </c>
      <c r="Z60" s="5">
        <v>5.0</v>
      </c>
      <c r="AA60" s="5">
        <v>6.0</v>
      </c>
      <c r="AB60" s="5">
        <v>5.0</v>
      </c>
      <c r="AC60" s="5">
        <v>6.0</v>
      </c>
      <c r="AD60" s="5" t="s">
        <v>472</v>
      </c>
      <c r="AE60" s="5" t="s">
        <v>206</v>
      </c>
      <c r="AF60" s="5">
        <v>5.0</v>
      </c>
      <c r="AG60" s="5">
        <v>6.0</v>
      </c>
      <c r="AH60" s="5">
        <v>6.0</v>
      </c>
      <c r="AI60" s="5">
        <v>5.0</v>
      </c>
      <c r="AJ60" s="5">
        <f t="shared" si="2"/>
        <v>3</v>
      </c>
      <c r="AK60" s="5">
        <v>5.0</v>
      </c>
      <c r="AL60" s="5">
        <f t="shared" si="3"/>
        <v>3</v>
      </c>
      <c r="AM60" s="5">
        <v>7.0</v>
      </c>
      <c r="AN60" s="5">
        <f t="shared" si="4"/>
        <v>1</v>
      </c>
      <c r="AO60" s="5">
        <v>2.0</v>
      </c>
      <c r="AP60" s="5">
        <f t="shared" si="5"/>
        <v>6</v>
      </c>
      <c r="AQ60" s="5" t="s">
        <v>473</v>
      </c>
    </row>
    <row r="61">
      <c r="A61" s="8">
        <v>488.0</v>
      </c>
      <c r="B61" s="7">
        <v>45868.24930555555</v>
      </c>
      <c r="C61" s="5" t="s">
        <v>474</v>
      </c>
      <c r="D61" s="5" t="s">
        <v>470</v>
      </c>
      <c r="E61" s="5" t="s">
        <v>263</v>
      </c>
      <c r="F61" s="5">
        <v>6.0</v>
      </c>
      <c r="G61" s="5">
        <v>6.0</v>
      </c>
      <c r="H61" s="5" t="s">
        <v>199</v>
      </c>
      <c r="I61" s="5">
        <v>6.0</v>
      </c>
      <c r="J61" s="5">
        <v>5.0</v>
      </c>
      <c r="K61" s="5">
        <v>6.0</v>
      </c>
      <c r="L61" s="5">
        <v>6.0</v>
      </c>
      <c r="M61" s="5">
        <v>6.0</v>
      </c>
      <c r="N61" s="5">
        <v>6.0</v>
      </c>
      <c r="O61" s="5">
        <v>7.0</v>
      </c>
      <c r="P61" s="5">
        <v>6.0</v>
      </c>
      <c r="Q61" s="5">
        <v>6.0</v>
      </c>
      <c r="R61" s="5">
        <v>5.0</v>
      </c>
      <c r="S61" s="5">
        <v>6.0</v>
      </c>
      <c r="T61" s="5">
        <v>7.0</v>
      </c>
      <c r="U61" s="5">
        <f t="shared" si="1"/>
        <v>1</v>
      </c>
      <c r="V61" s="5" t="s">
        <v>475</v>
      </c>
      <c r="W61" s="5" t="s">
        <v>206</v>
      </c>
      <c r="X61" s="5">
        <v>6.0</v>
      </c>
      <c r="Y61" s="5">
        <v>5.0</v>
      </c>
      <c r="Z61" s="5">
        <v>6.0</v>
      </c>
      <c r="AA61" s="5">
        <v>5.0</v>
      </c>
      <c r="AB61" s="5">
        <v>5.0</v>
      </c>
      <c r="AC61" s="5">
        <v>5.0</v>
      </c>
      <c r="AD61" s="5" t="s">
        <v>476</v>
      </c>
      <c r="AE61" s="5" t="s">
        <v>206</v>
      </c>
      <c r="AF61" s="5">
        <v>6.0</v>
      </c>
      <c r="AG61" s="5">
        <v>6.0</v>
      </c>
      <c r="AH61" s="5">
        <v>6.0</v>
      </c>
      <c r="AI61" s="5">
        <v>5.0</v>
      </c>
      <c r="AJ61" s="5">
        <f t="shared" si="2"/>
        <v>3</v>
      </c>
      <c r="AK61" s="5">
        <v>5.0</v>
      </c>
      <c r="AL61" s="5">
        <f t="shared" si="3"/>
        <v>3</v>
      </c>
      <c r="AM61" s="5">
        <v>6.0</v>
      </c>
      <c r="AN61" s="5">
        <f t="shared" si="4"/>
        <v>2</v>
      </c>
      <c r="AO61" s="5">
        <v>4.0</v>
      </c>
      <c r="AP61" s="5">
        <f t="shared" si="5"/>
        <v>4</v>
      </c>
      <c r="AQ61" s="5" t="s">
        <v>477</v>
      </c>
    </row>
    <row r="62">
      <c r="A62" s="8">
        <v>675.0</v>
      </c>
      <c r="B62" s="7">
        <v>45868.256944444445</v>
      </c>
      <c r="C62" s="5" t="s">
        <v>478</v>
      </c>
      <c r="D62" s="5" t="s">
        <v>428</v>
      </c>
      <c r="E62" s="5" t="s">
        <v>197</v>
      </c>
      <c r="F62" s="5">
        <v>3.0</v>
      </c>
      <c r="G62" s="5">
        <v>2.0</v>
      </c>
      <c r="H62" s="5" t="s">
        <v>199</v>
      </c>
      <c r="I62" s="5">
        <v>5.0</v>
      </c>
      <c r="J62" s="5">
        <v>5.0</v>
      </c>
      <c r="K62" s="5">
        <v>2.0</v>
      </c>
      <c r="L62" s="5">
        <v>2.0</v>
      </c>
      <c r="M62" s="5">
        <v>2.0</v>
      </c>
      <c r="N62" s="5">
        <v>5.0</v>
      </c>
      <c r="O62" s="5">
        <v>5.0</v>
      </c>
      <c r="P62" s="5">
        <v>5.0</v>
      </c>
      <c r="Q62" s="5">
        <v>2.0</v>
      </c>
      <c r="R62" s="5">
        <v>4.0</v>
      </c>
      <c r="S62" s="5">
        <v>5.0</v>
      </c>
      <c r="T62" s="5">
        <v>2.0</v>
      </c>
      <c r="U62" s="5">
        <f t="shared" si="1"/>
        <v>6</v>
      </c>
      <c r="V62" s="5" t="s">
        <v>479</v>
      </c>
      <c r="W62" s="5" t="s">
        <v>206</v>
      </c>
      <c r="X62" s="5">
        <v>5.0</v>
      </c>
      <c r="Y62" s="5">
        <v>5.0</v>
      </c>
      <c r="Z62" s="5">
        <v>5.0</v>
      </c>
      <c r="AA62" s="5">
        <v>3.0</v>
      </c>
      <c r="AB62" s="5">
        <v>3.0</v>
      </c>
      <c r="AC62" s="5">
        <v>5.0</v>
      </c>
      <c r="AD62" s="5" t="s">
        <v>480</v>
      </c>
      <c r="AE62" s="5" t="s">
        <v>206</v>
      </c>
      <c r="AF62" s="5">
        <v>5.0</v>
      </c>
      <c r="AG62" s="5">
        <v>5.0</v>
      </c>
      <c r="AH62" s="5">
        <v>4.0</v>
      </c>
      <c r="AI62" s="5">
        <v>5.0</v>
      </c>
      <c r="AJ62" s="5">
        <f t="shared" si="2"/>
        <v>3</v>
      </c>
      <c r="AK62" s="5">
        <v>5.0</v>
      </c>
      <c r="AL62" s="5">
        <f t="shared" si="3"/>
        <v>3</v>
      </c>
      <c r="AM62" s="5">
        <v>5.0</v>
      </c>
      <c r="AN62" s="5">
        <f t="shared" si="4"/>
        <v>3</v>
      </c>
      <c r="AO62" s="5">
        <v>3.0</v>
      </c>
      <c r="AP62" s="5">
        <f t="shared" si="5"/>
        <v>5</v>
      </c>
      <c r="AQ62" s="5" t="s">
        <v>481</v>
      </c>
    </row>
    <row r="63">
      <c r="A63" s="8">
        <v>735.0</v>
      </c>
      <c r="B63" s="7">
        <v>45868.25833333333</v>
      </c>
      <c r="C63" s="5" t="s">
        <v>482</v>
      </c>
      <c r="D63" s="5" t="s">
        <v>470</v>
      </c>
      <c r="E63" s="5" t="s">
        <v>211</v>
      </c>
      <c r="F63" s="5">
        <v>4.0</v>
      </c>
      <c r="G63" s="5">
        <v>6.0</v>
      </c>
      <c r="H63" s="5" t="s">
        <v>199</v>
      </c>
      <c r="I63" s="5">
        <v>5.0</v>
      </c>
      <c r="J63" s="5">
        <v>5.0</v>
      </c>
      <c r="K63" s="5">
        <v>5.0</v>
      </c>
      <c r="L63" s="5">
        <v>5.0</v>
      </c>
      <c r="M63" s="5">
        <v>4.0</v>
      </c>
      <c r="N63" s="5">
        <v>5.0</v>
      </c>
      <c r="O63" s="5">
        <v>6.0</v>
      </c>
      <c r="P63" s="5">
        <v>6.0</v>
      </c>
      <c r="Q63" s="5">
        <v>3.0</v>
      </c>
      <c r="R63" s="5">
        <v>4.0</v>
      </c>
      <c r="S63" s="5">
        <v>6.0</v>
      </c>
      <c r="T63" s="5">
        <v>6.0</v>
      </c>
      <c r="U63" s="5">
        <f t="shared" si="1"/>
        <v>2</v>
      </c>
      <c r="V63" s="5" t="s">
        <v>483</v>
      </c>
      <c r="W63" s="5" t="s">
        <v>206</v>
      </c>
      <c r="X63" s="5">
        <v>5.0</v>
      </c>
      <c r="Y63" s="5">
        <v>4.0</v>
      </c>
      <c r="Z63" s="5">
        <v>5.0</v>
      </c>
      <c r="AA63" s="5">
        <v>3.0</v>
      </c>
      <c r="AB63" s="5">
        <v>3.0</v>
      </c>
      <c r="AC63" s="5">
        <v>6.0</v>
      </c>
      <c r="AD63" s="5" t="s">
        <v>484</v>
      </c>
      <c r="AE63" s="5" t="s">
        <v>206</v>
      </c>
      <c r="AF63" s="5">
        <v>6.0</v>
      </c>
      <c r="AG63" s="5">
        <v>6.0</v>
      </c>
      <c r="AH63" s="5">
        <v>4.0</v>
      </c>
      <c r="AI63" s="5">
        <v>5.0</v>
      </c>
      <c r="AJ63" s="5">
        <f t="shared" si="2"/>
        <v>3</v>
      </c>
      <c r="AK63" s="5">
        <v>4.0</v>
      </c>
      <c r="AL63" s="5">
        <f t="shared" si="3"/>
        <v>4</v>
      </c>
      <c r="AM63" s="5">
        <v>6.0</v>
      </c>
      <c r="AN63" s="5">
        <f t="shared" si="4"/>
        <v>2</v>
      </c>
      <c r="AO63" s="5">
        <v>3.0</v>
      </c>
      <c r="AP63" s="5">
        <f t="shared" si="5"/>
        <v>5</v>
      </c>
      <c r="AQ63" s="5" t="s">
        <v>485</v>
      </c>
    </row>
    <row r="64">
      <c r="A64" s="8">
        <v>537.0</v>
      </c>
      <c r="B64" s="7">
        <v>45868.26527777778</v>
      </c>
      <c r="C64" s="5" t="s">
        <v>486</v>
      </c>
      <c r="D64" s="5" t="s">
        <v>470</v>
      </c>
      <c r="E64" s="5" t="s">
        <v>216</v>
      </c>
      <c r="F64" s="5">
        <v>6.0</v>
      </c>
      <c r="G64" s="5">
        <v>6.0</v>
      </c>
      <c r="H64" s="5" t="s">
        <v>199</v>
      </c>
      <c r="I64" s="5">
        <v>7.0</v>
      </c>
      <c r="J64" s="5">
        <v>6.0</v>
      </c>
      <c r="K64" s="5">
        <v>4.0</v>
      </c>
      <c r="L64" s="5">
        <v>6.0</v>
      </c>
      <c r="M64" s="5">
        <v>5.0</v>
      </c>
      <c r="N64" s="5">
        <v>6.0</v>
      </c>
      <c r="O64" s="5">
        <v>6.0</v>
      </c>
      <c r="P64" s="5">
        <v>6.0</v>
      </c>
      <c r="Q64" s="5">
        <v>5.0</v>
      </c>
      <c r="R64" s="5">
        <v>5.0</v>
      </c>
      <c r="S64" s="5">
        <v>6.0</v>
      </c>
      <c r="T64" s="5">
        <v>5.0</v>
      </c>
      <c r="U64" s="5">
        <f t="shared" si="1"/>
        <v>3</v>
      </c>
      <c r="V64" s="5" t="s">
        <v>487</v>
      </c>
      <c r="W64" s="5" t="s">
        <v>206</v>
      </c>
      <c r="X64" s="5">
        <v>6.0</v>
      </c>
      <c r="Y64" s="5">
        <v>6.0</v>
      </c>
      <c r="Z64" s="5">
        <v>6.0</v>
      </c>
      <c r="AA64" s="5">
        <v>5.0</v>
      </c>
      <c r="AB64" s="5">
        <v>6.0</v>
      </c>
      <c r="AC64" s="5">
        <v>6.0</v>
      </c>
      <c r="AD64" s="5" t="s">
        <v>488</v>
      </c>
      <c r="AE64" s="5" t="s">
        <v>206</v>
      </c>
      <c r="AF64" s="5">
        <v>6.0</v>
      </c>
      <c r="AG64" s="5">
        <v>6.0</v>
      </c>
      <c r="AH64" s="5">
        <v>6.0</v>
      </c>
      <c r="AI64" s="5">
        <v>4.0</v>
      </c>
      <c r="AJ64" s="5">
        <f t="shared" si="2"/>
        <v>4</v>
      </c>
      <c r="AK64" s="5">
        <v>4.0</v>
      </c>
      <c r="AL64" s="5">
        <f t="shared" si="3"/>
        <v>4</v>
      </c>
      <c r="AM64" s="5">
        <v>5.0</v>
      </c>
      <c r="AN64" s="5">
        <f t="shared" si="4"/>
        <v>3</v>
      </c>
      <c r="AO64" s="5">
        <v>3.0</v>
      </c>
      <c r="AP64" s="5">
        <f t="shared" si="5"/>
        <v>5</v>
      </c>
      <c r="AQ64" s="5" t="s">
        <v>489</v>
      </c>
    </row>
    <row r="65">
      <c r="A65" s="8">
        <v>616.0</v>
      </c>
      <c r="B65" s="7">
        <v>45868.27222222222</v>
      </c>
      <c r="C65" s="5" t="s">
        <v>491</v>
      </c>
      <c r="D65" s="5" t="s">
        <v>428</v>
      </c>
      <c r="E65" s="5" t="s">
        <v>263</v>
      </c>
      <c r="F65" s="5">
        <v>2.0</v>
      </c>
      <c r="G65" s="5">
        <v>1.0</v>
      </c>
      <c r="H65" s="5" t="s">
        <v>199</v>
      </c>
      <c r="I65" s="5">
        <v>5.0</v>
      </c>
      <c r="J65" s="5">
        <v>4.0</v>
      </c>
      <c r="K65" s="5">
        <v>2.0</v>
      </c>
      <c r="L65" s="5">
        <v>2.0</v>
      </c>
      <c r="M65" s="5">
        <v>6.0</v>
      </c>
      <c r="N65" s="5">
        <v>5.0</v>
      </c>
      <c r="O65" s="5">
        <v>6.0</v>
      </c>
      <c r="P65" s="5">
        <v>6.0</v>
      </c>
      <c r="Q65" s="5">
        <v>2.0</v>
      </c>
      <c r="R65" s="5">
        <v>6.0</v>
      </c>
      <c r="S65" s="5">
        <v>5.0</v>
      </c>
      <c r="T65" s="5">
        <v>5.0</v>
      </c>
      <c r="U65" s="5">
        <f t="shared" si="1"/>
        <v>3</v>
      </c>
      <c r="V65" s="5" t="s">
        <v>492</v>
      </c>
      <c r="W65" s="5" t="s">
        <v>206</v>
      </c>
      <c r="X65" s="5">
        <v>2.0</v>
      </c>
      <c r="Y65" s="5">
        <v>2.0</v>
      </c>
      <c r="Z65" s="5">
        <v>2.0</v>
      </c>
      <c r="AA65" s="5">
        <v>2.0</v>
      </c>
      <c r="AB65" s="5">
        <v>7.0</v>
      </c>
      <c r="AC65" s="5">
        <v>1.0</v>
      </c>
      <c r="AD65" s="5" t="s">
        <v>493</v>
      </c>
      <c r="AE65" s="5" t="s">
        <v>206</v>
      </c>
      <c r="AF65" s="5">
        <v>6.0</v>
      </c>
      <c r="AG65" s="5">
        <v>2.0</v>
      </c>
      <c r="AH65" s="5">
        <v>3.0</v>
      </c>
      <c r="AI65" s="5">
        <v>7.0</v>
      </c>
      <c r="AJ65" s="5">
        <f t="shared" si="2"/>
        <v>1</v>
      </c>
      <c r="AK65" s="5">
        <v>7.0</v>
      </c>
      <c r="AL65" s="5">
        <f t="shared" si="3"/>
        <v>1</v>
      </c>
      <c r="AM65" s="5">
        <v>7.0</v>
      </c>
      <c r="AN65" s="5">
        <f t="shared" si="4"/>
        <v>1</v>
      </c>
      <c r="AO65" s="5">
        <v>6.0</v>
      </c>
      <c r="AP65" s="5">
        <f t="shared" si="5"/>
        <v>2</v>
      </c>
      <c r="AQ65" s="5" t="s">
        <v>494</v>
      </c>
    </row>
    <row r="66">
      <c r="A66" s="8">
        <v>1057.0</v>
      </c>
      <c r="B66" s="7">
        <v>45868.290972222225</v>
      </c>
      <c r="C66" s="5" t="s">
        <v>495</v>
      </c>
      <c r="D66" s="5" t="s">
        <v>496</v>
      </c>
      <c r="E66" s="5" t="s">
        <v>263</v>
      </c>
      <c r="F66" s="5">
        <v>2.0</v>
      </c>
      <c r="G66" s="5">
        <v>3.0</v>
      </c>
      <c r="H66" s="5" t="s">
        <v>199</v>
      </c>
      <c r="I66" s="5">
        <v>5.0</v>
      </c>
      <c r="J66" s="5">
        <v>6.0</v>
      </c>
      <c r="K66" s="5">
        <v>2.0</v>
      </c>
      <c r="L66" s="5">
        <v>6.0</v>
      </c>
      <c r="M66" s="5">
        <v>3.0</v>
      </c>
      <c r="N66" s="5">
        <v>6.0</v>
      </c>
      <c r="O66" s="5">
        <v>7.0</v>
      </c>
      <c r="P66" s="5">
        <v>7.0</v>
      </c>
      <c r="Q66" s="5">
        <v>4.0</v>
      </c>
      <c r="R66" s="5">
        <v>3.0</v>
      </c>
      <c r="S66" s="5">
        <v>5.0</v>
      </c>
      <c r="T66" s="5">
        <v>2.0</v>
      </c>
      <c r="U66" s="5">
        <f t="shared" si="1"/>
        <v>6</v>
      </c>
      <c r="V66" s="11" t="s">
        <v>497</v>
      </c>
      <c r="W66" s="5" t="s">
        <v>206</v>
      </c>
      <c r="X66" s="5">
        <v>3.0</v>
      </c>
      <c r="Y66" s="5">
        <v>6.0</v>
      </c>
      <c r="Z66" s="5">
        <v>5.0</v>
      </c>
      <c r="AA66" s="5">
        <v>4.0</v>
      </c>
      <c r="AB66" s="5">
        <v>2.0</v>
      </c>
      <c r="AC66" s="5">
        <v>4.0</v>
      </c>
      <c r="AD66" s="11" t="s">
        <v>498</v>
      </c>
      <c r="AE66" s="5" t="s">
        <v>206</v>
      </c>
      <c r="AF66" s="5">
        <v>5.0</v>
      </c>
      <c r="AG66" s="5">
        <v>1.0</v>
      </c>
      <c r="AH66" s="5">
        <v>6.0</v>
      </c>
      <c r="AI66" s="5">
        <v>4.0</v>
      </c>
      <c r="AJ66" s="5">
        <f t="shared" si="2"/>
        <v>4</v>
      </c>
      <c r="AK66" s="5">
        <v>1.0</v>
      </c>
      <c r="AL66" s="5">
        <f t="shared" si="3"/>
        <v>7</v>
      </c>
      <c r="AM66" s="5">
        <v>2.0</v>
      </c>
      <c r="AN66" s="5">
        <f t="shared" si="4"/>
        <v>6</v>
      </c>
      <c r="AO66" s="5">
        <v>2.0</v>
      </c>
      <c r="AP66" s="5">
        <f t="shared" si="5"/>
        <v>6</v>
      </c>
      <c r="AQ66" s="5" t="s">
        <v>499</v>
      </c>
    </row>
    <row r="67">
      <c r="A67" s="8">
        <v>1105.0</v>
      </c>
      <c r="B67" s="7">
        <v>45868.294444444444</v>
      </c>
      <c r="C67" s="5" t="s">
        <v>500</v>
      </c>
      <c r="D67" s="5" t="s">
        <v>501</v>
      </c>
      <c r="E67" s="5" t="s">
        <v>211</v>
      </c>
      <c r="F67" s="5">
        <v>5.0</v>
      </c>
      <c r="G67" s="5">
        <v>6.0</v>
      </c>
      <c r="H67" s="5" t="s">
        <v>199</v>
      </c>
      <c r="I67" s="5">
        <v>6.0</v>
      </c>
      <c r="J67" s="5">
        <v>6.0</v>
      </c>
      <c r="K67" s="5">
        <v>4.0</v>
      </c>
      <c r="L67" s="5">
        <v>5.0</v>
      </c>
      <c r="M67" s="5">
        <v>6.0</v>
      </c>
      <c r="N67" s="5">
        <v>6.0</v>
      </c>
      <c r="O67" s="5">
        <v>6.0</v>
      </c>
      <c r="P67" s="5">
        <v>6.0</v>
      </c>
      <c r="Q67" s="5">
        <v>6.0</v>
      </c>
      <c r="R67" s="5">
        <v>4.0</v>
      </c>
      <c r="S67" s="5">
        <v>6.0</v>
      </c>
      <c r="T67" s="5">
        <v>1.0</v>
      </c>
      <c r="U67" s="5">
        <f t="shared" si="1"/>
        <v>7</v>
      </c>
      <c r="V67" s="5" t="s">
        <v>502</v>
      </c>
      <c r="W67" s="5" t="s">
        <v>206</v>
      </c>
      <c r="X67" s="5">
        <v>6.0</v>
      </c>
      <c r="Y67" s="5">
        <v>7.0</v>
      </c>
      <c r="Z67" s="5">
        <v>7.0</v>
      </c>
      <c r="AA67" s="5">
        <v>7.0</v>
      </c>
      <c r="AB67" s="5">
        <v>6.0</v>
      </c>
      <c r="AC67" s="5">
        <v>7.0</v>
      </c>
      <c r="AD67" s="5" t="s">
        <v>503</v>
      </c>
      <c r="AE67" s="5" t="s">
        <v>206</v>
      </c>
      <c r="AF67" s="5">
        <v>7.0</v>
      </c>
      <c r="AG67" s="5">
        <v>6.0</v>
      </c>
      <c r="AH67" s="5">
        <v>7.0</v>
      </c>
      <c r="AI67" s="5">
        <v>1.0</v>
      </c>
      <c r="AJ67" s="5">
        <f t="shared" si="2"/>
        <v>7</v>
      </c>
      <c r="AK67" s="5">
        <v>1.0</v>
      </c>
      <c r="AL67" s="5">
        <f t="shared" si="3"/>
        <v>7</v>
      </c>
      <c r="AM67" s="5">
        <v>1.0</v>
      </c>
      <c r="AN67" s="5">
        <f t="shared" si="4"/>
        <v>7</v>
      </c>
      <c r="AO67" s="5">
        <v>1.0</v>
      </c>
      <c r="AP67" s="5">
        <f t="shared" si="5"/>
        <v>7</v>
      </c>
      <c r="AQ67" s="5" t="s">
        <v>504</v>
      </c>
    </row>
    <row r="68">
      <c r="A68" s="8">
        <v>553.0</v>
      </c>
      <c r="B68" s="7">
        <v>45868.30763888889</v>
      </c>
      <c r="C68" s="5" t="s">
        <v>505</v>
      </c>
      <c r="D68" s="5" t="s">
        <v>496</v>
      </c>
      <c r="E68" s="5" t="s">
        <v>216</v>
      </c>
      <c r="F68" s="5">
        <v>4.0</v>
      </c>
      <c r="G68" s="5">
        <v>4.0</v>
      </c>
      <c r="H68" s="5" t="s">
        <v>199</v>
      </c>
      <c r="I68" s="5">
        <v>7.0</v>
      </c>
      <c r="J68" s="5">
        <v>7.0</v>
      </c>
      <c r="K68" s="5">
        <v>5.0</v>
      </c>
      <c r="L68" s="5">
        <v>3.0</v>
      </c>
      <c r="M68" s="5">
        <v>5.0</v>
      </c>
      <c r="N68" s="5">
        <v>7.0</v>
      </c>
      <c r="O68" s="5">
        <v>7.0</v>
      </c>
      <c r="P68" s="5">
        <v>7.0</v>
      </c>
      <c r="Q68" s="5">
        <v>4.0</v>
      </c>
      <c r="R68" s="5">
        <v>2.0</v>
      </c>
      <c r="S68" s="5">
        <v>7.0</v>
      </c>
      <c r="T68" s="5">
        <v>1.0</v>
      </c>
      <c r="U68" s="5">
        <f t="shared" si="1"/>
        <v>7</v>
      </c>
      <c r="V68" s="5" t="s">
        <v>506</v>
      </c>
      <c r="W68" s="5" t="s">
        <v>206</v>
      </c>
      <c r="X68" s="5">
        <v>7.0</v>
      </c>
      <c r="Y68" s="5">
        <v>6.0</v>
      </c>
      <c r="Z68" s="5">
        <v>6.0</v>
      </c>
      <c r="AA68" s="5">
        <v>7.0</v>
      </c>
      <c r="AB68" s="5">
        <v>7.0</v>
      </c>
      <c r="AC68" s="5">
        <v>7.0</v>
      </c>
      <c r="AD68" s="5" t="s">
        <v>507</v>
      </c>
      <c r="AE68" s="5" t="s">
        <v>206</v>
      </c>
      <c r="AF68" s="5">
        <v>7.0</v>
      </c>
      <c r="AG68" s="5">
        <v>7.0</v>
      </c>
      <c r="AH68" s="5">
        <v>7.0</v>
      </c>
      <c r="AI68" s="5">
        <v>1.0</v>
      </c>
      <c r="AJ68" s="5">
        <f t="shared" si="2"/>
        <v>7</v>
      </c>
      <c r="AK68" s="5">
        <v>1.0</v>
      </c>
      <c r="AL68" s="5">
        <f t="shared" si="3"/>
        <v>7</v>
      </c>
      <c r="AM68" s="5">
        <v>1.0</v>
      </c>
      <c r="AN68" s="5">
        <f t="shared" si="4"/>
        <v>7</v>
      </c>
      <c r="AO68" s="5">
        <v>1.0</v>
      </c>
      <c r="AP68" s="5">
        <f t="shared" si="5"/>
        <v>7</v>
      </c>
      <c r="AQ68" s="5" t="s">
        <v>508</v>
      </c>
    </row>
    <row r="69">
      <c r="A69" s="8">
        <v>729.0</v>
      </c>
      <c r="B69" s="7">
        <v>45868.30972222222</v>
      </c>
      <c r="C69" s="5" t="s">
        <v>509</v>
      </c>
      <c r="D69" s="5" t="s">
        <v>501</v>
      </c>
      <c r="E69" s="5" t="s">
        <v>263</v>
      </c>
      <c r="F69" s="5">
        <v>6.0</v>
      </c>
      <c r="G69" s="5">
        <v>6.0</v>
      </c>
      <c r="H69" s="5" t="s">
        <v>199</v>
      </c>
      <c r="I69" s="5">
        <v>7.0</v>
      </c>
      <c r="J69" s="5">
        <v>7.0</v>
      </c>
      <c r="K69" s="5">
        <v>6.0</v>
      </c>
      <c r="L69" s="5">
        <v>6.0</v>
      </c>
      <c r="M69" s="5">
        <v>7.0</v>
      </c>
      <c r="N69" s="5">
        <v>7.0</v>
      </c>
      <c r="O69" s="5">
        <v>7.0</v>
      </c>
      <c r="P69" s="5">
        <v>7.0</v>
      </c>
      <c r="Q69" s="5">
        <v>6.0</v>
      </c>
      <c r="R69" s="5">
        <v>6.0</v>
      </c>
      <c r="S69" s="5">
        <v>6.0</v>
      </c>
      <c r="T69" s="5">
        <v>4.0</v>
      </c>
      <c r="U69" s="5">
        <f t="shared" si="1"/>
        <v>4</v>
      </c>
      <c r="V69" s="5" t="s">
        <v>510</v>
      </c>
      <c r="W69" s="5" t="s">
        <v>206</v>
      </c>
      <c r="X69" s="5">
        <v>6.0</v>
      </c>
      <c r="Y69" s="5">
        <v>7.0</v>
      </c>
      <c r="Z69" s="5">
        <v>7.0</v>
      </c>
      <c r="AA69" s="5">
        <v>7.0</v>
      </c>
      <c r="AB69" s="5">
        <v>7.0</v>
      </c>
      <c r="AC69" s="5">
        <v>7.0</v>
      </c>
      <c r="AD69" s="5" t="s">
        <v>511</v>
      </c>
      <c r="AE69" s="5" t="s">
        <v>206</v>
      </c>
      <c r="AF69" s="5">
        <v>7.0</v>
      </c>
      <c r="AG69" s="5">
        <v>6.0</v>
      </c>
      <c r="AH69" s="5">
        <v>7.0</v>
      </c>
      <c r="AI69" s="5">
        <v>1.0</v>
      </c>
      <c r="AJ69" s="5">
        <f t="shared" si="2"/>
        <v>7</v>
      </c>
      <c r="AK69" s="5">
        <v>1.0</v>
      </c>
      <c r="AL69" s="5">
        <f t="shared" si="3"/>
        <v>7</v>
      </c>
      <c r="AM69" s="5">
        <v>2.0</v>
      </c>
      <c r="AN69" s="5">
        <f t="shared" si="4"/>
        <v>6</v>
      </c>
      <c r="AO69" s="5">
        <v>1.0</v>
      </c>
      <c r="AP69" s="5">
        <f t="shared" si="5"/>
        <v>7</v>
      </c>
      <c r="AQ69" s="5" t="s">
        <v>512</v>
      </c>
    </row>
    <row r="70">
      <c r="A70" s="8">
        <v>806.0</v>
      </c>
      <c r="B70" s="7">
        <v>45868.322222222225</v>
      </c>
      <c r="C70" s="5" t="s">
        <v>513</v>
      </c>
      <c r="D70" s="5" t="s">
        <v>496</v>
      </c>
      <c r="E70" s="5" t="s">
        <v>211</v>
      </c>
      <c r="F70" s="5">
        <v>4.0</v>
      </c>
      <c r="G70" s="5">
        <v>4.0</v>
      </c>
      <c r="H70" s="5" t="s">
        <v>199</v>
      </c>
      <c r="I70" s="5">
        <v>4.0</v>
      </c>
      <c r="J70" s="5">
        <v>7.0</v>
      </c>
      <c r="K70" s="5">
        <v>3.0</v>
      </c>
      <c r="L70" s="5">
        <v>4.0</v>
      </c>
      <c r="M70" s="5">
        <v>7.0</v>
      </c>
      <c r="N70" s="5">
        <v>7.0</v>
      </c>
      <c r="O70" s="5">
        <v>7.0</v>
      </c>
      <c r="P70" s="5">
        <v>7.0</v>
      </c>
      <c r="Q70" s="5">
        <v>2.0</v>
      </c>
      <c r="R70" s="5">
        <v>1.0</v>
      </c>
      <c r="S70" s="5">
        <v>7.0</v>
      </c>
      <c r="T70" s="5">
        <v>1.0</v>
      </c>
      <c r="U70" s="5">
        <f t="shared" si="1"/>
        <v>7</v>
      </c>
      <c r="V70" s="5" t="s">
        <v>514</v>
      </c>
      <c r="W70" s="5" t="s">
        <v>206</v>
      </c>
      <c r="X70" s="5">
        <v>6.0</v>
      </c>
      <c r="Y70" s="5">
        <v>7.0</v>
      </c>
      <c r="Z70" s="5">
        <v>6.0</v>
      </c>
      <c r="AA70" s="5">
        <v>6.0</v>
      </c>
      <c r="AB70" s="5">
        <v>5.0</v>
      </c>
      <c r="AC70" s="5">
        <v>5.0</v>
      </c>
      <c r="AD70" s="5" t="s">
        <v>515</v>
      </c>
      <c r="AE70" s="5" t="s">
        <v>206</v>
      </c>
      <c r="AF70" s="5">
        <v>7.0</v>
      </c>
      <c r="AG70" s="5">
        <v>7.0</v>
      </c>
      <c r="AH70" s="5">
        <v>7.0</v>
      </c>
      <c r="AI70" s="5">
        <v>1.0</v>
      </c>
      <c r="AJ70" s="5">
        <f t="shared" si="2"/>
        <v>7</v>
      </c>
      <c r="AK70" s="5">
        <v>1.0</v>
      </c>
      <c r="AL70" s="5">
        <f t="shared" si="3"/>
        <v>7</v>
      </c>
      <c r="AM70" s="5">
        <v>1.0</v>
      </c>
      <c r="AN70" s="5">
        <f t="shared" si="4"/>
        <v>7</v>
      </c>
      <c r="AO70" s="5">
        <v>1.0</v>
      </c>
      <c r="AP70" s="5">
        <f t="shared" si="5"/>
        <v>7</v>
      </c>
      <c r="AQ70" s="5" t="s">
        <v>516</v>
      </c>
    </row>
    <row r="71">
      <c r="A71" s="8">
        <v>612.0</v>
      </c>
      <c r="B71" s="7">
        <v>45868.32361111111</v>
      </c>
      <c r="C71" s="5" t="s">
        <v>517</v>
      </c>
      <c r="D71" s="5" t="s">
        <v>501</v>
      </c>
      <c r="E71" s="5" t="s">
        <v>197</v>
      </c>
      <c r="F71" s="5">
        <v>6.0</v>
      </c>
      <c r="G71" s="5">
        <v>6.0</v>
      </c>
      <c r="H71" s="5" t="s">
        <v>199</v>
      </c>
      <c r="I71" s="5">
        <v>7.0</v>
      </c>
      <c r="J71" s="5">
        <v>7.0</v>
      </c>
      <c r="K71" s="5">
        <v>7.0</v>
      </c>
      <c r="L71" s="5">
        <v>6.0</v>
      </c>
      <c r="M71" s="5">
        <v>7.0</v>
      </c>
      <c r="N71" s="5">
        <v>7.0</v>
      </c>
      <c r="O71" s="5">
        <v>7.0</v>
      </c>
      <c r="P71" s="5">
        <v>7.0</v>
      </c>
      <c r="Q71" s="5">
        <v>6.0</v>
      </c>
      <c r="R71" s="5">
        <v>6.0</v>
      </c>
      <c r="S71" s="5">
        <v>7.0</v>
      </c>
      <c r="T71" s="5">
        <v>2.0</v>
      </c>
      <c r="U71" s="5">
        <f t="shared" si="1"/>
        <v>6</v>
      </c>
      <c r="V71" s="5" t="s">
        <v>518</v>
      </c>
      <c r="W71" s="5" t="s">
        <v>206</v>
      </c>
      <c r="X71" s="5">
        <v>7.0</v>
      </c>
      <c r="Y71" s="5">
        <v>7.0</v>
      </c>
      <c r="Z71" s="5">
        <v>7.0</v>
      </c>
      <c r="AA71" s="5">
        <v>7.0</v>
      </c>
      <c r="AB71" s="5">
        <v>7.0</v>
      </c>
      <c r="AC71" s="5">
        <v>7.0</v>
      </c>
      <c r="AD71" s="5" t="s">
        <v>519</v>
      </c>
      <c r="AE71" s="5" t="s">
        <v>206</v>
      </c>
      <c r="AF71" s="5">
        <v>7.0</v>
      </c>
      <c r="AG71" s="5">
        <v>6.0</v>
      </c>
      <c r="AH71" s="5">
        <v>7.0</v>
      </c>
      <c r="AI71" s="5">
        <v>1.0</v>
      </c>
      <c r="AJ71" s="5">
        <f t="shared" si="2"/>
        <v>7</v>
      </c>
      <c r="AK71" s="5">
        <v>1.0</v>
      </c>
      <c r="AL71" s="5">
        <f t="shared" si="3"/>
        <v>7</v>
      </c>
      <c r="AM71" s="5">
        <v>1.0</v>
      </c>
      <c r="AN71" s="5">
        <f t="shared" si="4"/>
        <v>7</v>
      </c>
      <c r="AO71" s="5">
        <v>1.0</v>
      </c>
      <c r="AP71" s="5">
        <f t="shared" si="5"/>
        <v>7</v>
      </c>
      <c r="AQ71" s="5" t="s">
        <v>520</v>
      </c>
    </row>
    <row r="72">
      <c r="A72" s="8">
        <v>561.0</v>
      </c>
      <c r="B72" s="7">
        <v>45868.334027777775</v>
      </c>
      <c r="C72" s="5" t="s">
        <v>521</v>
      </c>
      <c r="D72" s="5" t="s">
        <v>496</v>
      </c>
      <c r="E72" s="5" t="s">
        <v>197</v>
      </c>
      <c r="F72" s="5">
        <v>2.0</v>
      </c>
      <c r="G72" s="5">
        <v>2.0</v>
      </c>
      <c r="H72" s="5" t="s">
        <v>199</v>
      </c>
      <c r="I72" s="5">
        <v>3.0</v>
      </c>
      <c r="J72" s="5">
        <v>4.0</v>
      </c>
      <c r="K72" s="5">
        <v>2.0</v>
      </c>
      <c r="L72" s="5">
        <v>4.0</v>
      </c>
      <c r="M72" s="5">
        <v>6.0</v>
      </c>
      <c r="N72" s="5">
        <v>4.0</v>
      </c>
      <c r="O72" s="5">
        <v>6.0</v>
      </c>
      <c r="P72" s="5">
        <v>2.0</v>
      </c>
      <c r="Q72" s="5">
        <v>6.0</v>
      </c>
      <c r="R72" s="5">
        <v>1.0</v>
      </c>
      <c r="S72" s="5">
        <v>4.0</v>
      </c>
      <c r="T72" s="5">
        <v>1.0</v>
      </c>
      <c r="U72" s="5">
        <f t="shared" si="1"/>
        <v>7</v>
      </c>
      <c r="V72" s="5" t="s">
        <v>522</v>
      </c>
      <c r="W72" s="5" t="s">
        <v>206</v>
      </c>
      <c r="X72" s="5">
        <v>2.0</v>
      </c>
      <c r="Y72" s="5">
        <v>4.0</v>
      </c>
      <c r="Z72" s="5">
        <v>4.0</v>
      </c>
      <c r="AA72" s="5">
        <v>6.0</v>
      </c>
      <c r="AB72" s="5">
        <v>6.0</v>
      </c>
      <c r="AC72" s="5">
        <v>2.0</v>
      </c>
      <c r="AD72" s="5" t="s">
        <v>523</v>
      </c>
      <c r="AE72" s="5" t="s">
        <v>206</v>
      </c>
      <c r="AF72" s="5">
        <v>1.0</v>
      </c>
      <c r="AG72" s="5">
        <v>1.0</v>
      </c>
      <c r="AH72" s="5">
        <v>5.0</v>
      </c>
      <c r="AI72" s="5">
        <v>7.0</v>
      </c>
      <c r="AJ72" s="5">
        <f t="shared" si="2"/>
        <v>1</v>
      </c>
      <c r="AK72" s="5">
        <v>5.0</v>
      </c>
      <c r="AL72" s="5">
        <f t="shared" si="3"/>
        <v>3</v>
      </c>
      <c r="AM72" s="5">
        <v>7.0</v>
      </c>
      <c r="AN72" s="5">
        <f t="shared" si="4"/>
        <v>1</v>
      </c>
      <c r="AO72" s="5">
        <v>7.0</v>
      </c>
      <c r="AP72" s="5">
        <f t="shared" si="5"/>
        <v>1</v>
      </c>
      <c r="AQ72" s="5" t="s">
        <v>524</v>
      </c>
    </row>
    <row r="73">
      <c r="A73" s="8">
        <v>862.0</v>
      </c>
      <c r="B73" s="7">
        <v>45868.33611111111</v>
      </c>
      <c r="C73" s="5" t="s">
        <v>525</v>
      </c>
      <c r="D73" s="5" t="s">
        <v>501</v>
      </c>
      <c r="E73" s="5" t="s">
        <v>216</v>
      </c>
      <c r="F73" s="5">
        <v>5.0</v>
      </c>
      <c r="G73" s="5">
        <v>6.0</v>
      </c>
      <c r="H73" s="5" t="s">
        <v>199</v>
      </c>
      <c r="I73" s="5">
        <v>7.0</v>
      </c>
      <c r="J73" s="5">
        <v>6.0</v>
      </c>
      <c r="K73" s="5">
        <v>6.0</v>
      </c>
      <c r="L73" s="5">
        <v>5.0</v>
      </c>
      <c r="M73" s="5">
        <v>7.0</v>
      </c>
      <c r="N73" s="5">
        <v>7.0</v>
      </c>
      <c r="O73" s="5">
        <v>7.0</v>
      </c>
      <c r="P73" s="5">
        <v>7.0</v>
      </c>
      <c r="Q73" s="5">
        <v>6.0</v>
      </c>
      <c r="R73" s="5">
        <v>6.0</v>
      </c>
      <c r="S73" s="5">
        <v>7.0</v>
      </c>
      <c r="T73" s="5">
        <v>2.0</v>
      </c>
      <c r="U73" s="5">
        <f t="shared" si="1"/>
        <v>6</v>
      </c>
      <c r="V73" s="5" t="s">
        <v>526</v>
      </c>
      <c r="W73" s="5" t="s">
        <v>206</v>
      </c>
      <c r="X73" s="5">
        <v>7.0</v>
      </c>
      <c r="Y73" s="5">
        <v>7.0</v>
      </c>
      <c r="Z73" s="5">
        <v>7.0</v>
      </c>
      <c r="AA73" s="5">
        <v>7.0</v>
      </c>
      <c r="AB73" s="5">
        <v>6.0</v>
      </c>
      <c r="AC73" s="5">
        <v>7.0</v>
      </c>
      <c r="AD73" s="5" t="s">
        <v>527</v>
      </c>
      <c r="AE73" s="5" t="s">
        <v>206</v>
      </c>
      <c r="AF73" s="5">
        <v>7.0</v>
      </c>
      <c r="AG73" s="5">
        <v>6.0</v>
      </c>
      <c r="AH73" s="5">
        <v>7.0</v>
      </c>
      <c r="AI73" s="5">
        <v>1.0</v>
      </c>
      <c r="AJ73" s="5">
        <f t="shared" si="2"/>
        <v>7</v>
      </c>
      <c r="AK73" s="5">
        <v>1.0</v>
      </c>
      <c r="AL73" s="5">
        <f t="shared" si="3"/>
        <v>7</v>
      </c>
      <c r="AM73" s="5">
        <v>1.0</v>
      </c>
      <c r="AN73" s="5">
        <f t="shared" si="4"/>
        <v>7</v>
      </c>
      <c r="AO73" s="5">
        <v>1.0</v>
      </c>
      <c r="AP73" s="5">
        <f t="shared" si="5"/>
        <v>7</v>
      </c>
      <c r="AQ73" s="5" t="s">
        <v>528</v>
      </c>
    </row>
    <row r="74">
      <c r="A74" s="8">
        <v>1029.0</v>
      </c>
      <c r="B74" s="7">
        <v>45869.02222222222</v>
      </c>
      <c r="C74" s="5" t="s">
        <v>530</v>
      </c>
      <c r="D74" s="5" t="s">
        <v>531</v>
      </c>
      <c r="E74" s="5" t="s">
        <v>216</v>
      </c>
      <c r="F74" s="5">
        <v>5.0</v>
      </c>
      <c r="G74" s="5">
        <v>3.0</v>
      </c>
      <c r="H74" s="5" t="s">
        <v>199</v>
      </c>
      <c r="I74" s="5">
        <v>2.0</v>
      </c>
      <c r="J74" s="5">
        <v>5.0</v>
      </c>
      <c r="K74" s="5">
        <v>5.0</v>
      </c>
      <c r="L74" s="5">
        <v>5.0</v>
      </c>
      <c r="M74" s="5">
        <v>6.0</v>
      </c>
      <c r="N74" s="5">
        <v>6.0</v>
      </c>
      <c r="O74" s="5">
        <v>6.0</v>
      </c>
      <c r="P74" s="5">
        <v>2.0</v>
      </c>
      <c r="Q74" s="5">
        <v>3.0</v>
      </c>
      <c r="R74" s="5">
        <v>2.0</v>
      </c>
      <c r="S74" s="5">
        <v>6.0</v>
      </c>
      <c r="T74" s="5">
        <v>6.0</v>
      </c>
      <c r="U74" s="5">
        <f t="shared" si="1"/>
        <v>2</v>
      </c>
      <c r="V74" s="5" t="s">
        <v>532</v>
      </c>
      <c r="W74" s="5" t="s">
        <v>206</v>
      </c>
      <c r="X74" s="5">
        <v>6.0</v>
      </c>
      <c r="Y74" s="5">
        <v>5.0</v>
      </c>
      <c r="Z74" s="5">
        <v>5.0</v>
      </c>
      <c r="AA74" s="5">
        <v>5.0</v>
      </c>
      <c r="AB74" s="5">
        <v>6.0</v>
      </c>
      <c r="AC74" s="5">
        <v>2.0</v>
      </c>
      <c r="AD74" s="5" t="s">
        <v>533</v>
      </c>
      <c r="AE74" s="5" t="s">
        <v>206</v>
      </c>
      <c r="AF74" s="5">
        <v>2.0</v>
      </c>
      <c r="AG74" s="5">
        <v>7.0</v>
      </c>
      <c r="AH74" s="5">
        <v>5.0</v>
      </c>
      <c r="AI74" s="5">
        <v>3.0</v>
      </c>
      <c r="AJ74" s="5">
        <f t="shared" si="2"/>
        <v>5</v>
      </c>
      <c r="AK74" s="5">
        <v>1.0</v>
      </c>
      <c r="AL74" s="5">
        <f t="shared" si="3"/>
        <v>7</v>
      </c>
      <c r="AM74" s="5">
        <v>1.0</v>
      </c>
      <c r="AN74" s="5">
        <f t="shared" si="4"/>
        <v>7</v>
      </c>
      <c r="AO74" s="5">
        <v>1.0</v>
      </c>
      <c r="AP74" s="5">
        <f t="shared" si="5"/>
        <v>7</v>
      </c>
      <c r="AQ74" s="5" t="s">
        <v>534</v>
      </c>
    </row>
    <row r="75">
      <c r="A75" s="8">
        <v>1118.0</v>
      </c>
      <c r="B75" s="7">
        <v>45869.02847222222</v>
      </c>
      <c r="C75" s="5" t="s">
        <v>535</v>
      </c>
      <c r="D75" s="5" t="s">
        <v>536</v>
      </c>
      <c r="E75" s="5" t="s">
        <v>197</v>
      </c>
      <c r="F75" s="5">
        <v>5.0</v>
      </c>
      <c r="G75" s="5">
        <v>3.0</v>
      </c>
      <c r="H75" s="5" t="s">
        <v>199</v>
      </c>
      <c r="I75" s="5">
        <v>7.0</v>
      </c>
      <c r="J75" s="5">
        <v>7.0</v>
      </c>
      <c r="K75" s="5">
        <v>5.0</v>
      </c>
      <c r="L75" s="5">
        <v>5.0</v>
      </c>
      <c r="M75" s="5">
        <v>6.0</v>
      </c>
      <c r="N75" s="5">
        <v>6.0</v>
      </c>
      <c r="O75" s="5">
        <v>7.0</v>
      </c>
      <c r="P75" s="5">
        <v>7.0</v>
      </c>
      <c r="Q75" s="5">
        <v>6.0</v>
      </c>
      <c r="R75" s="5">
        <v>2.0</v>
      </c>
      <c r="S75" s="5">
        <v>7.0</v>
      </c>
      <c r="T75" s="5">
        <v>6.0</v>
      </c>
      <c r="U75" s="5">
        <f t="shared" si="1"/>
        <v>2</v>
      </c>
      <c r="V75" s="5" t="s">
        <v>537</v>
      </c>
      <c r="W75" s="5" t="s">
        <v>206</v>
      </c>
      <c r="X75" s="5">
        <v>4.0</v>
      </c>
      <c r="Y75" s="5">
        <v>7.0</v>
      </c>
      <c r="Z75" s="5">
        <v>7.0</v>
      </c>
      <c r="AA75" s="5">
        <v>3.0</v>
      </c>
      <c r="AB75" s="5">
        <v>5.0</v>
      </c>
      <c r="AC75" s="5">
        <v>4.0</v>
      </c>
      <c r="AD75" s="5" t="s">
        <v>538</v>
      </c>
      <c r="AF75" s="5">
        <v>7.0</v>
      </c>
      <c r="AG75" s="5">
        <v>7.0</v>
      </c>
      <c r="AH75" s="5">
        <v>7.0</v>
      </c>
      <c r="AI75" s="5">
        <v>1.0</v>
      </c>
      <c r="AJ75" s="5">
        <f t="shared" si="2"/>
        <v>7</v>
      </c>
      <c r="AK75" s="5">
        <v>1.0</v>
      </c>
      <c r="AL75" s="5">
        <f t="shared" si="3"/>
        <v>7</v>
      </c>
      <c r="AM75" s="5">
        <v>1.0</v>
      </c>
      <c r="AN75" s="5">
        <f t="shared" si="4"/>
        <v>7</v>
      </c>
      <c r="AO75" s="5">
        <v>1.0</v>
      </c>
      <c r="AP75" s="5">
        <f t="shared" si="5"/>
        <v>7</v>
      </c>
      <c r="AQ75" s="11" t="s">
        <v>539</v>
      </c>
    </row>
    <row r="76">
      <c r="A76" s="8">
        <v>497.0</v>
      </c>
      <c r="B76" s="7">
        <v>45869.041666666664</v>
      </c>
      <c r="C76" s="5" t="s">
        <v>540</v>
      </c>
      <c r="D76" s="5" t="s">
        <v>531</v>
      </c>
      <c r="E76" s="5" t="s">
        <v>197</v>
      </c>
      <c r="F76" s="5">
        <v>6.0</v>
      </c>
      <c r="G76" s="5">
        <v>2.0</v>
      </c>
      <c r="H76" s="5" t="s">
        <v>199</v>
      </c>
      <c r="I76" s="5">
        <v>3.0</v>
      </c>
      <c r="J76" s="5">
        <v>5.0</v>
      </c>
      <c r="K76" s="5">
        <v>6.0</v>
      </c>
      <c r="L76" s="5">
        <v>3.0</v>
      </c>
      <c r="M76" s="5">
        <v>5.0</v>
      </c>
      <c r="N76" s="5">
        <v>6.0</v>
      </c>
      <c r="O76" s="5">
        <v>5.0</v>
      </c>
      <c r="P76" s="5">
        <v>2.0</v>
      </c>
      <c r="Q76" s="5">
        <v>2.0</v>
      </c>
      <c r="R76" s="5">
        <v>2.0</v>
      </c>
      <c r="S76" s="5">
        <v>5.0</v>
      </c>
      <c r="T76" s="5">
        <v>5.0</v>
      </c>
      <c r="U76" s="5">
        <f t="shared" si="1"/>
        <v>3</v>
      </c>
      <c r="V76" s="5" t="s">
        <v>541</v>
      </c>
      <c r="W76" s="5" t="s">
        <v>206</v>
      </c>
      <c r="X76" s="5">
        <v>5.0</v>
      </c>
      <c r="Y76" s="5">
        <v>6.0</v>
      </c>
      <c r="Z76" s="5">
        <v>5.0</v>
      </c>
      <c r="AA76" s="5">
        <v>3.0</v>
      </c>
      <c r="AB76" s="5">
        <v>5.0</v>
      </c>
      <c r="AC76" s="5">
        <v>6.0</v>
      </c>
      <c r="AD76" s="5" t="s">
        <v>542</v>
      </c>
      <c r="AF76" s="5">
        <v>5.0</v>
      </c>
      <c r="AG76" s="5">
        <v>2.0</v>
      </c>
      <c r="AH76" s="5">
        <v>6.0</v>
      </c>
      <c r="AI76" s="5">
        <v>2.0</v>
      </c>
      <c r="AJ76" s="5">
        <f t="shared" si="2"/>
        <v>6</v>
      </c>
      <c r="AK76" s="5">
        <v>2.0</v>
      </c>
      <c r="AL76" s="5">
        <f t="shared" si="3"/>
        <v>6</v>
      </c>
      <c r="AM76" s="5">
        <v>5.0</v>
      </c>
      <c r="AN76" s="5">
        <f t="shared" si="4"/>
        <v>3</v>
      </c>
      <c r="AO76" s="5">
        <v>5.0</v>
      </c>
      <c r="AP76" s="5">
        <f t="shared" si="5"/>
        <v>3</v>
      </c>
      <c r="AQ76" s="5" t="s">
        <v>543</v>
      </c>
    </row>
    <row r="77">
      <c r="A77" s="8">
        <v>1473.0</v>
      </c>
      <c r="B77" s="7">
        <v>45869.04722222222</v>
      </c>
      <c r="C77" s="5" t="s">
        <v>544</v>
      </c>
      <c r="D77" s="5" t="s">
        <v>536</v>
      </c>
      <c r="E77" s="5" t="s">
        <v>211</v>
      </c>
      <c r="F77" s="5">
        <v>5.0</v>
      </c>
      <c r="G77" s="5">
        <v>5.0</v>
      </c>
      <c r="H77" s="5" t="s">
        <v>199</v>
      </c>
      <c r="I77" s="5">
        <v>7.0</v>
      </c>
      <c r="J77" s="5">
        <v>7.0</v>
      </c>
      <c r="K77" s="5">
        <v>5.0</v>
      </c>
      <c r="L77" s="5">
        <v>5.0</v>
      </c>
      <c r="M77" s="5">
        <v>6.0</v>
      </c>
      <c r="N77" s="5">
        <v>6.0</v>
      </c>
      <c r="O77" s="5">
        <v>7.0</v>
      </c>
      <c r="P77" s="5">
        <v>7.0</v>
      </c>
      <c r="Q77" s="5">
        <v>6.0</v>
      </c>
      <c r="R77" s="5">
        <v>2.0</v>
      </c>
      <c r="S77" s="5">
        <v>6.0</v>
      </c>
      <c r="T77" s="5">
        <v>4.0</v>
      </c>
      <c r="U77" s="5">
        <f t="shared" si="1"/>
        <v>4</v>
      </c>
      <c r="V77" s="5" t="s">
        <v>545</v>
      </c>
      <c r="W77" s="5" t="s">
        <v>206</v>
      </c>
      <c r="X77" s="5">
        <v>4.0</v>
      </c>
      <c r="Y77" s="5">
        <v>3.0</v>
      </c>
      <c r="Z77" s="5">
        <v>6.0</v>
      </c>
      <c r="AA77" s="5">
        <v>6.0</v>
      </c>
      <c r="AB77" s="5">
        <v>5.0</v>
      </c>
      <c r="AC77" s="5">
        <v>4.0</v>
      </c>
      <c r="AD77" s="5" t="s">
        <v>546</v>
      </c>
      <c r="AE77" s="5" t="s">
        <v>206</v>
      </c>
      <c r="AF77" s="5">
        <v>6.0</v>
      </c>
      <c r="AG77" s="5">
        <v>7.0</v>
      </c>
      <c r="AH77" s="5">
        <v>7.0</v>
      </c>
      <c r="AI77" s="5">
        <v>1.0</v>
      </c>
      <c r="AJ77" s="5">
        <f t="shared" si="2"/>
        <v>7</v>
      </c>
      <c r="AK77" s="5">
        <v>1.0</v>
      </c>
      <c r="AL77" s="5">
        <f t="shared" si="3"/>
        <v>7</v>
      </c>
      <c r="AM77" s="5">
        <v>1.0</v>
      </c>
      <c r="AN77" s="5">
        <f t="shared" si="4"/>
        <v>7</v>
      </c>
      <c r="AO77" s="5">
        <v>1.0</v>
      </c>
      <c r="AP77" s="5">
        <f t="shared" si="5"/>
        <v>7</v>
      </c>
      <c r="AQ77" s="5" t="s">
        <v>547</v>
      </c>
    </row>
    <row r="78">
      <c r="A78" s="8">
        <v>554.0</v>
      </c>
      <c r="B78" s="7">
        <v>45869.052777777775</v>
      </c>
      <c r="C78" s="5" t="s">
        <v>548</v>
      </c>
      <c r="D78" s="5" t="s">
        <v>531</v>
      </c>
      <c r="E78" s="5" t="s">
        <v>263</v>
      </c>
      <c r="F78" s="5">
        <v>5.0</v>
      </c>
      <c r="G78" s="5">
        <v>2.0</v>
      </c>
      <c r="H78" s="5" t="s">
        <v>199</v>
      </c>
      <c r="I78" s="5">
        <v>4.0</v>
      </c>
      <c r="J78" s="5">
        <v>3.0</v>
      </c>
      <c r="K78" s="5">
        <v>4.0</v>
      </c>
      <c r="L78" s="5">
        <v>3.0</v>
      </c>
      <c r="M78" s="5">
        <v>5.0</v>
      </c>
      <c r="N78" s="5">
        <v>5.0</v>
      </c>
      <c r="O78" s="5">
        <v>6.0</v>
      </c>
      <c r="P78" s="5">
        <v>3.0</v>
      </c>
      <c r="Q78" s="5">
        <v>3.0</v>
      </c>
      <c r="R78" s="5">
        <v>4.0</v>
      </c>
      <c r="S78" s="5">
        <v>5.0</v>
      </c>
      <c r="T78" s="5">
        <v>5.0</v>
      </c>
      <c r="U78" s="5">
        <f t="shared" si="1"/>
        <v>3</v>
      </c>
      <c r="V78" s="5" t="s">
        <v>549</v>
      </c>
      <c r="W78" s="5" t="s">
        <v>206</v>
      </c>
      <c r="X78" s="5">
        <v>3.0</v>
      </c>
      <c r="Y78" s="5">
        <v>5.0</v>
      </c>
      <c r="Z78" s="5">
        <v>3.0</v>
      </c>
      <c r="AA78" s="5">
        <v>3.0</v>
      </c>
      <c r="AB78" s="5">
        <v>3.0</v>
      </c>
      <c r="AC78" s="5">
        <v>3.0</v>
      </c>
      <c r="AD78" s="5" t="s">
        <v>550</v>
      </c>
      <c r="AF78" s="5">
        <v>5.0</v>
      </c>
      <c r="AG78" s="5">
        <v>2.0</v>
      </c>
      <c r="AH78" s="5">
        <v>3.0</v>
      </c>
      <c r="AI78" s="5">
        <v>2.0</v>
      </c>
      <c r="AJ78" s="5">
        <f t="shared" si="2"/>
        <v>6</v>
      </c>
      <c r="AK78" s="5">
        <v>3.0</v>
      </c>
      <c r="AL78" s="5">
        <f t="shared" si="3"/>
        <v>5</v>
      </c>
      <c r="AM78" s="5">
        <v>5.0</v>
      </c>
      <c r="AN78" s="5">
        <f t="shared" si="4"/>
        <v>3</v>
      </c>
      <c r="AO78" s="5">
        <v>3.0</v>
      </c>
      <c r="AP78" s="5">
        <f t="shared" si="5"/>
        <v>5</v>
      </c>
      <c r="AQ78" s="5" t="s">
        <v>551</v>
      </c>
    </row>
    <row r="79">
      <c r="A79" s="8">
        <v>794.0</v>
      </c>
      <c r="B79" s="7">
        <v>45869.0625</v>
      </c>
      <c r="C79" s="5" t="s">
        <v>552</v>
      </c>
      <c r="D79" s="5" t="s">
        <v>244</v>
      </c>
      <c r="E79" s="5" t="s">
        <v>197</v>
      </c>
      <c r="F79" s="5">
        <v>5.0</v>
      </c>
      <c r="G79" s="5">
        <v>2.0</v>
      </c>
      <c r="H79" s="5" t="s">
        <v>199</v>
      </c>
      <c r="I79" s="5">
        <v>6.0</v>
      </c>
      <c r="J79" s="5">
        <v>1.0</v>
      </c>
      <c r="K79" s="5">
        <v>7.0</v>
      </c>
      <c r="L79" s="5">
        <v>1.0</v>
      </c>
      <c r="M79" s="5">
        <v>2.0</v>
      </c>
      <c r="N79" s="5">
        <v>5.0</v>
      </c>
      <c r="O79" s="5">
        <v>5.0</v>
      </c>
      <c r="P79" s="5">
        <v>2.0</v>
      </c>
      <c r="Q79" s="5">
        <v>1.0</v>
      </c>
      <c r="R79" s="5">
        <v>5.0</v>
      </c>
      <c r="S79" s="5">
        <v>4.0</v>
      </c>
      <c r="T79" s="5">
        <v>7.0</v>
      </c>
      <c r="U79" s="5">
        <f t="shared" si="1"/>
        <v>1</v>
      </c>
      <c r="V79" s="5" t="s">
        <v>553</v>
      </c>
      <c r="W79" s="5" t="s">
        <v>206</v>
      </c>
      <c r="X79" s="5">
        <v>6.0</v>
      </c>
      <c r="Y79" s="5">
        <v>6.0</v>
      </c>
      <c r="Z79" s="5">
        <v>7.0</v>
      </c>
      <c r="AA79" s="5">
        <v>7.0</v>
      </c>
      <c r="AB79" s="5">
        <v>5.0</v>
      </c>
      <c r="AC79" s="5">
        <v>6.0</v>
      </c>
      <c r="AD79" s="5" t="s">
        <v>554</v>
      </c>
      <c r="AE79" s="5" t="s">
        <v>206</v>
      </c>
      <c r="AF79" s="5">
        <v>7.0</v>
      </c>
      <c r="AG79" s="5">
        <v>6.0</v>
      </c>
      <c r="AH79" s="5">
        <v>7.0</v>
      </c>
      <c r="AI79" s="5">
        <v>1.0</v>
      </c>
      <c r="AJ79" s="5">
        <f t="shared" si="2"/>
        <v>7</v>
      </c>
      <c r="AK79" s="5">
        <v>1.0</v>
      </c>
      <c r="AL79" s="5">
        <f t="shared" si="3"/>
        <v>7</v>
      </c>
      <c r="AM79" s="5">
        <v>5.0</v>
      </c>
      <c r="AN79" s="5">
        <f t="shared" si="4"/>
        <v>3</v>
      </c>
      <c r="AO79" s="5">
        <v>1.0</v>
      </c>
      <c r="AP79" s="5">
        <f t="shared" si="5"/>
        <v>7</v>
      </c>
      <c r="AQ79" s="5" t="s">
        <v>555</v>
      </c>
    </row>
    <row r="80">
      <c r="A80" s="8">
        <v>680.0</v>
      </c>
      <c r="B80" s="7">
        <v>45869.06458333333</v>
      </c>
      <c r="C80" s="5" t="s">
        <v>556</v>
      </c>
      <c r="D80" s="5" t="s">
        <v>531</v>
      </c>
      <c r="E80" s="5" t="s">
        <v>211</v>
      </c>
      <c r="F80" s="5">
        <v>3.0</v>
      </c>
      <c r="G80" s="5">
        <v>3.0</v>
      </c>
      <c r="H80" s="5" t="s">
        <v>199</v>
      </c>
      <c r="I80" s="5">
        <v>3.0</v>
      </c>
      <c r="J80" s="5">
        <v>5.0</v>
      </c>
      <c r="K80" s="5">
        <v>5.0</v>
      </c>
      <c r="L80" s="5">
        <v>3.0</v>
      </c>
      <c r="M80" s="5">
        <v>5.0</v>
      </c>
      <c r="N80" s="5">
        <v>6.0</v>
      </c>
      <c r="O80" s="5">
        <v>5.0</v>
      </c>
      <c r="P80" s="5">
        <v>6.0</v>
      </c>
      <c r="Q80" s="5">
        <v>2.0</v>
      </c>
      <c r="R80" s="5">
        <v>5.0</v>
      </c>
      <c r="S80" s="5">
        <v>6.0</v>
      </c>
      <c r="T80" s="5">
        <v>5.0</v>
      </c>
      <c r="U80" s="5">
        <f t="shared" si="1"/>
        <v>3</v>
      </c>
      <c r="V80" s="5" t="s">
        <v>557</v>
      </c>
      <c r="W80" s="5" t="s">
        <v>206</v>
      </c>
      <c r="X80" s="5">
        <v>4.0</v>
      </c>
      <c r="Y80" s="5">
        <v>5.0</v>
      </c>
      <c r="Z80" s="5">
        <v>5.0</v>
      </c>
      <c r="AA80" s="5">
        <v>6.0</v>
      </c>
      <c r="AB80" s="5">
        <v>5.0</v>
      </c>
      <c r="AC80" s="5">
        <v>5.0</v>
      </c>
      <c r="AD80" s="5" t="s">
        <v>558</v>
      </c>
      <c r="AE80" s="5" t="s">
        <v>206</v>
      </c>
      <c r="AF80" s="5">
        <v>3.0</v>
      </c>
      <c r="AG80" s="5">
        <v>5.0</v>
      </c>
      <c r="AH80" s="5">
        <v>5.0</v>
      </c>
      <c r="AI80" s="5">
        <v>1.0</v>
      </c>
      <c r="AJ80" s="5">
        <f t="shared" si="2"/>
        <v>7</v>
      </c>
      <c r="AK80" s="5">
        <v>1.0</v>
      </c>
      <c r="AL80" s="5">
        <f t="shared" si="3"/>
        <v>7</v>
      </c>
      <c r="AM80" s="5">
        <v>2.0</v>
      </c>
      <c r="AN80" s="5">
        <f t="shared" si="4"/>
        <v>6</v>
      </c>
      <c r="AO80" s="5">
        <v>1.0</v>
      </c>
      <c r="AP80" s="5">
        <f t="shared" si="5"/>
        <v>7</v>
      </c>
      <c r="AQ80" s="5" t="s">
        <v>559</v>
      </c>
    </row>
    <row r="81">
      <c r="A81" s="8">
        <v>1077.0</v>
      </c>
      <c r="B81" s="7">
        <v>45869.06875</v>
      </c>
      <c r="C81" s="5" t="s">
        <v>560</v>
      </c>
      <c r="D81" s="5" t="s">
        <v>536</v>
      </c>
      <c r="E81" s="5" t="s">
        <v>216</v>
      </c>
      <c r="F81" s="5">
        <v>5.0</v>
      </c>
      <c r="G81" s="5">
        <v>5.0</v>
      </c>
      <c r="H81" s="5" t="s">
        <v>199</v>
      </c>
      <c r="I81" s="5">
        <v>7.0</v>
      </c>
      <c r="J81" s="5">
        <v>7.0</v>
      </c>
      <c r="K81" s="5">
        <v>5.0</v>
      </c>
      <c r="L81" s="5">
        <v>5.0</v>
      </c>
      <c r="M81" s="5">
        <v>6.0</v>
      </c>
      <c r="N81" s="5">
        <v>6.0</v>
      </c>
      <c r="O81" s="5">
        <v>7.0</v>
      </c>
      <c r="P81" s="5">
        <v>7.0</v>
      </c>
      <c r="Q81" s="5">
        <v>5.0</v>
      </c>
      <c r="R81" s="5">
        <v>3.0</v>
      </c>
      <c r="S81" s="5">
        <v>6.0</v>
      </c>
      <c r="T81" s="5">
        <v>3.0</v>
      </c>
      <c r="U81" s="5">
        <f t="shared" si="1"/>
        <v>5</v>
      </c>
      <c r="V81" s="5" t="s">
        <v>561</v>
      </c>
      <c r="W81" s="5" t="s">
        <v>206</v>
      </c>
      <c r="X81" s="5">
        <v>6.0</v>
      </c>
      <c r="Y81" s="5">
        <v>7.0</v>
      </c>
      <c r="Z81" s="5">
        <v>7.0</v>
      </c>
      <c r="AA81" s="5">
        <v>7.0</v>
      </c>
      <c r="AB81" s="5">
        <v>5.0</v>
      </c>
      <c r="AC81" s="5">
        <v>4.0</v>
      </c>
      <c r="AD81" s="5" t="s">
        <v>562</v>
      </c>
      <c r="AE81" s="5" t="s">
        <v>206</v>
      </c>
      <c r="AF81" s="5">
        <v>6.0</v>
      </c>
      <c r="AG81" s="5">
        <v>7.0</v>
      </c>
      <c r="AH81" s="5">
        <v>7.0</v>
      </c>
      <c r="AI81" s="5">
        <v>1.0</v>
      </c>
      <c r="AJ81" s="5">
        <f t="shared" si="2"/>
        <v>7</v>
      </c>
      <c r="AK81" s="5">
        <v>1.0</v>
      </c>
      <c r="AL81" s="5">
        <f t="shared" si="3"/>
        <v>7</v>
      </c>
      <c r="AM81" s="5">
        <v>1.0</v>
      </c>
      <c r="AN81" s="5">
        <f t="shared" si="4"/>
        <v>7</v>
      </c>
      <c r="AO81" s="5">
        <v>1.0</v>
      </c>
      <c r="AP81" s="5">
        <f t="shared" si="5"/>
        <v>7</v>
      </c>
      <c r="AQ81" s="5" t="s">
        <v>563</v>
      </c>
    </row>
    <row r="82">
      <c r="A82" s="8">
        <v>1145.0</v>
      </c>
      <c r="B82" s="7">
        <v>45869.07986111111</v>
      </c>
      <c r="C82" s="5" t="s">
        <v>564</v>
      </c>
      <c r="D82" s="5" t="s">
        <v>244</v>
      </c>
      <c r="E82" s="5" t="s">
        <v>211</v>
      </c>
      <c r="F82" s="5">
        <v>4.0</v>
      </c>
      <c r="G82" s="5">
        <v>2.0</v>
      </c>
      <c r="H82" s="5" t="s">
        <v>199</v>
      </c>
      <c r="I82" s="5">
        <v>6.0</v>
      </c>
      <c r="J82" s="5">
        <v>2.0</v>
      </c>
      <c r="K82" s="5">
        <v>2.0</v>
      </c>
      <c r="L82" s="5">
        <v>2.0</v>
      </c>
      <c r="M82" s="5">
        <v>1.0</v>
      </c>
      <c r="N82" s="5">
        <v>2.0</v>
      </c>
      <c r="O82" s="5">
        <v>2.0</v>
      </c>
      <c r="P82" s="5">
        <v>3.0</v>
      </c>
      <c r="Q82" s="5">
        <v>1.0</v>
      </c>
      <c r="R82" s="5">
        <v>2.0</v>
      </c>
      <c r="S82" s="5">
        <v>2.0</v>
      </c>
      <c r="T82" s="5">
        <v>7.0</v>
      </c>
      <c r="U82" s="5">
        <f t="shared" si="1"/>
        <v>1</v>
      </c>
      <c r="V82" s="5" t="s">
        <v>565</v>
      </c>
      <c r="W82" s="5" t="s">
        <v>206</v>
      </c>
      <c r="X82" s="5">
        <v>5.0</v>
      </c>
      <c r="Y82" s="5">
        <v>2.0</v>
      </c>
      <c r="Z82" s="5">
        <v>2.0</v>
      </c>
      <c r="AA82" s="5">
        <v>2.0</v>
      </c>
      <c r="AB82" s="5">
        <v>2.0</v>
      </c>
      <c r="AC82" s="5">
        <v>4.0</v>
      </c>
      <c r="AD82" s="5" t="s">
        <v>566</v>
      </c>
      <c r="AE82" s="5" t="s">
        <v>206</v>
      </c>
      <c r="AF82" s="5">
        <v>6.0</v>
      </c>
      <c r="AG82" s="5">
        <v>6.0</v>
      </c>
      <c r="AH82" s="5">
        <v>1.0</v>
      </c>
      <c r="AI82" s="5">
        <v>1.0</v>
      </c>
      <c r="AJ82" s="5">
        <f t="shared" si="2"/>
        <v>7</v>
      </c>
      <c r="AK82" s="5">
        <v>1.0</v>
      </c>
      <c r="AL82" s="5">
        <f t="shared" si="3"/>
        <v>7</v>
      </c>
      <c r="AM82" s="5">
        <v>1.0</v>
      </c>
      <c r="AN82" s="5">
        <f t="shared" si="4"/>
        <v>7</v>
      </c>
      <c r="AO82" s="5">
        <v>1.0</v>
      </c>
      <c r="AP82" s="5">
        <f t="shared" si="5"/>
        <v>7</v>
      </c>
      <c r="AQ82" s="5" t="s">
        <v>567</v>
      </c>
    </row>
    <row r="83">
      <c r="A83" s="8">
        <v>1139.0</v>
      </c>
      <c r="B83" s="7">
        <v>45869.08611111111</v>
      </c>
      <c r="C83" s="5" t="s">
        <v>568</v>
      </c>
      <c r="D83" s="5" t="s">
        <v>536</v>
      </c>
      <c r="E83" s="5" t="s">
        <v>263</v>
      </c>
      <c r="F83" s="5">
        <v>6.0</v>
      </c>
      <c r="G83" s="5">
        <v>3.0</v>
      </c>
      <c r="H83" s="5" t="s">
        <v>199</v>
      </c>
      <c r="I83" s="5">
        <v>7.0</v>
      </c>
      <c r="J83" s="5">
        <v>7.0</v>
      </c>
      <c r="K83" s="5">
        <v>6.0</v>
      </c>
      <c r="L83" s="5">
        <v>5.0</v>
      </c>
      <c r="M83" s="5">
        <v>6.0</v>
      </c>
      <c r="N83" s="5">
        <v>5.0</v>
      </c>
      <c r="O83" s="5">
        <v>5.0</v>
      </c>
      <c r="P83" s="5">
        <v>7.0</v>
      </c>
      <c r="Q83" s="5">
        <v>5.0</v>
      </c>
      <c r="R83" s="5">
        <v>3.0</v>
      </c>
      <c r="S83" s="5">
        <v>5.0</v>
      </c>
      <c r="T83" s="5">
        <v>4.0</v>
      </c>
      <c r="U83" s="5">
        <f t="shared" si="1"/>
        <v>4</v>
      </c>
      <c r="V83" s="5" t="s">
        <v>569</v>
      </c>
      <c r="W83" s="5" t="s">
        <v>206</v>
      </c>
      <c r="X83" s="5">
        <v>6.0</v>
      </c>
      <c r="Y83" s="5">
        <v>6.0</v>
      </c>
      <c r="Z83" s="5">
        <v>7.0</v>
      </c>
      <c r="AA83" s="5">
        <v>7.0</v>
      </c>
      <c r="AB83" s="5">
        <v>6.0</v>
      </c>
      <c r="AC83" s="5">
        <v>4.0</v>
      </c>
      <c r="AD83" s="5" t="s">
        <v>570</v>
      </c>
      <c r="AE83" s="5" t="s">
        <v>206</v>
      </c>
      <c r="AF83" s="5">
        <v>7.0</v>
      </c>
      <c r="AG83" s="5">
        <v>7.0</v>
      </c>
      <c r="AH83" s="5">
        <v>7.0</v>
      </c>
      <c r="AI83" s="5">
        <v>1.0</v>
      </c>
      <c r="AJ83" s="5">
        <f t="shared" si="2"/>
        <v>7</v>
      </c>
      <c r="AK83" s="5">
        <v>1.0</v>
      </c>
      <c r="AL83" s="5">
        <f t="shared" si="3"/>
        <v>7</v>
      </c>
      <c r="AM83" s="5">
        <v>1.0</v>
      </c>
      <c r="AN83" s="5">
        <f t="shared" si="4"/>
        <v>7</v>
      </c>
      <c r="AO83" s="5">
        <v>1.0</v>
      </c>
      <c r="AP83" s="5">
        <f t="shared" si="5"/>
        <v>7</v>
      </c>
      <c r="AQ83" s="5" t="s">
        <v>571</v>
      </c>
    </row>
    <row r="84">
      <c r="A84" s="8">
        <v>1024.0</v>
      </c>
      <c r="B84" s="7">
        <v>45869.092361111114</v>
      </c>
      <c r="C84" s="5" t="s">
        <v>572</v>
      </c>
      <c r="D84" s="5" t="s">
        <v>573</v>
      </c>
      <c r="E84" s="5" t="s">
        <v>211</v>
      </c>
      <c r="F84" s="5">
        <v>6.0</v>
      </c>
      <c r="G84" s="5">
        <v>5.0</v>
      </c>
      <c r="H84" s="5" t="s">
        <v>199</v>
      </c>
      <c r="I84" s="5">
        <v>4.0</v>
      </c>
      <c r="J84" s="5">
        <v>7.0</v>
      </c>
      <c r="K84" s="5">
        <v>6.0</v>
      </c>
      <c r="L84" s="5">
        <v>6.0</v>
      </c>
      <c r="M84" s="5">
        <v>7.0</v>
      </c>
      <c r="N84" s="5">
        <v>7.0</v>
      </c>
      <c r="O84" s="5">
        <v>5.0</v>
      </c>
      <c r="P84" s="5">
        <v>6.0</v>
      </c>
      <c r="Q84" s="5">
        <v>4.0</v>
      </c>
      <c r="R84" s="5">
        <v>3.0</v>
      </c>
      <c r="S84" s="5">
        <v>7.0</v>
      </c>
      <c r="T84" s="5">
        <v>5.0</v>
      </c>
      <c r="U84" s="5">
        <f t="shared" si="1"/>
        <v>3</v>
      </c>
      <c r="V84" s="5" t="s">
        <v>574</v>
      </c>
      <c r="W84" s="5" t="s">
        <v>206</v>
      </c>
      <c r="X84" s="5">
        <v>3.0</v>
      </c>
      <c r="Y84" s="5">
        <v>7.0</v>
      </c>
      <c r="Z84" s="5">
        <v>7.0</v>
      </c>
      <c r="AA84" s="5">
        <v>3.0</v>
      </c>
      <c r="AB84" s="5">
        <v>6.0</v>
      </c>
      <c r="AC84" s="5">
        <v>7.0</v>
      </c>
      <c r="AD84" s="5" t="s">
        <v>575</v>
      </c>
      <c r="AE84" s="5" t="s">
        <v>206</v>
      </c>
      <c r="AF84" s="5">
        <v>5.0</v>
      </c>
      <c r="AG84" s="5">
        <v>5.0</v>
      </c>
      <c r="AH84" s="5">
        <v>7.0</v>
      </c>
      <c r="AI84" s="5">
        <v>1.0</v>
      </c>
      <c r="AJ84" s="5">
        <f t="shared" si="2"/>
        <v>7</v>
      </c>
      <c r="AK84" s="5">
        <v>1.0</v>
      </c>
      <c r="AL84" s="5">
        <f t="shared" si="3"/>
        <v>7</v>
      </c>
      <c r="AM84" s="5">
        <v>1.0</v>
      </c>
      <c r="AN84" s="5">
        <f t="shared" si="4"/>
        <v>7</v>
      </c>
      <c r="AO84" s="5">
        <v>1.0</v>
      </c>
      <c r="AP84" s="5">
        <f t="shared" si="5"/>
        <v>7</v>
      </c>
      <c r="AQ84" s="5" t="s">
        <v>576</v>
      </c>
    </row>
    <row r="85">
      <c r="A85" s="8">
        <v>646.0</v>
      </c>
      <c r="B85" s="7">
        <v>45869.10486111111</v>
      </c>
      <c r="C85" s="5" t="s">
        <v>577</v>
      </c>
      <c r="D85" s="5" t="s">
        <v>573</v>
      </c>
      <c r="E85" s="5" t="s">
        <v>263</v>
      </c>
      <c r="F85" s="5">
        <v>7.0</v>
      </c>
      <c r="G85" s="5">
        <v>6.0</v>
      </c>
      <c r="H85" s="5" t="s">
        <v>199</v>
      </c>
      <c r="I85" s="5">
        <v>6.0</v>
      </c>
      <c r="J85" s="5">
        <v>7.0</v>
      </c>
      <c r="K85" s="5">
        <v>7.0</v>
      </c>
      <c r="L85" s="5">
        <v>3.0</v>
      </c>
      <c r="M85" s="5">
        <v>7.0</v>
      </c>
      <c r="N85" s="5">
        <v>7.0</v>
      </c>
      <c r="O85" s="5">
        <v>7.0</v>
      </c>
      <c r="P85" s="5">
        <v>6.0</v>
      </c>
      <c r="Q85" s="5">
        <v>6.0</v>
      </c>
      <c r="R85" s="5">
        <v>6.0</v>
      </c>
      <c r="S85" s="5">
        <v>7.0</v>
      </c>
      <c r="T85" s="5">
        <v>3.0</v>
      </c>
      <c r="U85" s="5">
        <f t="shared" si="1"/>
        <v>5</v>
      </c>
      <c r="V85" s="5" t="s">
        <v>578</v>
      </c>
      <c r="W85" s="5" t="s">
        <v>206</v>
      </c>
      <c r="X85" s="5">
        <v>5.0</v>
      </c>
      <c r="Y85" s="5">
        <v>7.0</v>
      </c>
      <c r="Z85" s="5">
        <v>7.0</v>
      </c>
      <c r="AA85" s="5">
        <v>7.0</v>
      </c>
      <c r="AB85" s="5">
        <v>7.0</v>
      </c>
      <c r="AC85" s="5">
        <v>7.0</v>
      </c>
      <c r="AD85" s="5" t="s">
        <v>579</v>
      </c>
      <c r="AE85" s="5" t="s">
        <v>206</v>
      </c>
      <c r="AF85" s="5">
        <v>7.0</v>
      </c>
      <c r="AG85" s="5">
        <v>3.0</v>
      </c>
      <c r="AH85" s="5">
        <v>7.0</v>
      </c>
      <c r="AI85" s="5">
        <v>5.0</v>
      </c>
      <c r="AJ85" s="5">
        <f t="shared" si="2"/>
        <v>3</v>
      </c>
      <c r="AK85" s="5">
        <v>6.0</v>
      </c>
      <c r="AL85" s="5">
        <f t="shared" si="3"/>
        <v>2</v>
      </c>
      <c r="AM85" s="5">
        <v>1.0</v>
      </c>
      <c r="AN85" s="5">
        <f t="shared" si="4"/>
        <v>7</v>
      </c>
      <c r="AO85" s="5">
        <v>1.0</v>
      </c>
      <c r="AP85" s="5">
        <f t="shared" si="5"/>
        <v>7</v>
      </c>
      <c r="AQ85" s="5" t="s">
        <v>580</v>
      </c>
    </row>
    <row r="86">
      <c r="A86" s="8">
        <v>1424.0</v>
      </c>
      <c r="B86" s="7">
        <v>45869.10902777778</v>
      </c>
      <c r="C86" s="5" t="s">
        <v>581</v>
      </c>
      <c r="D86" s="5" t="s">
        <v>582</v>
      </c>
      <c r="E86" s="5" t="s">
        <v>197</v>
      </c>
      <c r="F86" s="5">
        <v>6.0</v>
      </c>
      <c r="G86" s="5">
        <v>6.0</v>
      </c>
      <c r="H86" s="5" t="s">
        <v>199</v>
      </c>
      <c r="I86" s="5">
        <v>7.0</v>
      </c>
      <c r="J86" s="5">
        <v>7.0</v>
      </c>
      <c r="K86" s="5">
        <v>5.0</v>
      </c>
      <c r="L86" s="5">
        <v>6.0</v>
      </c>
      <c r="M86" s="5">
        <v>7.0</v>
      </c>
      <c r="N86" s="5">
        <v>6.0</v>
      </c>
      <c r="O86" s="5">
        <v>6.0</v>
      </c>
      <c r="P86" s="5">
        <v>7.0</v>
      </c>
      <c r="Q86" s="5">
        <v>6.0</v>
      </c>
      <c r="R86" s="5">
        <v>5.0</v>
      </c>
      <c r="S86" s="5">
        <v>7.0</v>
      </c>
      <c r="T86" s="5">
        <v>6.0</v>
      </c>
      <c r="U86" s="5">
        <f t="shared" si="1"/>
        <v>2</v>
      </c>
      <c r="V86" s="5" t="s">
        <v>583</v>
      </c>
      <c r="W86" s="5" t="s">
        <v>206</v>
      </c>
      <c r="X86" s="5">
        <v>6.0</v>
      </c>
      <c r="Y86" s="5">
        <v>6.0</v>
      </c>
      <c r="Z86" s="5">
        <v>7.0</v>
      </c>
      <c r="AA86" s="5">
        <v>6.0</v>
      </c>
      <c r="AB86" s="5">
        <v>7.0</v>
      </c>
      <c r="AC86" s="5">
        <v>7.0</v>
      </c>
      <c r="AD86" s="11" t="s">
        <v>584</v>
      </c>
      <c r="AE86" s="5" t="s">
        <v>206</v>
      </c>
      <c r="AF86" s="5">
        <v>6.0</v>
      </c>
      <c r="AG86" s="5">
        <v>6.0</v>
      </c>
      <c r="AH86" s="5">
        <v>7.0</v>
      </c>
      <c r="AI86" s="5">
        <v>1.0</v>
      </c>
      <c r="AJ86" s="5">
        <f t="shared" si="2"/>
        <v>7</v>
      </c>
      <c r="AK86" s="5">
        <v>1.0</v>
      </c>
      <c r="AL86" s="5">
        <f t="shared" si="3"/>
        <v>7</v>
      </c>
      <c r="AM86" s="5">
        <v>1.0</v>
      </c>
      <c r="AN86" s="5">
        <f t="shared" si="4"/>
        <v>7</v>
      </c>
      <c r="AO86" s="5">
        <v>1.0</v>
      </c>
      <c r="AP86" s="5">
        <f t="shared" si="5"/>
        <v>7</v>
      </c>
      <c r="AQ86" s="5" t="s">
        <v>585</v>
      </c>
    </row>
    <row r="87">
      <c r="A87" s="8">
        <v>484.0</v>
      </c>
      <c r="B87" s="7">
        <v>45869.114583333336</v>
      </c>
      <c r="C87" s="5" t="s">
        <v>586</v>
      </c>
      <c r="D87" s="5" t="s">
        <v>573</v>
      </c>
      <c r="E87" s="5" t="s">
        <v>197</v>
      </c>
      <c r="F87" s="5">
        <v>7.0</v>
      </c>
      <c r="G87" s="5">
        <v>6.0</v>
      </c>
      <c r="H87" s="5" t="s">
        <v>199</v>
      </c>
      <c r="I87" s="5">
        <v>6.0</v>
      </c>
      <c r="J87" s="5">
        <v>7.0</v>
      </c>
      <c r="K87" s="5">
        <v>7.0</v>
      </c>
      <c r="L87" s="5">
        <v>6.0</v>
      </c>
      <c r="M87" s="5">
        <v>7.0</v>
      </c>
      <c r="N87" s="5">
        <v>7.0</v>
      </c>
      <c r="O87" s="5">
        <v>7.0</v>
      </c>
      <c r="P87" s="5">
        <v>7.0</v>
      </c>
      <c r="Q87" s="5">
        <v>3.0</v>
      </c>
      <c r="R87" s="5">
        <v>3.0</v>
      </c>
      <c r="S87" s="5">
        <v>7.0</v>
      </c>
      <c r="T87" s="5">
        <v>3.0</v>
      </c>
      <c r="U87" s="5">
        <f t="shared" si="1"/>
        <v>5</v>
      </c>
      <c r="V87" s="5" t="s">
        <v>587</v>
      </c>
      <c r="W87" s="5" t="s">
        <v>206</v>
      </c>
      <c r="X87" s="5">
        <v>6.0</v>
      </c>
      <c r="Y87" s="5">
        <v>7.0</v>
      </c>
      <c r="Z87" s="5">
        <v>7.0</v>
      </c>
      <c r="AA87" s="5">
        <v>7.0</v>
      </c>
      <c r="AB87" s="5">
        <v>7.0</v>
      </c>
      <c r="AC87" s="5">
        <v>7.0</v>
      </c>
      <c r="AD87" s="5" t="s">
        <v>588</v>
      </c>
      <c r="AE87" s="5" t="s">
        <v>206</v>
      </c>
      <c r="AF87" s="5">
        <v>7.0</v>
      </c>
      <c r="AG87" s="5">
        <v>7.0</v>
      </c>
      <c r="AH87" s="5">
        <v>7.0</v>
      </c>
      <c r="AI87" s="5">
        <v>7.0</v>
      </c>
      <c r="AJ87" s="5">
        <f t="shared" si="2"/>
        <v>1</v>
      </c>
      <c r="AK87" s="5">
        <v>7.0</v>
      </c>
      <c r="AL87" s="5">
        <f t="shared" si="3"/>
        <v>1</v>
      </c>
      <c r="AM87" s="5">
        <v>5.0</v>
      </c>
      <c r="AN87" s="5">
        <f t="shared" si="4"/>
        <v>3</v>
      </c>
      <c r="AO87" s="5">
        <v>2.0</v>
      </c>
      <c r="AP87" s="5">
        <f t="shared" si="5"/>
        <v>6</v>
      </c>
      <c r="AQ87" s="5" t="s">
        <v>589</v>
      </c>
    </row>
    <row r="88">
      <c r="A88" s="8">
        <v>768.0</v>
      </c>
      <c r="B88" s="7">
        <v>45869.12569444445</v>
      </c>
      <c r="C88" s="5" t="s">
        <v>590</v>
      </c>
      <c r="D88" s="5" t="s">
        <v>573</v>
      </c>
      <c r="E88" s="5" t="s">
        <v>216</v>
      </c>
      <c r="F88" s="5">
        <v>7.0</v>
      </c>
      <c r="G88" s="5">
        <v>5.0</v>
      </c>
      <c r="H88" s="5" t="s">
        <v>199</v>
      </c>
      <c r="I88" s="5">
        <v>5.0</v>
      </c>
      <c r="J88" s="5">
        <v>7.0</v>
      </c>
      <c r="K88" s="5">
        <v>6.0</v>
      </c>
      <c r="L88" s="5">
        <v>4.0</v>
      </c>
      <c r="M88" s="5">
        <v>5.0</v>
      </c>
      <c r="N88" s="5">
        <v>5.0</v>
      </c>
      <c r="O88" s="5">
        <v>4.0</v>
      </c>
      <c r="P88" s="5">
        <v>5.0</v>
      </c>
      <c r="Q88" s="5">
        <v>5.0</v>
      </c>
      <c r="R88" s="5">
        <v>5.0</v>
      </c>
      <c r="S88" s="5">
        <v>5.0</v>
      </c>
      <c r="T88" s="5">
        <v>5.0</v>
      </c>
      <c r="U88" s="5">
        <f t="shared" si="1"/>
        <v>3</v>
      </c>
      <c r="V88" s="5" t="s">
        <v>591</v>
      </c>
      <c r="W88" s="5" t="s">
        <v>206</v>
      </c>
      <c r="X88" s="5">
        <v>6.0</v>
      </c>
      <c r="Y88" s="5">
        <v>7.0</v>
      </c>
      <c r="Z88" s="5">
        <v>7.0</v>
      </c>
      <c r="AA88" s="5">
        <v>5.0</v>
      </c>
      <c r="AB88" s="5">
        <v>6.0</v>
      </c>
      <c r="AC88" s="5">
        <v>7.0</v>
      </c>
      <c r="AD88" s="5" t="s">
        <v>592</v>
      </c>
      <c r="AE88" s="5" t="s">
        <v>206</v>
      </c>
      <c r="AF88" s="5">
        <v>7.0</v>
      </c>
      <c r="AG88" s="5">
        <v>5.0</v>
      </c>
      <c r="AH88" s="5">
        <v>7.0</v>
      </c>
      <c r="AI88" s="5">
        <v>1.0</v>
      </c>
      <c r="AJ88" s="5">
        <f t="shared" si="2"/>
        <v>7</v>
      </c>
      <c r="AK88" s="5">
        <v>1.0</v>
      </c>
      <c r="AL88" s="5">
        <f t="shared" si="3"/>
        <v>7</v>
      </c>
      <c r="AM88" s="5">
        <v>1.0</v>
      </c>
      <c r="AN88" s="5">
        <f t="shared" si="4"/>
        <v>7</v>
      </c>
      <c r="AO88" s="5">
        <v>1.0</v>
      </c>
      <c r="AP88" s="5">
        <f t="shared" si="5"/>
        <v>7</v>
      </c>
      <c r="AQ88" s="5" t="s">
        <v>593</v>
      </c>
    </row>
    <row r="89">
      <c r="A89" s="8">
        <v>644.0</v>
      </c>
      <c r="B89" s="7">
        <v>45869.165972222225</v>
      </c>
      <c r="C89" s="5" t="s">
        <v>594</v>
      </c>
      <c r="D89" s="5" t="s">
        <v>595</v>
      </c>
      <c r="E89" s="5" t="s">
        <v>216</v>
      </c>
      <c r="F89" s="5">
        <v>6.0</v>
      </c>
      <c r="G89" s="5">
        <v>5.0</v>
      </c>
      <c r="H89" s="5" t="s">
        <v>199</v>
      </c>
      <c r="I89" s="5">
        <v>6.0</v>
      </c>
      <c r="J89" s="5">
        <v>4.0</v>
      </c>
      <c r="K89" s="5">
        <v>6.0</v>
      </c>
      <c r="L89" s="5">
        <v>5.0</v>
      </c>
      <c r="M89" s="5">
        <v>5.0</v>
      </c>
      <c r="N89" s="5">
        <v>4.0</v>
      </c>
      <c r="O89" s="5">
        <v>5.0</v>
      </c>
      <c r="P89" s="5">
        <v>5.0</v>
      </c>
      <c r="Q89" s="5">
        <v>5.0</v>
      </c>
      <c r="R89" s="5">
        <v>3.0</v>
      </c>
      <c r="S89" s="5">
        <v>5.0</v>
      </c>
      <c r="T89" s="5">
        <v>4.0</v>
      </c>
      <c r="U89" s="5">
        <f t="shared" si="1"/>
        <v>4</v>
      </c>
      <c r="V89" s="5" t="s">
        <v>413</v>
      </c>
      <c r="W89" s="5" t="s">
        <v>206</v>
      </c>
      <c r="X89" s="5">
        <v>5.0</v>
      </c>
      <c r="Y89" s="5">
        <v>3.0</v>
      </c>
      <c r="Z89" s="5">
        <v>4.0</v>
      </c>
      <c r="AA89" s="5">
        <v>3.0</v>
      </c>
      <c r="AB89" s="5">
        <v>3.0</v>
      </c>
      <c r="AC89" s="5">
        <v>3.0</v>
      </c>
      <c r="AD89" s="5" t="s">
        <v>413</v>
      </c>
      <c r="AE89" s="5" t="s">
        <v>206</v>
      </c>
      <c r="AF89" s="5">
        <v>5.0</v>
      </c>
      <c r="AG89" s="5">
        <v>6.0</v>
      </c>
      <c r="AH89" s="5">
        <v>5.0</v>
      </c>
      <c r="AI89" s="5">
        <v>3.0</v>
      </c>
      <c r="AJ89" s="5">
        <f t="shared" si="2"/>
        <v>5</v>
      </c>
      <c r="AK89" s="5">
        <v>3.0</v>
      </c>
      <c r="AL89" s="5">
        <f t="shared" si="3"/>
        <v>5</v>
      </c>
      <c r="AM89" s="5">
        <v>3.0</v>
      </c>
      <c r="AN89" s="5">
        <f t="shared" si="4"/>
        <v>5</v>
      </c>
      <c r="AO89" s="5">
        <v>3.0</v>
      </c>
      <c r="AP89" s="5">
        <f t="shared" si="5"/>
        <v>5</v>
      </c>
      <c r="AQ89" s="5" t="s">
        <v>413</v>
      </c>
    </row>
    <row r="90">
      <c r="A90" s="8">
        <v>1117.0</v>
      </c>
      <c r="B90" s="7">
        <v>45869.17638888889</v>
      </c>
      <c r="C90" s="5" t="s">
        <v>596</v>
      </c>
      <c r="D90" s="5" t="s">
        <v>582</v>
      </c>
      <c r="E90" s="5" t="s">
        <v>211</v>
      </c>
      <c r="F90" s="5">
        <v>6.0</v>
      </c>
      <c r="G90" s="5">
        <v>5.0</v>
      </c>
      <c r="H90" s="5" t="s">
        <v>199</v>
      </c>
      <c r="I90" s="5">
        <v>7.0</v>
      </c>
      <c r="J90" s="5">
        <v>7.0</v>
      </c>
      <c r="K90" s="5">
        <v>5.0</v>
      </c>
      <c r="L90" s="5">
        <v>5.0</v>
      </c>
      <c r="M90" s="5">
        <v>6.0</v>
      </c>
      <c r="N90" s="5">
        <v>6.0</v>
      </c>
      <c r="O90" s="5">
        <v>6.0</v>
      </c>
      <c r="P90" s="5">
        <v>7.0</v>
      </c>
      <c r="Q90" s="5">
        <v>5.0</v>
      </c>
      <c r="R90" s="5">
        <v>4.0</v>
      </c>
      <c r="S90" s="5">
        <v>6.0</v>
      </c>
      <c r="T90" s="5">
        <v>4.0</v>
      </c>
      <c r="U90" s="5">
        <f t="shared" si="1"/>
        <v>4</v>
      </c>
      <c r="V90" s="5" t="s">
        <v>597</v>
      </c>
      <c r="W90" s="5" t="s">
        <v>206</v>
      </c>
      <c r="X90" s="5">
        <v>6.0</v>
      </c>
      <c r="Y90" s="5">
        <v>7.0</v>
      </c>
      <c r="Z90" s="5">
        <v>7.0</v>
      </c>
      <c r="AA90" s="5">
        <v>7.0</v>
      </c>
      <c r="AB90" s="5">
        <v>7.0</v>
      </c>
      <c r="AC90" s="5">
        <v>7.0</v>
      </c>
      <c r="AD90" s="5" t="s">
        <v>598</v>
      </c>
      <c r="AE90" s="5" t="s">
        <v>206</v>
      </c>
      <c r="AF90" s="5">
        <v>6.0</v>
      </c>
      <c r="AG90" s="5">
        <v>6.0</v>
      </c>
      <c r="AH90" s="5">
        <v>7.0</v>
      </c>
      <c r="AI90" s="5">
        <v>1.0</v>
      </c>
      <c r="AJ90" s="5">
        <f t="shared" si="2"/>
        <v>7</v>
      </c>
      <c r="AK90" s="5">
        <v>1.0</v>
      </c>
      <c r="AL90" s="5">
        <f t="shared" si="3"/>
        <v>7</v>
      </c>
      <c r="AM90" s="5">
        <v>1.0</v>
      </c>
      <c r="AN90" s="5">
        <f t="shared" si="4"/>
        <v>7</v>
      </c>
      <c r="AO90" s="5">
        <v>1.0</v>
      </c>
      <c r="AP90" s="5">
        <f t="shared" si="5"/>
        <v>7</v>
      </c>
      <c r="AQ90" s="5" t="s">
        <v>599</v>
      </c>
    </row>
    <row r="91">
      <c r="A91" s="8">
        <v>447.0</v>
      </c>
      <c r="B91" s="7">
        <v>45869.18194444444</v>
      </c>
      <c r="C91" s="5" t="s">
        <v>600</v>
      </c>
      <c r="D91" s="5" t="s">
        <v>595</v>
      </c>
      <c r="E91" s="5" t="s">
        <v>263</v>
      </c>
      <c r="F91" s="5">
        <v>6.0</v>
      </c>
      <c r="G91" s="5">
        <v>5.0</v>
      </c>
      <c r="H91" s="5" t="s">
        <v>199</v>
      </c>
      <c r="I91" s="5">
        <v>6.0</v>
      </c>
      <c r="J91" s="5">
        <v>5.0</v>
      </c>
      <c r="K91" s="5">
        <v>6.0</v>
      </c>
      <c r="L91" s="5">
        <v>6.0</v>
      </c>
      <c r="M91" s="5">
        <v>6.0</v>
      </c>
      <c r="N91" s="5">
        <v>6.0</v>
      </c>
      <c r="O91" s="5">
        <v>6.0</v>
      </c>
      <c r="P91" s="5">
        <v>6.0</v>
      </c>
      <c r="Q91" s="5">
        <v>6.0</v>
      </c>
      <c r="R91" s="5">
        <v>3.0</v>
      </c>
      <c r="S91" s="5">
        <v>6.0</v>
      </c>
      <c r="T91" s="5">
        <v>5.0</v>
      </c>
      <c r="U91" s="5">
        <f t="shared" si="1"/>
        <v>3</v>
      </c>
      <c r="V91" s="5" t="s">
        <v>413</v>
      </c>
      <c r="W91" s="5" t="s">
        <v>206</v>
      </c>
      <c r="X91" s="5">
        <v>6.0</v>
      </c>
      <c r="Y91" s="5">
        <v>6.0</v>
      </c>
      <c r="Z91" s="5">
        <v>6.0</v>
      </c>
      <c r="AA91" s="5">
        <v>6.0</v>
      </c>
      <c r="AB91" s="5">
        <v>6.0</v>
      </c>
      <c r="AC91" s="5">
        <v>5.0</v>
      </c>
      <c r="AD91" s="5" t="s">
        <v>413</v>
      </c>
      <c r="AE91" s="5" t="s">
        <v>206</v>
      </c>
      <c r="AF91" s="5">
        <v>6.0</v>
      </c>
      <c r="AG91" s="5">
        <v>6.0</v>
      </c>
      <c r="AH91" s="5">
        <v>5.0</v>
      </c>
      <c r="AI91" s="5">
        <v>3.0</v>
      </c>
      <c r="AJ91" s="5">
        <f t="shared" si="2"/>
        <v>5</v>
      </c>
      <c r="AK91" s="5">
        <v>2.0</v>
      </c>
      <c r="AL91" s="5">
        <f t="shared" si="3"/>
        <v>6</v>
      </c>
      <c r="AM91" s="5">
        <v>3.0</v>
      </c>
      <c r="AN91" s="5">
        <f t="shared" si="4"/>
        <v>5</v>
      </c>
      <c r="AO91" s="5">
        <v>2.0</v>
      </c>
      <c r="AP91" s="5">
        <f t="shared" si="5"/>
        <v>6</v>
      </c>
      <c r="AQ91" s="5" t="s">
        <v>413</v>
      </c>
    </row>
    <row r="92">
      <c r="A92" s="8">
        <v>1215.0</v>
      </c>
      <c r="B92" s="7">
        <v>45869.18402777778</v>
      </c>
      <c r="C92" s="5" t="s">
        <v>601</v>
      </c>
      <c r="D92" s="5" t="s">
        <v>602</v>
      </c>
      <c r="E92" s="5" t="s">
        <v>197</v>
      </c>
      <c r="F92" s="5">
        <v>6.0</v>
      </c>
      <c r="G92" s="5">
        <v>5.0</v>
      </c>
      <c r="H92" s="5" t="s">
        <v>199</v>
      </c>
      <c r="I92" s="5">
        <v>6.0</v>
      </c>
      <c r="J92" s="5">
        <v>6.0</v>
      </c>
      <c r="K92" s="5">
        <v>7.0</v>
      </c>
      <c r="L92" s="5">
        <v>5.0</v>
      </c>
      <c r="M92" s="5">
        <v>5.0</v>
      </c>
      <c r="N92" s="5">
        <v>6.0</v>
      </c>
      <c r="O92" s="5">
        <v>6.0</v>
      </c>
      <c r="P92" s="5">
        <v>7.0</v>
      </c>
      <c r="Q92" s="5">
        <v>5.0</v>
      </c>
      <c r="R92" s="5">
        <v>6.0</v>
      </c>
      <c r="S92" s="5">
        <v>6.0</v>
      </c>
      <c r="T92" s="5">
        <v>5.0</v>
      </c>
      <c r="U92" s="5">
        <f t="shared" si="1"/>
        <v>3</v>
      </c>
      <c r="V92" s="5" t="s">
        <v>603</v>
      </c>
      <c r="W92" s="5" t="s">
        <v>206</v>
      </c>
      <c r="X92" s="5">
        <v>6.0</v>
      </c>
      <c r="Y92" s="5">
        <v>6.0</v>
      </c>
      <c r="Z92" s="5">
        <v>6.0</v>
      </c>
      <c r="AA92" s="5">
        <v>7.0</v>
      </c>
      <c r="AB92" s="5">
        <v>6.0</v>
      </c>
      <c r="AC92" s="5">
        <v>6.0</v>
      </c>
      <c r="AD92" s="5" t="s">
        <v>604</v>
      </c>
      <c r="AE92" s="5" t="s">
        <v>206</v>
      </c>
      <c r="AF92" s="5">
        <v>6.0</v>
      </c>
      <c r="AG92" s="5">
        <v>6.0</v>
      </c>
      <c r="AH92" s="5">
        <v>7.0</v>
      </c>
      <c r="AI92" s="5">
        <v>1.0</v>
      </c>
      <c r="AJ92" s="5">
        <f t="shared" si="2"/>
        <v>7</v>
      </c>
      <c r="AK92" s="5">
        <v>1.0</v>
      </c>
      <c r="AL92" s="5">
        <f t="shared" si="3"/>
        <v>7</v>
      </c>
      <c r="AM92" s="5">
        <v>1.0</v>
      </c>
      <c r="AN92" s="5">
        <f t="shared" si="4"/>
        <v>7</v>
      </c>
      <c r="AO92" s="5">
        <v>1.0</v>
      </c>
      <c r="AP92" s="5">
        <f t="shared" si="5"/>
        <v>7</v>
      </c>
      <c r="AQ92" s="5" t="s">
        <v>605</v>
      </c>
    </row>
    <row r="93">
      <c r="A93" s="8">
        <v>973.0</v>
      </c>
      <c r="B93" s="7">
        <v>45869.18819444445</v>
      </c>
      <c r="C93" s="5" t="s">
        <v>606</v>
      </c>
      <c r="D93" s="5" t="s">
        <v>607</v>
      </c>
      <c r="E93" s="5" t="s">
        <v>211</v>
      </c>
      <c r="F93" s="5">
        <v>2.0</v>
      </c>
      <c r="G93" s="5">
        <v>1.0</v>
      </c>
      <c r="H93" s="5" t="s">
        <v>199</v>
      </c>
      <c r="I93" s="5">
        <v>1.0</v>
      </c>
      <c r="J93" s="5">
        <v>1.0</v>
      </c>
      <c r="K93" s="5">
        <v>1.0</v>
      </c>
      <c r="L93" s="5">
        <v>2.0</v>
      </c>
      <c r="M93" s="5">
        <v>1.0</v>
      </c>
      <c r="N93" s="5">
        <v>5.0</v>
      </c>
      <c r="O93" s="5">
        <v>4.0</v>
      </c>
      <c r="P93" s="5">
        <v>3.0</v>
      </c>
      <c r="Q93" s="5">
        <v>1.0</v>
      </c>
      <c r="R93" s="5">
        <v>1.0</v>
      </c>
      <c r="S93" s="5">
        <v>1.0</v>
      </c>
      <c r="T93" s="5">
        <v>7.0</v>
      </c>
      <c r="U93" s="5">
        <f t="shared" si="1"/>
        <v>1</v>
      </c>
      <c r="V93" s="5" t="s">
        <v>608</v>
      </c>
      <c r="W93" s="5" t="s">
        <v>206</v>
      </c>
      <c r="X93" s="5">
        <v>2.0</v>
      </c>
      <c r="Y93" s="5">
        <v>4.0</v>
      </c>
      <c r="Z93" s="5">
        <v>2.0</v>
      </c>
      <c r="AA93" s="5">
        <v>6.0</v>
      </c>
      <c r="AB93" s="5">
        <v>6.0</v>
      </c>
      <c r="AC93" s="5">
        <v>4.0</v>
      </c>
      <c r="AD93" s="5" t="s">
        <v>609</v>
      </c>
      <c r="AE93" s="5" t="s">
        <v>206</v>
      </c>
      <c r="AF93" s="5">
        <v>1.0</v>
      </c>
      <c r="AG93" s="5">
        <v>5.0</v>
      </c>
      <c r="AH93" s="5">
        <v>6.0</v>
      </c>
      <c r="AI93" s="5">
        <v>1.0</v>
      </c>
      <c r="AJ93" s="5">
        <f t="shared" si="2"/>
        <v>7</v>
      </c>
      <c r="AK93" s="5">
        <v>1.0</v>
      </c>
      <c r="AL93" s="5">
        <f t="shared" si="3"/>
        <v>7</v>
      </c>
      <c r="AM93" s="5">
        <v>2.0</v>
      </c>
      <c r="AN93" s="5">
        <f t="shared" si="4"/>
        <v>6</v>
      </c>
      <c r="AO93" s="5">
        <v>1.0</v>
      </c>
      <c r="AP93" s="5">
        <f t="shared" si="5"/>
        <v>7</v>
      </c>
      <c r="AQ93" s="5" t="s">
        <v>610</v>
      </c>
    </row>
    <row r="94">
      <c r="A94" s="8">
        <v>300.0</v>
      </c>
      <c r="B94" s="7">
        <v>45869.19097222222</v>
      </c>
      <c r="C94" s="5" t="s">
        <v>611</v>
      </c>
      <c r="D94" s="5" t="s">
        <v>595</v>
      </c>
      <c r="E94" s="5" t="s">
        <v>211</v>
      </c>
      <c r="F94" s="5">
        <v>5.0</v>
      </c>
      <c r="G94" s="5">
        <v>6.0</v>
      </c>
      <c r="H94" s="5" t="s">
        <v>199</v>
      </c>
      <c r="I94" s="5">
        <v>6.0</v>
      </c>
      <c r="J94" s="5">
        <v>6.0</v>
      </c>
      <c r="K94" s="5">
        <v>6.0</v>
      </c>
      <c r="L94" s="5">
        <v>6.0</v>
      </c>
      <c r="M94" s="5">
        <v>6.0</v>
      </c>
      <c r="N94" s="5">
        <v>6.0</v>
      </c>
      <c r="O94" s="5">
        <v>6.0</v>
      </c>
      <c r="P94" s="5">
        <v>6.0</v>
      </c>
      <c r="Q94" s="5">
        <v>6.0</v>
      </c>
      <c r="R94" s="5">
        <v>3.0</v>
      </c>
      <c r="S94" s="5">
        <v>6.0</v>
      </c>
      <c r="T94" s="5">
        <v>5.0</v>
      </c>
      <c r="U94" s="5">
        <f t="shared" si="1"/>
        <v>3</v>
      </c>
      <c r="V94" s="5" t="s">
        <v>413</v>
      </c>
      <c r="W94" s="5" t="s">
        <v>206</v>
      </c>
      <c r="X94" s="5">
        <v>6.0</v>
      </c>
      <c r="Y94" s="5">
        <v>6.0</v>
      </c>
      <c r="Z94" s="5">
        <v>6.0</v>
      </c>
      <c r="AA94" s="5">
        <v>6.0</v>
      </c>
      <c r="AB94" s="5">
        <v>6.0</v>
      </c>
      <c r="AC94" s="5">
        <v>6.0</v>
      </c>
      <c r="AD94" s="5" t="s">
        <v>413</v>
      </c>
      <c r="AE94" s="5" t="s">
        <v>206</v>
      </c>
      <c r="AF94" s="5">
        <v>6.0</v>
      </c>
      <c r="AG94" s="5">
        <v>6.0</v>
      </c>
      <c r="AH94" s="5">
        <v>5.0</v>
      </c>
      <c r="AI94" s="5">
        <v>2.0</v>
      </c>
      <c r="AJ94" s="5">
        <f t="shared" si="2"/>
        <v>6</v>
      </c>
      <c r="AK94" s="5">
        <v>2.0</v>
      </c>
      <c r="AL94" s="5">
        <f t="shared" si="3"/>
        <v>6</v>
      </c>
      <c r="AM94" s="5">
        <v>2.0</v>
      </c>
      <c r="AN94" s="5">
        <f t="shared" si="4"/>
        <v>6</v>
      </c>
      <c r="AO94" s="5">
        <v>2.0</v>
      </c>
      <c r="AP94" s="5">
        <f t="shared" si="5"/>
        <v>6</v>
      </c>
      <c r="AQ94" s="5" t="s">
        <v>413</v>
      </c>
    </row>
    <row r="95">
      <c r="A95" s="8">
        <v>808.0</v>
      </c>
      <c r="B95" s="7">
        <v>45869.19236111111</v>
      </c>
      <c r="C95" s="5" t="s">
        <v>612</v>
      </c>
      <c r="D95" s="5" t="s">
        <v>582</v>
      </c>
      <c r="E95" s="5" t="s">
        <v>263</v>
      </c>
      <c r="F95" s="5">
        <v>7.0</v>
      </c>
      <c r="G95" s="5">
        <v>5.0</v>
      </c>
      <c r="H95" s="5" t="s">
        <v>199</v>
      </c>
      <c r="I95" s="5">
        <v>7.0</v>
      </c>
      <c r="J95" s="5">
        <v>7.0</v>
      </c>
      <c r="K95" s="5">
        <v>5.0</v>
      </c>
      <c r="L95" s="5">
        <v>5.0</v>
      </c>
      <c r="M95" s="5">
        <v>6.0</v>
      </c>
      <c r="N95" s="5">
        <v>6.0</v>
      </c>
      <c r="O95" s="5">
        <v>5.0</v>
      </c>
      <c r="P95" s="5">
        <v>6.0</v>
      </c>
      <c r="Q95" s="5">
        <v>5.0</v>
      </c>
      <c r="R95" s="5">
        <v>2.0</v>
      </c>
      <c r="S95" s="5">
        <v>6.0</v>
      </c>
      <c r="T95" s="5">
        <v>5.0</v>
      </c>
      <c r="U95" s="5">
        <f t="shared" si="1"/>
        <v>3</v>
      </c>
      <c r="V95" s="5" t="s">
        <v>613</v>
      </c>
      <c r="W95" s="5" t="s">
        <v>206</v>
      </c>
      <c r="X95" s="5">
        <v>7.0</v>
      </c>
      <c r="Y95" s="5">
        <v>7.0</v>
      </c>
      <c r="Z95" s="5">
        <v>7.0</v>
      </c>
      <c r="AA95" s="5">
        <v>7.0</v>
      </c>
      <c r="AB95" s="5">
        <v>7.0</v>
      </c>
      <c r="AC95" s="5">
        <v>7.0</v>
      </c>
      <c r="AD95" s="5" t="s">
        <v>614</v>
      </c>
      <c r="AE95" s="5" t="s">
        <v>206</v>
      </c>
      <c r="AF95" s="5">
        <v>7.0</v>
      </c>
      <c r="AG95" s="5">
        <v>6.0</v>
      </c>
      <c r="AH95" s="5">
        <v>7.0</v>
      </c>
      <c r="AI95" s="5">
        <v>1.0</v>
      </c>
      <c r="AJ95" s="5">
        <f t="shared" si="2"/>
        <v>7</v>
      </c>
      <c r="AK95" s="5">
        <v>1.0</v>
      </c>
      <c r="AL95" s="5">
        <f t="shared" si="3"/>
        <v>7</v>
      </c>
      <c r="AM95" s="5">
        <v>1.0</v>
      </c>
      <c r="AN95" s="5">
        <f t="shared" si="4"/>
        <v>7</v>
      </c>
      <c r="AO95" s="5">
        <v>1.0</v>
      </c>
      <c r="AP95" s="5">
        <f t="shared" si="5"/>
        <v>7</v>
      </c>
      <c r="AQ95" s="5" t="s">
        <v>615</v>
      </c>
    </row>
    <row r="96">
      <c r="A96" s="8">
        <v>1307.0</v>
      </c>
      <c r="B96" s="7">
        <v>45869.20347222222</v>
      </c>
      <c r="C96" s="5" t="s">
        <v>616</v>
      </c>
      <c r="D96" s="5" t="s">
        <v>602</v>
      </c>
      <c r="E96" s="5" t="s">
        <v>211</v>
      </c>
      <c r="F96" s="5">
        <v>3.0</v>
      </c>
      <c r="G96" s="5">
        <v>3.0</v>
      </c>
      <c r="H96" s="5" t="s">
        <v>199</v>
      </c>
      <c r="I96" s="5">
        <v>6.0</v>
      </c>
      <c r="J96" s="5">
        <v>5.0</v>
      </c>
      <c r="K96" s="5">
        <v>3.0</v>
      </c>
      <c r="L96" s="5">
        <v>3.0</v>
      </c>
      <c r="M96" s="5">
        <v>3.0</v>
      </c>
      <c r="N96" s="5">
        <v>5.0</v>
      </c>
      <c r="O96" s="5">
        <v>5.0</v>
      </c>
      <c r="P96" s="5">
        <v>6.0</v>
      </c>
      <c r="Q96" s="5">
        <v>3.0</v>
      </c>
      <c r="R96" s="5">
        <v>3.0</v>
      </c>
      <c r="S96" s="5">
        <v>5.0</v>
      </c>
      <c r="T96" s="5">
        <v>6.0</v>
      </c>
      <c r="U96" s="5">
        <f t="shared" si="1"/>
        <v>2</v>
      </c>
      <c r="V96" s="5" t="s">
        <v>617</v>
      </c>
      <c r="W96" s="5" t="s">
        <v>206</v>
      </c>
      <c r="X96" s="5">
        <v>6.0</v>
      </c>
      <c r="Y96" s="5">
        <v>5.0</v>
      </c>
      <c r="Z96" s="5">
        <v>3.0</v>
      </c>
      <c r="AA96" s="5">
        <v>3.0</v>
      </c>
      <c r="AB96" s="5">
        <v>3.0</v>
      </c>
      <c r="AC96" s="5">
        <v>3.0</v>
      </c>
      <c r="AD96" s="5" t="s">
        <v>618</v>
      </c>
      <c r="AE96" s="5" t="s">
        <v>206</v>
      </c>
      <c r="AF96" s="5">
        <v>5.0</v>
      </c>
      <c r="AG96" s="5">
        <v>6.0</v>
      </c>
      <c r="AH96" s="5">
        <v>5.0</v>
      </c>
      <c r="AI96" s="5">
        <v>1.0</v>
      </c>
      <c r="AJ96" s="5">
        <f t="shared" si="2"/>
        <v>7</v>
      </c>
      <c r="AK96" s="5">
        <v>1.0</v>
      </c>
      <c r="AL96" s="5">
        <f t="shared" si="3"/>
        <v>7</v>
      </c>
      <c r="AM96" s="5">
        <v>1.0</v>
      </c>
      <c r="AN96" s="5">
        <f t="shared" si="4"/>
        <v>7</v>
      </c>
      <c r="AO96" s="5">
        <v>1.0</v>
      </c>
      <c r="AP96" s="5">
        <f t="shared" si="5"/>
        <v>7</v>
      </c>
      <c r="AQ96" s="5" t="s">
        <v>619</v>
      </c>
    </row>
    <row r="97">
      <c r="A97" s="8">
        <v>677.0</v>
      </c>
      <c r="B97" s="7">
        <v>45869.20416666667</v>
      </c>
      <c r="C97" s="5" t="s">
        <v>620</v>
      </c>
      <c r="D97" s="5" t="s">
        <v>582</v>
      </c>
      <c r="E97" s="5" t="s">
        <v>216</v>
      </c>
      <c r="F97" s="5">
        <v>7.0</v>
      </c>
      <c r="G97" s="5">
        <v>4.0</v>
      </c>
      <c r="H97" s="5" t="s">
        <v>199</v>
      </c>
      <c r="I97" s="5">
        <v>7.0</v>
      </c>
      <c r="J97" s="5">
        <v>7.0</v>
      </c>
      <c r="K97" s="5">
        <v>3.0</v>
      </c>
      <c r="L97" s="5">
        <v>6.0</v>
      </c>
      <c r="M97" s="5">
        <v>6.0</v>
      </c>
      <c r="N97" s="5">
        <v>6.0</v>
      </c>
      <c r="O97" s="5">
        <v>6.0</v>
      </c>
      <c r="P97" s="5">
        <v>6.0</v>
      </c>
      <c r="Q97" s="5">
        <v>3.0</v>
      </c>
      <c r="R97" s="5">
        <v>1.0</v>
      </c>
      <c r="S97" s="5">
        <v>6.0</v>
      </c>
      <c r="T97" s="5">
        <v>4.0</v>
      </c>
      <c r="U97" s="5">
        <f t="shared" si="1"/>
        <v>4</v>
      </c>
      <c r="V97" s="5" t="s">
        <v>621</v>
      </c>
      <c r="W97" s="5" t="s">
        <v>206</v>
      </c>
      <c r="X97" s="5">
        <v>6.0</v>
      </c>
      <c r="Y97" s="5">
        <v>6.0</v>
      </c>
      <c r="Z97" s="5">
        <v>7.0</v>
      </c>
      <c r="AA97" s="5">
        <v>6.0</v>
      </c>
      <c r="AB97" s="5">
        <v>7.0</v>
      </c>
      <c r="AC97" s="5">
        <v>7.0</v>
      </c>
      <c r="AD97" s="5" t="s">
        <v>622</v>
      </c>
      <c r="AE97" s="5" t="s">
        <v>206</v>
      </c>
      <c r="AF97" s="5">
        <v>7.0</v>
      </c>
      <c r="AG97" s="5">
        <v>7.0</v>
      </c>
      <c r="AH97" s="5">
        <v>7.0</v>
      </c>
      <c r="AI97" s="5">
        <v>1.0</v>
      </c>
      <c r="AJ97" s="5">
        <f t="shared" si="2"/>
        <v>7</v>
      </c>
      <c r="AK97" s="5">
        <v>1.0</v>
      </c>
      <c r="AL97" s="5">
        <f t="shared" si="3"/>
        <v>7</v>
      </c>
      <c r="AM97" s="5">
        <v>1.0</v>
      </c>
      <c r="AN97" s="5">
        <f t="shared" si="4"/>
        <v>7</v>
      </c>
      <c r="AO97" s="5">
        <v>1.0</v>
      </c>
      <c r="AP97" s="5">
        <f t="shared" si="5"/>
        <v>7</v>
      </c>
      <c r="AQ97" s="5" t="s">
        <v>623</v>
      </c>
    </row>
    <row r="98">
      <c r="A98" s="8">
        <v>726.0</v>
      </c>
      <c r="B98" s="7">
        <v>45869.20763888889</v>
      </c>
      <c r="C98" s="5" t="s">
        <v>624</v>
      </c>
      <c r="D98" s="5" t="s">
        <v>607</v>
      </c>
      <c r="E98" s="5" t="s">
        <v>263</v>
      </c>
      <c r="F98" s="5">
        <v>5.0</v>
      </c>
      <c r="G98" s="5">
        <v>5.0</v>
      </c>
      <c r="H98" s="5" t="s">
        <v>199</v>
      </c>
      <c r="I98" s="5">
        <v>2.0</v>
      </c>
      <c r="J98" s="5">
        <v>5.0</v>
      </c>
      <c r="K98" s="5">
        <v>4.0</v>
      </c>
      <c r="L98" s="5">
        <v>5.0</v>
      </c>
      <c r="M98" s="5">
        <v>5.0</v>
      </c>
      <c r="N98" s="5">
        <v>5.0</v>
      </c>
      <c r="O98" s="5">
        <v>5.0</v>
      </c>
      <c r="P98" s="5">
        <v>2.0</v>
      </c>
      <c r="Q98" s="5">
        <v>5.0</v>
      </c>
      <c r="R98" s="5">
        <v>5.0</v>
      </c>
      <c r="S98" s="5">
        <v>5.0</v>
      </c>
      <c r="T98" s="5">
        <v>7.0</v>
      </c>
      <c r="U98" s="5">
        <f t="shared" si="1"/>
        <v>1</v>
      </c>
      <c r="V98" s="5" t="s">
        <v>625</v>
      </c>
      <c r="W98" s="5" t="s">
        <v>206</v>
      </c>
      <c r="X98" s="5">
        <v>3.0</v>
      </c>
      <c r="Y98" s="5">
        <v>5.0</v>
      </c>
      <c r="Z98" s="5">
        <v>3.0</v>
      </c>
      <c r="AA98" s="5">
        <v>7.0</v>
      </c>
      <c r="AB98" s="5">
        <v>6.0</v>
      </c>
      <c r="AC98" s="5">
        <v>6.0</v>
      </c>
      <c r="AD98" s="5" t="s">
        <v>626</v>
      </c>
      <c r="AE98" s="5" t="s">
        <v>206</v>
      </c>
      <c r="AF98" s="5">
        <v>5.0</v>
      </c>
      <c r="AG98" s="5">
        <v>5.0</v>
      </c>
      <c r="AH98" s="5">
        <v>2.0</v>
      </c>
      <c r="AI98" s="5">
        <v>6.0</v>
      </c>
      <c r="AJ98" s="5">
        <f t="shared" si="2"/>
        <v>2</v>
      </c>
      <c r="AK98" s="5">
        <v>2.0</v>
      </c>
      <c r="AL98" s="5">
        <f t="shared" si="3"/>
        <v>6</v>
      </c>
      <c r="AM98" s="5">
        <v>7.0</v>
      </c>
      <c r="AN98" s="5">
        <f t="shared" si="4"/>
        <v>1</v>
      </c>
      <c r="AO98" s="5">
        <v>3.0</v>
      </c>
      <c r="AP98" s="5">
        <f t="shared" si="5"/>
        <v>5</v>
      </c>
      <c r="AQ98" s="5" t="s">
        <v>627</v>
      </c>
    </row>
    <row r="99">
      <c r="A99" s="8">
        <v>417.0</v>
      </c>
      <c r="B99" s="7">
        <v>45869.21388888889</v>
      </c>
      <c r="C99" s="5" t="s">
        <v>628</v>
      </c>
      <c r="D99" s="5" t="s">
        <v>595</v>
      </c>
      <c r="E99" s="5" t="s">
        <v>197</v>
      </c>
      <c r="F99" s="5">
        <v>6.0</v>
      </c>
      <c r="G99" s="5">
        <v>6.0</v>
      </c>
      <c r="H99" s="5" t="s">
        <v>199</v>
      </c>
      <c r="I99" s="5">
        <v>5.0</v>
      </c>
      <c r="J99" s="5">
        <v>5.0</v>
      </c>
      <c r="K99" s="5">
        <v>3.0</v>
      </c>
      <c r="L99" s="5">
        <v>6.0</v>
      </c>
      <c r="M99" s="5">
        <v>6.0</v>
      </c>
      <c r="N99" s="5">
        <v>6.0</v>
      </c>
      <c r="O99" s="5">
        <v>3.0</v>
      </c>
      <c r="P99" s="5">
        <v>6.0</v>
      </c>
      <c r="Q99" s="5">
        <v>6.0</v>
      </c>
      <c r="R99" s="5">
        <v>3.0</v>
      </c>
      <c r="S99" s="5">
        <v>5.0</v>
      </c>
      <c r="T99" s="5">
        <v>3.0</v>
      </c>
      <c r="U99" s="5">
        <f t="shared" si="1"/>
        <v>5</v>
      </c>
      <c r="V99" s="5" t="s">
        <v>413</v>
      </c>
      <c r="W99" s="5" t="s">
        <v>206</v>
      </c>
      <c r="X99" s="5">
        <v>6.0</v>
      </c>
      <c r="Y99" s="5">
        <v>6.0</v>
      </c>
      <c r="Z99" s="5">
        <v>6.0</v>
      </c>
      <c r="AA99" s="5">
        <v>6.0</v>
      </c>
      <c r="AB99" s="5">
        <v>6.0</v>
      </c>
      <c r="AC99" s="5">
        <v>6.0</v>
      </c>
      <c r="AD99" s="5" t="s">
        <v>413</v>
      </c>
      <c r="AE99" s="5" t="s">
        <v>206</v>
      </c>
      <c r="AF99" s="5">
        <v>6.0</v>
      </c>
      <c r="AG99" s="5">
        <v>5.0</v>
      </c>
      <c r="AH99" s="5">
        <v>5.0</v>
      </c>
      <c r="AI99" s="5">
        <v>3.0</v>
      </c>
      <c r="AJ99" s="5">
        <f t="shared" si="2"/>
        <v>5</v>
      </c>
      <c r="AK99" s="5">
        <v>3.0</v>
      </c>
      <c r="AL99" s="5">
        <f t="shared" si="3"/>
        <v>5</v>
      </c>
      <c r="AM99" s="5">
        <v>5.0</v>
      </c>
      <c r="AN99" s="5">
        <f t="shared" si="4"/>
        <v>3</v>
      </c>
      <c r="AO99" s="5">
        <v>4.0</v>
      </c>
      <c r="AP99" s="5">
        <f t="shared" si="5"/>
        <v>4</v>
      </c>
      <c r="AQ99" s="5" t="s">
        <v>413</v>
      </c>
    </row>
    <row r="100">
      <c r="A100" s="8">
        <v>1053.0</v>
      </c>
      <c r="B100" s="7">
        <v>45869.217361111114</v>
      </c>
      <c r="C100" s="5" t="s">
        <v>629</v>
      </c>
      <c r="D100" s="5" t="s">
        <v>602</v>
      </c>
      <c r="E100" s="5" t="s">
        <v>216</v>
      </c>
      <c r="F100" s="5">
        <v>3.0</v>
      </c>
      <c r="G100" s="5">
        <v>2.0</v>
      </c>
      <c r="H100" s="5" t="s">
        <v>199</v>
      </c>
      <c r="I100" s="5">
        <v>6.0</v>
      </c>
      <c r="J100" s="5">
        <v>5.0</v>
      </c>
      <c r="K100" s="5">
        <v>2.0</v>
      </c>
      <c r="L100" s="5">
        <v>2.0</v>
      </c>
      <c r="M100" s="5">
        <v>5.0</v>
      </c>
      <c r="N100" s="5">
        <v>5.0</v>
      </c>
      <c r="O100" s="5">
        <v>5.0</v>
      </c>
      <c r="P100" s="5">
        <v>6.0</v>
      </c>
      <c r="Q100" s="5">
        <v>2.0</v>
      </c>
      <c r="R100" s="5">
        <v>2.0</v>
      </c>
      <c r="S100" s="5">
        <v>3.0</v>
      </c>
      <c r="T100" s="5">
        <v>6.0</v>
      </c>
      <c r="U100" s="5">
        <f t="shared" si="1"/>
        <v>2</v>
      </c>
      <c r="V100" s="5" t="s">
        <v>630</v>
      </c>
      <c r="W100" s="5" t="s">
        <v>206</v>
      </c>
      <c r="X100" s="5">
        <v>5.0</v>
      </c>
      <c r="Y100" s="5">
        <v>3.0</v>
      </c>
      <c r="Z100" s="5">
        <v>3.0</v>
      </c>
      <c r="AA100" s="5">
        <v>2.0</v>
      </c>
      <c r="AB100" s="5">
        <v>2.0</v>
      </c>
      <c r="AC100" s="5">
        <v>2.0</v>
      </c>
      <c r="AD100" s="5" t="s">
        <v>631</v>
      </c>
      <c r="AE100" s="5" t="s">
        <v>206</v>
      </c>
      <c r="AF100" s="5">
        <v>5.0</v>
      </c>
      <c r="AG100" s="5">
        <v>6.0</v>
      </c>
      <c r="AH100" s="5">
        <v>3.0</v>
      </c>
      <c r="AI100" s="5">
        <v>1.0</v>
      </c>
      <c r="AJ100" s="5">
        <f t="shared" si="2"/>
        <v>7</v>
      </c>
      <c r="AK100" s="5">
        <v>1.0</v>
      </c>
      <c r="AL100" s="5">
        <f t="shared" si="3"/>
        <v>7</v>
      </c>
      <c r="AM100" s="5">
        <v>1.0</v>
      </c>
      <c r="AN100" s="5">
        <f t="shared" si="4"/>
        <v>7</v>
      </c>
      <c r="AO100" s="5">
        <v>1.0</v>
      </c>
      <c r="AP100" s="5">
        <f t="shared" si="5"/>
        <v>7</v>
      </c>
      <c r="AQ100" s="5" t="s">
        <v>632</v>
      </c>
    </row>
    <row r="101">
      <c r="A101" s="8">
        <v>315.0</v>
      </c>
      <c r="B101" s="7">
        <v>45869.21805555555</v>
      </c>
      <c r="C101" s="5" t="s">
        <v>633</v>
      </c>
      <c r="D101" s="5" t="s">
        <v>634</v>
      </c>
      <c r="E101" s="5" t="s">
        <v>216</v>
      </c>
      <c r="F101" s="5">
        <v>2.0</v>
      </c>
      <c r="G101" s="5">
        <v>1.0</v>
      </c>
      <c r="H101" s="5" t="s">
        <v>199</v>
      </c>
      <c r="I101" s="5">
        <v>4.0</v>
      </c>
      <c r="J101" s="5">
        <v>4.0</v>
      </c>
      <c r="K101" s="5">
        <v>1.0</v>
      </c>
      <c r="L101" s="5">
        <v>1.0</v>
      </c>
      <c r="M101" s="5">
        <v>1.0</v>
      </c>
      <c r="N101" s="5">
        <v>5.0</v>
      </c>
      <c r="O101" s="5">
        <v>6.0</v>
      </c>
      <c r="P101" s="5">
        <v>6.0</v>
      </c>
      <c r="Q101" s="5">
        <v>2.0</v>
      </c>
      <c r="R101" s="5">
        <v>2.0</v>
      </c>
      <c r="S101" s="5">
        <v>4.0</v>
      </c>
      <c r="T101" s="5">
        <v>7.0</v>
      </c>
      <c r="U101" s="5">
        <f t="shared" si="1"/>
        <v>1</v>
      </c>
      <c r="V101" s="5" t="s">
        <v>635</v>
      </c>
      <c r="W101" s="5" t="s">
        <v>206</v>
      </c>
      <c r="X101" s="5">
        <v>4.0</v>
      </c>
      <c r="Y101" s="5">
        <v>5.0</v>
      </c>
      <c r="Z101" s="5">
        <v>5.0</v>
      </c>
      <c r="AA101" s="5">
        <v>5.0</v>
      </c>
      <c r="AB101" s="5">
        <v>4.0</v>
      </c>
      <c r="AC101" s="5">
        <v>5.0</v>
      </c>
      <c r="AD101" s="5" t="s">
        <v>636</v>
      </c>
      <c r="AE101" s="5" t="s">
        <v>206</v>
      </c>
      <c r="AF101" s="5">
        <v>6.0</v>
      </c>
      <c r="AG101" s="5">
        <v>6.0</v>
      </c>
      <c r="AH101" s="5">
        <v>6.0</v>
      </c>
      <c r="AI101" s="5">
        <v>5.0</v>
      </c>
      <c r="AJ101" s="5">
        <f t="shared" si="2"/>
        <v>3</v>
      </c>
      <c r="AK101" s="5">
        <v>2.0</v>
      </c>
      <c r="AL101" s="5">
        <f t="shared" si="3"/>
        <v>6</v>
      </c>
      <c r="AM101" s="5">
        <v>3.0</v>
      </c>
      <c r="AN101" s="5">
        <f t="shared" si="4"/>
        <v>5</v>
      </c>
      <c r="AO101" s="5">
        <v>2.0</v>
      </c>
      <c r="AP101" s="5">
        <f t="shared" si="5"/>
        <v>6</v>
      </c>
      <c r="AQ101" s="5" t="s">
        <v>637</v>
      </c>
    </row>
    <row r="102">
      <c r="A102" s="8">
        <v>494.0</v>
      </c>
      <c r="B102" s="7">
        <v>45869.22083333333</v>
      </c>
      <c r="C102" s="5" t="s">
        <v>638</v>
      </c>
      <c r="D102" s="5" t="s">
        <v>607</v>
      </c>
      <c r="E102" s="5" t="s">
        <v>197</v>
      </c>
      <c r="F102" s="5">
        <v>4.0</v>
      </c>
      <c r="G102" s="5">
        <v>1.0</v>
      </c>
      <c r="H102" s="5" t="s">
        <v>199</v>
      </c>
      <c r="I102" s="5">
        <v>1.0</v>
      </c>
      <c r="J102" s="5">
        <v>1.0</v>
      </c>
      <c r="K102" s="5">
        <v>1.0</v>
      </c>
      <c r="L102" s="5">
        <v>4.0</v>
      </c>
      <c r="M102" s="5">
        <v>1.0</v>
      </c>
      <c r="N102" s="5">
        <v>4.0</v>
      </c>
      <c r="O102" s="5">
        <v>1.0</v>
      </c>
      <c r="P102" s="5">
        <v>1.0</v>
      </c>
      <c r="Q102" s="5">
        <v>4.0</v>
      </c>
      <c r="R102" s="5">
        <v>1.0</v>
      </c>
      <c r="S102" s="5">
        <v>1.0</v>
      </c>
      <c r="T102" s="5">
        <v>1.0</v>
      </c>
      <c r="U102" s="5">
        <f t="shared" si="1"/>
        <v>7</v>
      </c>
      <c r="V102" s="5" t="s">
        <v>639</v>
      </c>
      <c r="W102" s="5" t="s">
        <v>206</v>
      </c>
      <c r="X102" s="5">
        <v>1.0</v>
      </c>
      <c r="Y102" s="5">
        <v>1.0</v>
      </c>
      <c r="Z102" s="5">
        <v>1.0</v>
      </c>
      <c r="AA102" s="5">
        <v>4.0</v>
      </c>
      <c r="AB102" s="5">
        <v>5.0</v>
      </c>
      <c r="AC102" s="5">
        <v>1.0</v>
      </c>
      <c r="AD102" s="5" t="s">
        <v>640</v>
      </c>
      <c r="AE102" s="5" t="s">
        <v>206</v>
      </c>
      <c r="AF102" s="5">
        <v>1.0</v>
      </c>
      <c r="AG102" s="5">
        <v>1.0</v>
      </c>
      <c r="AH102" s="5">
        <v>1.0</v>
      </c>
      <c r="AI102" s="5">
        <v>5.0</v>
      </c>
      <c r="AJ102" s="5">
        <f t="shared" si="2"/>
        <v>3</v>
      </c>
      <c r="AK102" s="5">
        <v>4.0</v>
      </c>
      <c r="AL102" s="5">
        <f t="shared" si="3"/>
        <v>4</v>
      </c>
      <c r="AM102" s="5">
        <v>7.0</v>
      </c>
      <c r="AN102" s="5">
        <f t="shared" si="4"/>
        <v>1</v>
      </c>
      <c r="AO102" s="5">
        <v>5.0</v>
      </c>
      <c r="AP102" s="5">
        <f t="shared" si="5"/>
        <v>3</v>
      </c>
      <c r="AQ102" s="11" t="s">
        <v>641</v>
      </c>
    </row>
    <row r="103">
      <c r="A103" s="8">
        <v>359.0</v>
      </c>
      <c r="B103" s="7">
        <v>45869.22777777778</v>
      </c>
      <c r="C103" s="5" t="s">
        <v>642</v>
      </c>
      <c r="D103" s="5" t="s">
        <v>634</v>
      </c>
      <c r="E103" s="5" t="s">
        <v>211</v>
      </c>
      <c r="F103" s="5">
        <v>2.0</v>
      </c>
      <c r="G103" s="5">
        <v>2.0</v>
      </c>
      <c r="H103" s="5" t="s">
        <v>199</v>
      </c>
      <c r="I103" s="5">
        <v>6.0</v>
      </c>
      <c r="J103" s="5">
        <v>6.0</v>
      </c>
      <c r="K103" s="5">
        <v>2.0</v>
      </c>
      <c r="L103" s="5">
        <v>2.0</v>
      </c>
      <c r="M103" s="5">
        <v>3.0</v>
      </c>
      <c r="N103" s="5">
        <v>6.0</v>
      </c>
      <c r="O103" s="5">
        <v>6.0</v>
      </c>
      <c r="P103" s="5">
        <v>6.0</v>
      </c>
      <c r="Q103" s="5">
        <v>2.0</v>
      </c>
      <c r="R103" s="5">
        <v>5.0</v>
      </c>
      <c r="S103" s="5">
        <v>6.0</v>
      </c>
      <c r="T103" s="5">
        <v>6.0</v>
      </c>
      <c r="U103" s="5">
        <f t="shared" si="1"/>
        <v>2</v>
      </c>
      <c r="V103" s="5" t="s">
        <v>643</v>
      </c>
      <c r="W103" s="5" t="s">
        <v>206</v>
      </c>
      <c r="X103" s="5">
        <v>6.0</v>
      </c>
      <c r="Y103" s="5">
        <v>7.0</v>
      </c>
      <c r="Z103" s="5">
        <v>7.0</v>
      </c>
      <c r="AA103" s="5">
        <v>6.0</v>
      </c>
      <c r="AB103" s="5">
        <v>4.0</v>
      </c>
      <c r="AC103" s="5">
        <v>6.0</v>
      </c>
      <c r="AD103" s="5" t="s">
        <v>644</v>
      </c>
      <c r="AE103" s="5" t="s">
        <v>206</v>
      </c>
      <c r="AF103" s="5">
        <v>6.0</v>
      </c>
      <c r="AG103" s="5">
        <v>6.0</v>
      </c>
      <c r="AH103" s="5">
        <v>6.0</v>
      </c>
      <c r="AI103" s="5">
        <v>2.0</v>
      </c>
      <c r="AJ103" s="5">
        <f t="shared" si="2"/>
        <v>6</v>
      </c>
      <c r="AK103" s="5">
        <v>2.0</v>
      </c>
      <c r="AL103" s="5">
        <f t="shared" si="3"/>
        <v>6</v>
      </c>
      <c r="AM103" s="5">
        <v>2.0</v>
      </c>
      <c r="AN103" s="5">
        <f t="shared" si="4"/>
        <v>6</v>
      </c>
      <c r="AO103" s="5">
        <v>2.0</v>
      </c>
      <c r="AP103" s="5">
        <f t="shared" si="5"/>
        <v>6</v>
      </c>
      <c r="AQ103" s="5" t="s">
        <v>645</v>
      </c>
    </row>
    <row r="104">
      <c r="A104" s="8">
        <v>824.0</v>
      </c>
      <c r="B104" s="7">
        <v>45869.23263888889</v>
      </c>
      <c r="C104" s="5" t="s">
        <v>646</v>
      </c>
      <c r="D104" s="5" t="s">
        <v>602</v>
      </c>
      <c r="E104" s="5" t="s">
        <v>263</v>
      </c>
      <c r="F104" s="5">
        <v>6.0</v>
      </c>
      <c r="G104" s="5">
        <v>5.0</v>
      </c>
      <c r="H104" s="5" t="s">
        <v>199</v>
      </c>
      <c r="I104" s="5">
        <v>6.0</v>
      </c>
      <c r="J104" s="5">
        <v>5.0</v>
      </c>
      <c r="K104" s="5">
        <v>6.0</v>
      </c>
      <c r="L104" s="5">
        <v>2.0</v>
      </c>
      <c r="M104" s="5">
        <v>3.0</v>
      </c>
      <c r="N104" s="5">
        <v>5.0</v>
      </c>
      <c r="O104" s="5">
        <v>5.0</v>
      </c>
      <c r="P104" s="5">
        <v>6.0</v>
      </c>
      <c r="Q104" s="5">
        <v>2.0</v>
      </c>
      <c r="R104" s="5">
        <v>5.0</v>
      </c>
      <c r="S104" s="5">
        <v>5.0</v>
      </c>
      <c r="T104" s="5">
        <v>6.0</v>
      </c>
      <c r="U104" s="5">
        <f t="shared" si="1"/>
        <v>2</v>
      </c>
      <c r="V104" s="5" t="s">
        <v>647</v>
      </c>
      <c r="W104" s="5" t="s">
        <v>206</v>
      </c>
      <c r="X104" s="5">
        <v>6.0</v>
      </c>
      <c r="Y104" s="5">
        <v>6.0</v>
      </c>
      <c r="Z104" s="5">
        <v>6.0</v>
      </c>
      <c r="AA104" s="5">
        <v>5.0</v>
      </c>
      <c r="AB104" s="5">
        <v>6.0</v>
      </c>
      <c r="AC104" s="5">
        <v>6.0</v>
      </c>
      <c r="AD104" s="5" t="s">
        <v>648</v>
      </c>
      <c r="AE104" s="5" t="s">
        <v>206</v>
      </c>
      <c r="AF104" s="5">
        <v>6.0</v>
      </c>
      <c r="AG104" s="5">
        <v>6.0</v>
      </c>
      <c r="AH104" s="5">
        <v>6.0</v>
      </c>
      <c r="AI104" s="5">
        <v>1.0</v>
      </c>
      <c r="AJ104" s="5">
        <f t="shared" si="2"/>
        <v>7</v>
      </c>
      <c r="AK104" s="5">
        <v>1.0</v>
      </c>
      <c r="AL104" s="5">
        <f t="shared" si="3"/>
        <v>7</v>
      </c>
      <c r="AM104" s="5">
        <v>1.0</v>
      </c>
      <c r="AN104" s="5">
        <f t="shared" si="4"/>
        <v>7</v>
      </c>
      <c r="AO104" s="5">
        <v>1.0</v>
      </c>
      <c r="AP104" s="5">
        <f t="shared" si="5"/>
        <v>7</v>
      </c>
      <c r="AQ104" s="5" t="s">
        <v>649</v>
      </c>
    </row>
    <row r="105">
      <c r="A105" s="8">
        <v>567.0</v>
      </c>
      <c r="B105" s="7">
        <v>45869.23402777778</v>
      </c>
      <c r="C105" s="5" t="s">
        <v>650</v>
      </c>
      <c r="D105" s="5" t="s">
        <v>607</v>
      </c>
      <c r="E105" s="5" t="s">
        <v>216</v>
      </c>
      <c r="F105" s="5">
        <v>3.0</v>
      </c>
      <c r="G105" s="5">
        <v>2.0</v>
      </c>
      <c r="H105" s="5" t="s">
        <v>199</v>
      </c>
      <c r="I105" s="5">
        <v>4.0</v>
      </c>
      <c r="J105" s="5">
        <v>1.0</v>
      </c>
      <c r="K105" s="5">
        <v>1.0</v>
      </c>
      <c r="L105" s="5">
        <v>2.0</v>
      </c>
      <c r="M105" s="5">
        <v>2.0</v>
      </c>
      <c r="N105" s="5">
        <v>5.0</v>
      </c>
      <c r="O105" s="5">
        <v>6.0</v>
      </c>
      <c r="P105" s="5">
        <v>1.0</v>
      </c>
      <c r="Q105" s="5">
        <v>5.0</v>
      </c>
      <c r="R105" s="5">
        <v>2.0</v>
      </c>
      <c r="S105" s="5">
        <v>2.0</v>
      </c>
      <c r="T105" s="5">
        <v>1.0</v>
      </c>
      <c r="U105" s="5">
        <f t="shared" si="1"/>
        <v>7</v>
      </c>
      <c r="V105" s="5" t="s">
        <v>651</v>
      </c>
      <c r="W105" s="5" t="s">
        <v>206</v>
      </c>
      <c r="X105" s="5">
        <v>5.0</v>
      </c>
      <c r="Y105" s="5">
        <v>5.0</v>
      </c>
      <c r="Z105" s="5">
        <v>2.0</v>
      </c>
      <c r="AA105" s="5">
        <v>5.0</v>
      </c>
      <c r="AB105" s="5">
        <v>2.0</v>
      </c>
      <c r="AC105" s="5">
        <v>6.0</v>
      </c>
      <c r="AD105" s="5" t="s">
        <v>652</v>
      </c>
      <c r="AE105" s="5" t="s">
        <v>206</v>
      </c>
      <c r="AF105" s="5">
        <v>2.0</v>
      </c>
      <c r="AG105" s="5">
        <v>3.0</v>
      </c>
      <c r="AH105" s="5">
        <v>1.0</v>
      </c>
      <c r="AI105" s="5">
        <v>1.0</v>
      </c>
      <c r="AJ105" s="5">
        <f t="shared" si="2"/>
        <v>7</v>
      </c>
      <c r="AK105" s="5">
        <v>1.0</v>
      </c>
      <c r="AL105" s="5">
        <f t="shared" si="3"/>
        <v>7</v>
      </c>
      <c r="AM105" s="5">
        <v>2.0</v>
      </c>
      <c r="AN105" s="5">
        <f t="shared" si="4"/>
        <v>6</v>
      </c>
      <c r="AO105" s="5">
        <v>1.0</v>
      </c>
      <c r="AP105" s="5">
        <f t="shared" si="5"/>
        <v>7</v>
      </c>
      <c r="AQ105" s="5" t="s">
        <v>653</v>
      </c>
    </row>
    <row r="106">
      <c r="A106" s="8">
        <v>480.0</v>
      </c>
      <c r="B106" s="7">
        <v>45869.236805555556</v>
      </c>
      <c r="C106" s="5" t="s">
        <v>654</v>
      </c>
      <c r="D106" s="5" t="s">
        <v>655</v>
      </c>
      <c r="E106" s="5" t="s">
        <v>197</v>
      </c>
      <c r="F106" s="5">
        <v>5.0</v>
      </c>
      <c r="G106" s="5">
        <v>2.0</v>
      </c>
      <c r="H106" s="5" t="s">
        <v>199</v>
      </c>
      <c r="I106" s="5">
        <v>4.0</v>
      </c>
      <c r="J106" s="5">
        <v>6.0</v>
      </c>
      <c r="K106" s="5">
        <v>5.0</v>
      </c>
      <c r="L106" s="5">
        <v>2.0</v>
      </c>
      <c r="M106" s="5">
        <v>4.0</v>
      </c>
      <c r="N106" s="5">
        <v>6.0</v>
      </c>
      <c r="O106" s="5">
        <v>6.0</v>
      </c>
      <c r="P106" s="5">
        <v>6.0</v>
      </c>
      <c r="Q106" s="5">
        <v>2.0</v>
      </c>
      <c r="R106" s="5">
        <v>2.0</v>
      </c>
      <c r="S106" s="5">
        <v>6.0</v>
      </c>
      <c r="T106" s="5">
        <v>6.0</v>
      </c>
      <c r="U106" s="5">
        <f t="shared" si="1"/>
        <v>2</v>
      </c>
      <c r="V106" s="5" t="s">
        <v>656</v>
      </c>
      <c r="W106" s="5" t="s">
        <v>206</v>
      </c>
      <c r="X106" s="5">
        <v>6.0</v>
      </c>
      <c r="Y106" s="5">
        <v>6.0</v>
      </c>
      <c r="Z106" s="5">
        <v>6.0</v>
      </c>
      <c r="AA106" s="5">
        <v>6.0</v>
      </c>
      <c r="AB106" s="5">
        <v>4.0</v>
      </c>
      <c r="AC106" s="5">
        <v>6.0</v>
      </c>
      <c r="AD106" s="5" t="s">
        <v>657</v>
      </c>
      <c r="AE106" s="5" t="s">
        <v>206</v>
      </c>
      <c r="AF106" s="5">
        <v>6.0</v>
      </c>
      <c r="AG106" s="5">
        <v>7.0</v>
      </c>
      <c r="AH106" s="5">
        <v>6.0</v>
      </c>
      <c r="AI106" s="5">
        <v>5.0</v>
      </c>
      <c r="AJ106" s="5">
        <f t="shared" si="2"/>
        <v>3</v>
      </c>
      <c r="AK106" s="5">
        <v>5.0</v>
      </c>
      <c r="AL106" s="5">
        <f t="shared" si="3"/>
        <v>3</v>
      </c>
      <c r="AM106" s="5">
        <v>5.0</v>
      </c>
      <c r="AN106" s="5">
        <f t="shared" si="4"/>
        <v>3</v>
      </c>
      <c r="AO106" s="5">
        <v>2.0</v>
      </c>
      <c r="AP106" s="5">
        <f t="shared" si="5"/>
        <v>6</v>
      </c>
      <c r="AQ106" s="5" t="s">
        <v>658</v>
      </c>
    </row>
    <row r="107">
      <c r="A107" s="8">
        <v>539.0</v>
      </c>
      <c r="B107" s="7">
        <v>45869.25069444445</v>
      </c>
      <c r="C107" s="5" t="s">
        <v>659</v>
      </c>
      <c r="D107" s="5" t="s">
        <v>655</v>
      </c>
      <c r="E107" s="5" t="s">
        <v>263</v>
      </c>
      <c r="F107" s="5">
        <v>5.0</v>
      </c>
      <c r="G107" s="5">
        <v>2.0</v>
      </c>
      <c r="H107" s="5" t="s">
        <v>199</v>
      </c>
      <c r="I107" s="5">
        <v>3.0</v>
      </c>
      <c r="J107" s="5">
        <v>3.0</v>
      </c>
      <c r="K107" s="5">
        <v>4.0</v>
      </c>
      <c r="L107" s="5">
        <v>1.0</v>
      </c>
      <c r="M107" s="5">
        <v>2.0</v>
      </c>
      <c r="N107" s="5">
        <v>4.0</v>
      </c>
      <c r="O107" s="5">
        <v>3.0</v>
      </c>
      <c r="P107" s="5">
        <v>4.0</v>
      </c>
      <c r="Q107" s="5">
        <v>1.0</v>
      </c>
      <c r="R107" s="5">
        <v>2.0</v>
      </c>
      <c r="S107" s="5">
        <v>3.0</v>
      </c>
      <c r="T107" s="5">
        <v>6.0</v>
      </c>
      <c r="U107" s="5">
        <f t="shared" si="1"/>
        <v>2</v>
      </c>
      <c r="V107" s="5" t="s">
        <v>660</v>
      </c>
      <c r="W107" s="5" t="s">
        <v>206</v>
      </c>
      <c r="X107" s="5">
        <v>4.0</v>
      </c>
      <c r="Y107" s="5">
        <v>5.0</v>
      </c>
      <c r="Z107" s="5">
        <v>5.0</v>
      </c>
      <c r="AA107" s="5">
        <v>3.0</v>
      </c>
      <c r="AB107" s="5">
        <v>4.0</v>
      </c>
      <c r="AC107" s="5">
        <v>5.0</v>
      </c>
      <c r="AD107" s="5" t="s">
        <v>661</v>
      </c>
      <c r="AE107" s="5" t="s">
        <v>206</v>
      </c>
      <c r="AF107" s="5">
        <v>6.0</v>
      </c>
      <c r="AG107" s="5">
        <v>6.0</v>
      </c>
      <c r="AH107" s="5">
        <v>6.0</v>
      </c>
      <c r="AI107" s="5">
        <v>5.0</v>
      </c>
      <c r="AJ107" s="5">
        <f t="shared" si="2"/>
        <v>3</v>
      </c>
      <c r="AK107" s="5">
        <v>5.0</v>
      </c>
      <c r="AL107" s="5">
        <f t="shared" si="3"/>
        <v>3</v>
      </c>
      <c r="AM107" s="5">
        <v>5.0</v>
      </c>
      <c r="AN107" s="5">
        <f t="shared" si="4"/>
        <v>3</v>
      </c>
      <c r="AO107" s="5">
        <v>2.0</v>
      </c>
      <c r="AP107" s="5">
        <f t="shared" si="5"/>
        <v>6</v>
      </c>
      <c r="AQ107" s="5" t="s">
        <v>662</v>
      </c>
    </row>
    <row r="108">
      <c r="A108" s="8">
        <v>1112.0</v>
      </c>
      <c r="B108" s="7">
        <v>45869.25347222222</v>
      </c>
      <c r="C108" s="5" t="s">
        <v>663</v>
      </c>
      <c r="D108" s="5" t="s">
        <v>664</v>
      </c>
      <c r="E108" s="5" t="s">
        <v>197</v>
      </c>
      <c r="F108" s="5">
        <v>6.0</v>
      </c>
      <c r="G108" s="5">
        <v>6.0</v>
      </c>
      <c r="H108" s="5" t="s">
        <v>199</v>
      </c>
      <c r="I108" s="5">
        <v>5.0</v>
      </c>
      <c r="J108" s="5">
        <v>5.0</v>
      </c>
      <c r="K108" s="5">
        <v>4.0</v>
      </c>
      <c r="L108" s="5">
        <v>5.0</v>
      </c>
      <c r="M108" s="5">
        <v>3.0</v>
      </c>
      <c r="N108" s="5">
        <v>6.0</v>
      </c>
      <c r="O108" s="5">
        <v>6.0</v>
      </c>
      <c r="P108" s="5">
        <v>5.0</v>
      </c>
      <c r="Q108" s="5">
        <v>5.0</v>
      </c>
      <c r="R108" s="5">
        <v>4.0</v>
      </c>
      <c r="S108" s="5">
        <v>6.0</v>
      </c>
      <c r="T108" s="5">
        <v>4.0</v>
      </c>
      <c r="U108" s="5">
        <f t="shared" si="1"/>
        <v>4</v>
      </c>
      <c r="V108" s="5" t="s">
        <v>665</v>
      </c>
      <c r="W108" s="5" t="s">
        <v>206</v>
      </c>
      <c r="X108" s="5">
        <v>4.0</v>
      </c>
      <c r="Y108" s="5">
        <v>4.0</v>
      </c>
      <c r="Z108" s="5">
        <v>5.0</v>
      </c>
      <c r="AA108" s="5">
        <v>3.0</v>
      </c>
      <c r="AB108" s="5">
        <v>6.0</v>
      </c>
      <c r="AC108" s="5">
        <v>5.0</v>
      </c>
      <c r="AD108" s="5" t="s">
        <v>666</v>
      </c>
      <c r="AE108" s="5" t="s">
        <v>206</v>
      </c>
      <c r="AF108" s="5">
        <v>4.0</v>
      </c>
      <c r="AG108" s="5">
        <v>5.0</v>
      </c>
      <c r="AH108" s="5">
        <v>7.0</v>
      </c>
      <c r="AI108" s="5">
        <v>1.0</v>
      </c>
      <c r="AJ108" s="5">
        <f t="shared" si="2"/>
        <v>7</v>
      </c>
      <c r="AK108" s="5">
        <v>1.0</v>
      </c>
      <c r="AL108" s="5">
        <f t="shared" si="3"/>
        <v>7</v>
      </c>
      <c r="AM108" s="5">
        <v>2.0</v>
      </c>
      <c r="AN108" s="5">
        <f t="shared" si="4"/>
        <v>6</v>
      </c>
      <c r="AO108" s="5">
        <v>1.0</v>
      </c>
      <c r="AP108" s="5">
        <f t="shared" si="5"/>
        <v>7</v>
      </c>
      <c r="AQ108" s="5" t="s">
        <v>667</v>
      </c>
    </row>
    <row r="109">
      <c r="A109" s="8">
        <v>1458.0</v>
      </c>
      <c r="B109" s="7">
        <v>45869.263194444444</v>
      </c>
      <c r="C109" s="5" t="s">
        <v>668</v>
      </c>
      <c r="D109" s="5" t="s">
        <v>669</v>
      </c>
      <c r="E109" s="5" t="s">
        <v>211</v>
      </c>
      <c r="F109" s="5">
        <v>5.0</v>
      </c>
      <c r="G109" s="5">
        <v>7.0</v>
      </c>
      <c r="H109" s="5" t="s">
        <v>199</v>
      </c>
      <c r="I109" s="5">
        <v>6.0</v>
      </c>
      <c r="J109" s="5">
        <v>6.0</v>
      </c>
      <c r="K109" s="5">
        <v>2.0</v>
      </c>
      <c r="L109" s="5">
        <v>7.0</v>
      </c>
      <c r="M109" s="5">
        <v>7.0</v>
      </c>
      <c r="N109" s="5">
        <v>6.0</v>
      </c>
      <c r="O109" s="5">
        <v>6.0</v>
      </c>
      <c r="P109" s="5">
        <v>4.0</v>
      </c>
      <c r="Q109" s="5">
        <v>3.0</v>
      </c>
      <c r="R109" s="5">
        <v>4.0</v>
      </c>
      <c r="S109" s="5">
        <v>7.0</v>
      </c>
      <c r="T109" s="5">
        <v>5.0</v>
      </c>
      <c r="U109" s="5">
        <f t="shared" si="1"/>
        <v>3</v>
      </c>
      <c r="V109" s="5" t="s">
        <v>670</v>
      </c>
      <c r="W109" s="5" t="s">
        <v>206</v>
      </c>
      <c r="X109" s="5">
        <v>4.0</v>
      </c>
      <c r="Y109" s="5">
        <v>7.0</v>
      </c>
      <c r="Z109" s="5">
        <v>6.0</v>
      </c>
      <c r="AA109" s="5">
        <v>7.0</v>
      </c>
      <c r="AB109" s="5">
        <v>6.0</v>
      </c>
      <c r="AC109" s="5">
        <v>7.0</v>
      </c>
      <c r="AD109" s="5" t="s">
        <v>671</v>
      </c>
      <c r="AE109" s="5" t="s">
        <v>206</v>
      </c>
      <c r="AF109" s="5">
        <v>7.0</v>
      </c>
      <c r="AG109" s="5">
        <v>3.0</v>
      </c>
      <c r="AH109" s="5">
        <v>6.0</v>
      </c>
      <c r="AI109" s="5">
        <v>1.0</v>
      </c>
      <c r="AJ109" s="5">
        <f t="shared" si="2"/>
        <v>7</v>
      </c>
      <c r="AK109" s="5">
        <v>1.0</v>
      </c>
      <c r="AL109" s="5">
        <f t="shared" si="3"/>
        <v>7</v>
      </c>
      <c r="AM109" s="5">
        <v>1.0</v>
      </c>
      <c r="AN109" s="5">
        <f t="shared" si="4"/>
        <v>7</v>
      </c>
      <c r="AO109" s="5">
        <v>1.0</v>
      </c>
      <c r="AP109" s="5">
        <f t="shared" si="5"/>
        <v>7</v>
      </c>
      <c r="AQ109" s="5" t="s">
        <v>672</v>
      </c>
    </row>
    <row r="110">
      <c r="A110" s="8">
        <v>841.0</v>
      </c>
      <c r="B110" s="7">
        <v>45869.268055555556</v>
      </c>
      <c r="C110" s="5" t="s">
        <v>673</v>
      </c>
      <c r="D110" s="5" t="s">
        <v>674</v>
      </c>
      <c r="E110" s="5" t="s">
        <v>211</v>
      </c>
      <c r="F110" s="5">
        <v>3.0</v>
      </c>
      <c r="G110" s="5">
        <v>5.0</v>
      </c>
      <c r="H110" s="5" t="s">
        <v>199</v>
      </c>
      <c r="I110" s="5">
        <v>6.0</v>
      </c>
      <c r="J110" s="5">
        <v>6.0</v>
      </c>
      <c r="K110" s="5">
        <v>4.0</v>
      </c>
      <c r="L110" s="5">
        <v>5.0</v>
      </c>
      <c r="M110" s="5">
        <v>5.0</v>
      </c>
      <c r="N110" s="5">
        <v>6.0</v>
      </c>
      <c r="O110" s="5">
        <v>6.0</v>
      </c>
      <c r="P110" s="5">
        <v>4.0</v>
      </c>
      <c r="Q110" s="5">
        <v>4.0</v>
      </c>
      <c r="R110" s="5">
        <v>5.0</v>
      </c>
      <c r="S110" s="5">
        <v>6.0</v>
      </c>
      <c r="T110" s="5">
        <v>5.0</v>
      </c>
      <c r="U110" s="5">
        <f t="shared" si="1"/>
        <v>3</v>
      </c>
      <c r="V110" s="5" t="s">
        <v>675</v>
      </c>
      <c r="W110" s="5" t="s">
        <v>206</v>
      </c>
      <c r="X110" s="5">
        <v>5.0</v>
      </c>
      <c r="Y110" s="5">
        <v>6.0</v>
      </c>
      <c r="Z110" s="5">
        <v>5.0</v>
      </c>
      <c r="AA110" s="5">
        <v>4.0</v>
      </c>
      <c r="AB110" s="5">
        <v>5.0</v>
      </c>
      <c r="AC110" s="5">
        <v>5.0</v>
      </c>
      <c r="AD110" s="5" t="s">
        <v>676</v>
      </c>
      <c r="AE110" s="5" t="s">
        <v>206</v>
      </c>
      <c r="AF110" s="5">
        <v>6.0</v>
      </c>
      <c r="AG110" s="5">
        <v>7.0</v>
      </c>
      <c r="AH110" s="5">
        <v>5.0</v>
      </c>
      <c r="AI110" s="5">
        <v>1.0</v>
      </c>
      <c r="AJ110" s="5">
        <f t="shared" si="2"/>
        <v>7</v>
      </c>
      <c r="AK110" s="5">
        <v>3.0</v>
      </c>
      <c r="AL110" s="5">
        <f t="shared" si="3"/>
        <v>5</v>
      </c>
      <c r="AM110" s="5">
        <v>1.0</v>
      </c>
      <c r="AN110" s="5">
        <f t="shared" si="4"/>
        <v>7</v>
      </c>
      <c r="AO110" s="5">
        <v>1.0</v>
      </c>
      <c r="AP110" s="5">
        <f t="shared" si="5"/>
        <v>7</v>
      </c>
      <c r="AQ110" s="5" t="s">
        <v>677</v>
      </c>
    </row>
    <row r="111">
      <c r="A111" s="8">
        <v>934.0</v>
      </c>
      <c r="B111" s="7">
        <v>45869.277083333334</v>
      </c>
      <c r="C111" s="5" t="s">
        <v>678</v>
      </c>
      <c r="D111" s="5" t="s">
        <v>679</v>
      </c>
      <c r="E111" s="5" t="s">
        <v>216</v>
      </c>
      <c r="F111" s="5">
        <v>2.0</v>
      </c>
      <c r="G111" s="5">
        <v>2.0</v>
      </c>
      <c r="H111" s="5" t="s">
        <v>199</v>
      </c>
      <c r="I111" s="5">
        <v>4.0</v>
      </c>
      <c r="J111" s="5">
        <v>3.0</v>
      </c>
      <c r="K111" s="5">
        <v>3.0</v>
      </c>
      <c r="L111" s="5">
        <v>1.0</v>
      </c>
      <c r="M111" s="5">
        <v>5.0</v>
      </c>
      <c r="N111" s="5">
        <v>6.0</v>
      </c>
      <c r="O111" s="5">
        <v>6.0</v>
      </c>
      <c r="P111" s="5">
        <v>3.0</v>
      </c>
      <c r="Q111" s="5">
        <v>1.0</v>
      </c>
      <c r="R111" s="5">
        <v>6.0</v>
      </c>
      <c r="S111" s="5">
        <v>5.0</v>
      </c>
      <c r="T111" s="5">
        <v>2.0</v>
      </c>
      <c r="U111" s="5">
        <f t="shared" si="1"/>
        <v>6</v>
      </c>
      <c r="V111" s="5" t="s">
        <v>680</v>
      </c>
      <c r="W111" s="5" t="s">
        <v>206</v>
      </c>
      <c r="X111" s="5">
        <v>2.0</v>
      </c>
      <c r="Y111" s="5">
        <v>2.0</v>
      </c>
      <c r="Z111" s="5">
        <v>3.0</v>
      </c>
      <c r="AA111" s="5">
        <v>2.0</v>
      </c>
      <c r="AB111" s="5">
        <v>1.0</v>
      </c>
      <c r="AC111" s="5">
        <v>5.0</v>
      </c>
      <c r="AD111" s="5" t="s">
        <v>681</v>
      </c>
      <c r="AE111" s="5" t="s">
        <v>206</v>
      </c>
      <c r="AF111" s="5">
        <v>3.0</v>
      </c>
      <c r="AG111" s="5">
        <v>5.0</v>
      </c>
      <c r="AH111" s="5">
        <v>2.0</v>
      </c>
      <c r="AI111" s="5">
        <v>1.0</v>
      </c>
      <c r="AJ111" s="5">
        <f t="shared" si="2"/>
        <v>7</v>
      </c>
      <c r="AK111" s="5">
        <v>2.0</v>
      </c>
      <c r="AL111" s="5">
        <f t="shared" si="3"/>
        <v>6</v>
      </c>
      <c r="AM111" s="5">
        <v>1.0</v>
      </c>
      <c r="AN111" s="5">
        <f t="shared" si="4"/>
        <v>7</v>
      </c>
      <c r="AO111" s="5">
        <v>1.0</v>
      </c>
      <c r="AP111" s="5">
        <f t="shared" si="5"/>
        <v>7</v>
      </c>
      <c r="AQ111" s="5" t="s">
        <v>682</v>
      </c>
    </row>
    <row r="112">
      <c r="A112" s="8">
        <v>834.0</v>
      </c>
      <c r="B112" s="7">
        <v>45869.27847222222</v>
      </c>
      <c r="C112" s="5" t="s">
        <v>683</v>
      </c>
      <c r="D112" s="5" t="s">
        <v>664</v>
      </c>
      <c r="E112" s="5" t="s">
        <v>216</v>
      </c>
      <c r="F112" s="5">
        <v>4.0</v>
      </c>
      <c r="G112" s="5">
        <v>2.0</v>
      </c>
      <c r="H112" s="5" t="s">
        <v>199</v>
      </c>
      <c r="I112" s="5">
        <v>4.0</v>
      </c>
      <c r="J112" s="5">
        <v>5.0</v>
      </c>
      <c r="K112" s="5">
        <v>2.0</v>
      </c>
      <c r="L112" s="5">
        <v>5.0</v>
      </c>
      <c r="M112" s="5">
        <v>4.0</v>
      </c>
      <c r="N112" s="5">
        <v>3.0</v>
      </c>
      <c r="O112" s="5">
        <v>4.0</v>
      </c>
      <c r="P112" s="5">
        <v>4.0</v>
      </c>
      <c r="Q112" s="5">
        <v>2.0</v>
      </c>
      <c r="R112" s="5">
        <v>5.0</v>
      </c>
      <c r="S112" s="5">
        <v>3.0</v>
      </c>
      <c r="T112" s="5">
        <v>7.0</v>
      </c>
      <c r="U112" s="5">
        <f t="shared" si="1"/>
        <v>1</v>
      </c>
      <c r="V112" s="5" t="s">
        <v>413</v>
      </c>
      <c r="W112" s="5" t="s">
        <v>206</v>
      </c>
      <c r="X112" s="5">
        <v>5.0</v>
      </c>
      <c r="Y112" s="5">
        <v>6.0</v>
      </c>
      <c r="Z112" s="5">
        <v>5.0</v>
      </c>
      <c r="AA112" s="5">
        <v>6.0</v>
      </c>
      <c r="AB112" s="5">
        <v>5.0</v>
      </c>
      <c r="AC112" s="5">
        <v>6.0</v>
      </c>
      <c r="AD112" s="5" t="s">
        <v>413</v>
      </c>
      <c r="AE112" s="5" t="s">
        <v>206</v>
      </c>
      <c r="AF112" s="5">
        <v>6.0</v>
      </c>
      <c r="AG112" s="5">
        <v>6.0</v>
      </c>
      <c r="AH112" s="5">
        <v>7.0</v>
      </c>
      <c r="AI112" s="5">
        <v>3.0</v>
      </c>
      <c r="AJ112" s="5">
        <f t="shared" si="2"/>
        <v>5</v>
      </c>
      <c r="AK112" s="5">
        <v>1.0</v>
      </c>
      <c r="AL112" s="5">
        <f t="shared" si="3"/>
        <v>7</v>
      </c>
      <c r="AM112" s="5">
        <v>1.0</v>
      </c>
      <c r="AN112" s="5">
        <f t="shared" si="4"/>
        <v>7</v>
      </c>
      <c r="AO112" s="5">
        <v>1.0</v>
      </c>
      <c r="AP112" s="5">
        <f t="shared" si="5"/>
        <v>7</v>
      </c>
      <c r="AQ112" s="5" t="s">
        <v>413</v>
      </c>
    </row>
    <row r="113">
      <c r="A113" s="8">
        <v>945.0</v>
      </c>
      <c r="B113" s="7">
        <v>45869.28333333333</v>
      </c>
      <c r="C113" s="5" t="s">
        <v>684</v>
      </c>
      <c r="D113" s="5" t="s">
        <v>669</v>
      </c>
      <c r="E113" s="5" t="s">
        <v>263</v>
      </c>
      <c r="F113" s="5">
        <v>7.0</v>
      </c>
      <c r="G113" s="5">
        <v>6.0</v>
      </c>
      <c r="H113" s="5" t="s">
        <v>199</v>
      </c>
      <c r="I113" s="5">
        <v>7.0</v>
      </c>
      <c r="J113" s="5">
        <v>6.0</v>
      </c>
      <c r="K113" s="5">
        <v>7.0</v>
      </c>
      <c r="L113" s="5">
        <v>6.0</v>
      </c>
      <c r="M113" s="5">
        <v>7.0</v>
      </c>
      <c r="N113" s="5">
        <v>7.0</v>
      </c>
      <c r="O113" s="5">
        <v>6.0</v>
      </c>
      <c r="P113" s="5">
        <v>7.0</v>
      </c>
      <c r="Q113" s="5">
        <v>6.0</v>
      </c>
      <c r="R113" s="5">
        <v>1.0</v>
      </c>
      <c r="S113" s="5">
        <v>7.0</v>
      </c>
      <c r="T113" s="5">
        <v>6.0</v>
      </c>
      <c r="U113" s="5">
        <f t="shared" si="1"/>
        <v>2</v>
      </c>
      <c r="V113" s="5" t="s">
        <v>685</v>
      </c>
      <c r="W113" s="5" t="s">
        <v>206</v>
      </c>
      <c r="X113" s="5">
        <v>6.0</v>
      </c>
      <c r="Y113" s="5">
        <v>6.0</v>
      </c>
      <c r="Z113" s="5">
        <v>6.0</v>
      </c>
      <c r="AA113" s="5">
        <v>7.0</v>
      </c>
      <c r="AB113" s="5">
        <v>7.0</v>
      </c>
      <c r="AC113" s="5">
        <v>6.0</v>
      </c>
      <c r="AD113" s="5" t="s">
        <v>686</v>
      </c>
      <c r="AE113" s="5" t="s">
        <v>206</v>
      </c>
      <c r="AF113" s="5">
        <v>7.0</v>
      </c>
      <c r="AG113" s="5">
        <v>6.0</v>
      </c>
      <c r="AH113" s="5">
        <v>7.0</v>
      </c>
      <c r="AI113" s="5">
        <v>1.0</v>
      </c>
      <c r="AJ113" s="5">
        <f t="shared" si="2"/>
        <v>7</v>
      </c>
      <c r="AK113" s="5">
        <v>1.0</v>
      </c>
      <c r="AL113" s="5">
        <f t="shared" si="3"/>
        <v>7</v>
      </c>
      <c r="AM113" s="5">
        <v>1.0</v>
      </c>
      <c r="AN113" s="5">
        <f t="shared" si="4"/>
        <v>7</v>
      </c>
      <c r="AO113" s="5">
        <v>1.0</v>
      </c>
      <c r="AP113" s="5">
        <f t="shared" si="5"/>
        <v>7</v>
      </c>
      <c r="AQ113" s="5" t="s">
        <v>687</v>
      </c>
    </row>
    <row r="114">
      <c r="A114" s="8">
        <v>1578.0</v>
      </c>
      <c r="B114" s="7">
        <v>45869.29513888889</v>
      </c>
      <c r="C114" s="5" t="s">
        <v>688</v>
      </c>
      <c r="D114" s="5" t="s">
        <v>362</v>
      </c>
      <c r="E114" s="5" t="s">
        <v>211</v>
      </c>
      <c r="F114" s="5">
        <v>6.0</v>
      </c>
      <c r="G114" s="5">
        <v>7.0</v>
      </c>
      <c r="H114" s="5" t="s">
        <v>199</v>
      </c>
      <c r="I114" s="5">
        <v>6.0</v>
      </c>
      <c r="J114" s="5">
        <v>6.0</v>
      </c>
      <c r="K114" s="5">
        <v>4.0</v>
      </c>
      <c r="L114" s="5">
        <v>6.0</v>
      </c>
      <c r="M114" s="5">
        <v>5.0</v>
      </c>
      <c r="N114" s="5">
        <v>6.0</v>
      </c>
      <c r="O114" s="5">
        <v>7.0</v>
      </c>
      <c r="P114" s="5">
        <v>3.0</v>
      </c>
      <c r="Q114" s="5">
        <v>4.0</v>
      </c>
      <c r="R114" s="5">
        <v>4.0</v>
      </c>
      <c r="S114" s="5">
        <v>7.0</v>
      </c>
      <c r="T114" s="5">
        <v>5.0</v>
      </c>
      <c r="U114" s="5">
        <f t="shared" si="1"/>
        <v>3</v>
      </c>
      <c r="V114" s="5" t="s">
        <v>689</v>
      </c>
      <c r="W114" s="5" t="s">
        <v>206</v>
      </c>
      <c r="X114" s="5">
        <v>4.0</v>
      </c>
      <c r="Y114" s="5">
        <v>6.0</v>
      </c>
      <c r="Z114" s="5">
        <v>7.0</v>
      </c>
      <c r="AA114" s="5">
        <v>7.0</v>
      </c>
      <c r="AB114" s="5">
        <v>7.0</v>
      </c>
      <c r="AC114" s="5">
        <v>5.0</v>
      </c>
      <c r="AD114" s="5" t="s">
        <v>690</v>
      </c>
      <c r="AE114" s="5" t="s">
        <v>206</v>
      </c>
      <c r="AF114" s="5">
        <v>7.0</v>
      </c>
      <c r="AG114" s="5">
        <v>7.0</v>
      </c>
      <c r="AH114" s="5">
        <v>7.0</v>
      </c>
      <c r="AI114" s="5">
        <v>1.0</v>
      </c>
      <c r="AJ114" s="5">
        <f t="shared" si="2"/>
        <v>7</v>
      </c>
      <c r="AK114" s="5">
        <v>1.0</v>
      </c>
      <c r="AL114" s="5">
        <f t="shared" si="3"/>
        <v>7</v>
      </c>
      <c r="AM114" s="5">
        <v>1.0</v>
      </c>
      <c r="AN114" s="5">
        <f t="shared" si="4"/>
        <v>7</v>
      </c>
      <c r="AO114" s="5">
        <v>1.0</v>
      </c>
      <c r="AP114" s="5">
        <f t="shared" si="5"/>
        <v>7</v>
      </c>
      <c r="AQ114" s="5" t="s">
        <v>691</v>
      </c>
    </row>
    <row r="115">
      <c r="A115" s="8">
        <v>784.0</v>
      </c>
      <c r="B115" s="7">
        <v>45869.29722222222</v>
      </c>
      <c r="C115" s="5" t="s">
        <v>692</v>
      </c>
      <c r="D115" s="5" t="s">
        <v>669</v>
      </c>
      <c r="E115" s="5" t="s">
        <v>216</v>
      </c>
      <c r="F115" s="5">
        <v>2.0</v>
      </c>
      <c r="G115" s="5">
        <v>6.0</v>
      </c>
      <c r="H115" s="5" t="s">
        <v>199</v>
      </c>
      <c r="I115" s="5">
        <v>7.0</v>
      </c>
      <c r="J115" s="5">
        <v>6.0</v>
      </c>
      <c r="K115" s="5">
        <v>1.0</v>
      </c>
      <c r="L115" s="5">
        <v>7.0</v>
      </c>
      <c r="M115" s="5">
        <v>6.0</v>
      </c>
      <c r="N115" s="5">
        <v>6.0</v>
      </c>
      <c r="O115" s="5">
        <v>6.0</v>
      </c>
      <c r="P115" s="5">
        <v>7.0</v>
      </c>
      <c r="Q115" s="5">
        <v>5.0</v>
      </c>
      <c r="R115" s="5">
        <v>1.0</v>
      </c>
      <c r="S115" s="5">
        <v>6.0</v>
      </c>
      <c r="T115" s="5">
        <v>6.0</v>
      </c>
      <c r="U115" s="5">
        <f t="shared" si="1"/>
        <v>2</v>
      </c>
      <c r="V115" s="5" t="s">
        <v>693</v>
      </c>
      <c r="W115" s="5" t="s">
        <v>206</v>
      </c>
      <c r="X115" s="5">
        <v>7.0</v>
      </c>
      <c r="Y115" s="5">
        <v>6.0</v>
      </c>
      <c r="Z115" s="5">
        <v>7.0</v>
      </c>
      <c r="AA115" s="5">
        <v>7.0</v>
      </c>
      <c r="AB115" s="5">
        <v>7.0</v>
      </c>
      <c r="AC115" s="5">
        <v>6.0</v>
      </c>
      <c r="AD115" s="5" t="s">
        <v>694</v>
      </c>
      <c r="AE115" s="5" t="s">
        <v>206</v>
      </c>
      <c r="AF115" s="5">
        <v>7.0</v>
      </c>
      <c r="AG115" s="5">
        <v>7.0</v>
      </c>
      <c r="AH115" s="5">
        <v>6.0</v>
      </c>
      <c r="AI115" s="5">
        <v>1.0</v>
      </c>
      <c r="AJ115" s="5">
        <f t="shared" si="2"/>
        <v>7</v>
      </c>
      <c r="AK115" s="5">
        <v>1.0</v>
      </c>
      <c r="AL115" s="5">
        <f t="shared" si="3"/>
        <v>7</v>
      </c>
      <c r="AM115" s="5">
        <v>1.0</v>
      </c>
      <c r="AN115" s="5">
        <f t="shared" si="4"/>
        <v>7</v>
      </c>
      <c r="AO115" s="5">
        <v>1.0</v>
      </c>
      <c r="AP115" s="5">
        <f t="shared" si="5"/>
        <v>7</v>
      </c>
      <c r="AQ115" s="5" t="s">
        <v>695</v>
      </c>
    </row>
    <row r="116">
      <c r="A116" s="8">
        <v>1071.0</v>
      </c>
      <c r="B116" s="7">
        <v>45869.30069444444</v>
      </c>
      <c r="C116" s="5" t="s">
        <v>696</v>
      </c>
      <c r="D116" s="5" t="s">
        <v>679</v>
      </c>
      <c r="E116" s="5" t="s">
        <v>197</v>
      </c>
      <c r="F116" s="5">
        <v>6.0</v>
      </c>
      <c r="G116" s="5">
        <v>2.0</v>
      </c>
      <c r="H116" s="5" t="s">
        <v>199</v>
      </c>
      <c r="I116" s="5">
        <v>6.0</v>
      </c>
      <c r="J116" s="5">
        <v>6.0</v>
      </c>
      <c r="K116" s="5">
        <v>4.0</v>
      </c>
      <c r="L116" s="5">
        <v>2.0</v>
      </c>
      <c r="M116" s="5">
        <v>5.0</v>
      </c>
      <c r="N116" s="5">
        <v>6.0</v>
      </c>
      <c r="O116" s="5">
        <v>6.0</v>
      </c>
      <c r="P116" s="5">
        <v>3.0</v>
      </c>
      <c r="Q116" s="5">
        <v>2.0</v>
      </c>
      <c r="R116" s="5">
        <v>4.0</v>
      </c>
      <c r="S116" s="5">
        <v>5.0</v>
      </c>
      <c r="T116" s="5">
        <v>5.0</v>
      </c>
      <c r="U116" s="5">
        <f t="shared" si="1"/>
        <v>3</v>
      </c>
      <c r="V116" s="5" t="s">
        <v>697</v>
      </c>
      <c r="W116" s="5" t="s">
        <v>206</v>
      </c>
      <c r="X116" s="5">
        <v>6.0</v>
      </c>
      <c r="Y116" s="5">
        <v>6.0</v>
      </c>
      <c r="Z116" s="5">
        <v>6.0</v>
      </c>
      <c r="AA116" s="5">
        <v>3.0</v>
      </c>
      <c r="AB116" s="5">
        <v>3.0</v>
      </c>
      <c r="AC116" s="5">
        <v>6.0</v>
      </c>
      <c r="AD116" s="5" t="s">
        <v>698</v>
      </c>
      <c r="AE116" s="5" t="s">
        <v>206</v>
      </c>
      <c r="AF116" s="5">
        <v>6.0</v>
      </c>
      <c r="AG116" s="5">
        <v>6.0</v>
      </c>
      <c r="AH116" s="5">
        <v>6.0</v>
      </c>
      <c r="AI116" s="5">
        <v>5.0</v>
      </c>
      <c r="AJ116" s="5">
        <f t="shared" si="2"/>
        <v>3</v>
      </c>
      <c r="AK116" s="5">
        <v>4.0</v>
      </c>
      <c r="AL116" s="5">
        <f t="shared" si="3"/>
        <v>4</v>
      </c>
      <c r="AM116" s="5">
        <v>5.0</v>
      </c>
      <c r="AN116" s="5">
        <f t="shared" si="4"/>
        <v>3</v>
      </c>
      <c r="AO116" s="5">
        <v>3.0</v>
      </c>
      <c r="AP116" s="5">
        <f t="shared" si="5"/>
        <v>5</v>
      </c>
      <c r="AQ116" s="5" t="s">
        <v>699</v>
      </c>
    </row>
    <row r="117">
      <c r="A117" s="8">
        <v>500.0</v>
      </c>
      <c r="B117" s="7">
        <v>45869.30902777778</v>
      </c>
      <c r="C117" s="5" t="s">
        <v>700</v>
      </c>
      <c r="D117" s="5" t="s">
        <v>679</v>
      </c>
      <c r="E117" s="5" t="s">
        <v>263</v>
      </c>
      <c r="F117" s="5">
        <v>6.0</v>
      </c>
      <c r="G117" s="5">
        <v>3.0</v>
      </c>
      <c r="H117" s="5" t="s">
        <v>199</v>
      </c>
      <c r="I117" s="5">
        <v>6.0</v>
      </c>
      <c r="J117" s="5">
        <v>6.0</v>
      </c>
      <c r="K117" s="5">
        <v>4.0</v>
      </c>
      <c r="L117" s="5">
        <v>2.0</v>
      </c>
      <c r="M117" s="5">
        <v>6.0</v>
      </c>
      <c r="N117" s="5">
        <v>6.0</v>
      </c>
      <c r="O117" s="5">
        <v>6.0</v>
      </c>
      <c r="P117" s="5">
        <v>6.0</v>
      </c>
      <c r="Q117" s="5">
        <v>3.0</v>
      </c>
      <c r="R117" s="5">
        <v>6.0</v>
      </c>
      <c r="S117" s="5">
        <v>6.0</v>
      </c>
      <c r="T117" s="5">
        <v>6.0</v>
      </c>
      <c r="U117" s="5">
        <f t="shared" si="1"/>
        <v>2</v>
      </c>
      <c r="V117" s="5" t="s">
        <v>701</v>
      </c>
      <c r="W117" s="5" t="s">
        <v>206</v>
      </c>
      <c r="X117" s="5">
        <v>6.0</v>
      </c>
      <c r="Y117" s="5">
        <v>6.0</v>
      </c>
      <c r="Z117" s="5">
        <v>6.0</v>
      </c>
      <c r="AA117" s="5">
        <v>3.0</v>
      </c>
      <c r="AB117" s="5">
        <v>3.0</v>
      </c>
      <c r="AC117" s="5">
        <v>6.0</v>
      </c>
      <c r="AD117" s="5" t="s">
        <v>702</v>
      </c>
      <c r="AE117" s="5" t="s">
        <v>206</v>
      </c>
      <c r="AF117" s="5">
        <v>6.0</v>
      </c>
      <c r="AG117" s="5">
        <v>6.0</v>
      </c>
      <c r="AH117" s="5">
        <v>6.0</v>
      </c>
      <c r="AI117" s="5">
        <v>5.0</v>
      </c>
      <c r="AJ117" s="5">
        <f t="shared" si="2"/>
        <v>3</v>
      </c>
      <c r="AK117" s="5">
        <v>4.0</v>
      </c>
      <c r="AL117" s="5">
        <f t="shared" si="3"/>
        <v>4</v>
      </c>
      <c r="AM117" s="5">
        <v>5.0</v>
      </c>
      <c r="AN117" s="5">
        <f t="shared" si="4"/>
        <v>3</v>
      </c>
      <c r="AO117" s="5">
        <v>3.0</v>
      </c>
      <c r="AP117" s="5">
        <f t="shared" si="5"/>
        <v>5</v>
      </c>
      <c r="AQ117" s="5" t="s">
        <v>703</v>
      </c>
    </row>
    <row r="118">
      <c r="A118" s="8">
        <v>1459.0</v>
      </c>
      <c r="B118" s="7">
        <v>45869.31805555556</v>
      </c>
      <c r="C118" s="5" t="s">
        <v>704</v>
      </c>
      <c r="D118" s="5" t="s">
        <v>362</v>
      </c>
      <c r="E118" s="5" t="s">
        <v>197</v>
      </c>
      <c r="F118" s="5">
        <v>6.0</v>
      </c>
      <c r="G118" s="5">
        <v>6.0</v>
      </c>
      <c r="H118" s="5" t="s">
        <v>199</v>
      </c>
      <c r="I118" s="5">
        <v>6.0</v>
      </c>
      <c r="J118" s="5">
        <v>5.0</v>
      </c>
      <c r="K118" s="5">
        <v>6.0</v>
      </c>
      <c r="L118" s="5">
        <v>6.0</v>
      </c>
      <c r="M118" s="5">
        <v>6.0</v>
      </c>
      <c r="N118" s="5">
        <v>7.0</v>
      </c>
      <c r="O118" s="5">
        <v>7.0</v>
      </c>
      <c r="P118" s="5">
        <v>7.0</v>
      </c>
      <c r="Q118" s="5">
        <v>4.0</v>
      </c>
      <c r="R118" s="5">
        <v>3.0</v>
      </c>
      <c r="S118" s="5">
        <v>7.0</v>
      </c>
      <c r="T118" s="5">
        <v>5.0</v>
      </c>
      <c r="U118" s="5">
        <f t="shared" si="1"/>
        <v>3</v>
      </c>
      <c r="V118" s="5" t="s">
        <v>705</v>
      </c>
      <c r="W118" s="5" t="s">
        <v>206</v>
      </c>
      <c r="X118" s="5">
        <v>6.0</v>
      </c>
      <c r="Y118" s="5">
        <v>6.0</v>
      </c>
      <c r="Z118" s="5">
        <v>7.0</v>
      </c>
      <c r="AA118" s="5">
        <v>6.0</v>
      </c>
      <c r="AB118" s="5">
        <v>6.0</v>
      </c>
      <c r="AC118" s="5">
        <v>4.0</v>
      </c>
      <c r="AD118" s="5" t="s">
        <v>706</v>
      </c>
      <c r="AE118" s="5" t="s">
        <v>206</v>
      </c>
      <c r="AF118" s="5">
        <v>7.0</v>
      </c>
      <c r="AG118" s="5">
        <v>5.0</v>
      </c>
      <c r="AH118" s="5">
        <v>5.0</v>
      </c>
      <c r="AI118" s="5">
        <v>2.0</v>
      </c>
      <c r="AJ118" s="5">
        <f t="shared" si="2"/>
        <v>6</v>
      </c>
      <c r="AK118" s="5">
        <v>1.0</v>
      </c>
      <c r="AL118" s="5">
        <f t="shared" si="3"/>
        <v>7</v>
      </c>
      <c r="AM118" s="5">
        <v>1.0</v>
      </c>
      <c r="AN118" s="5">
        <f t="shared" si="4"/>
        <v>7</v>
      </c>
      <c r="AO118" s="5">
        <v>3.0</v>
      </c>
      <c r="AP118" s="5">
        <f t="shared" si="5"/>
        <v>5</v>
      </c>
      <c r="AQ118" s="5" t="s">
        <v>707</v>
      </c>
    </row>
    <row r="119">
      <c r="A119" s="8">
        <v>967.0</v>
      </c>
      <c r="B119" s="7">
        <v>45869.31805555556</v>
      </c>
      <c r="C119" s="5" t="s">
        <v>708</v>
      </c>
      <c r="D119" s="5" t="s">
        <v>669</v>
      </c>
      <c r="E119" s="5" t="s">
        <v>197</v>
      </c>
      <c r="F119" s="5">
        <v>7.0</v>
      </c>
      <c r="G119" s="5">
        <v>7.0</v>
      </c>
      <c r="H119" s="5" t="s">
        <v>199</v>
      </c>
      <c r="I119" s="5">
        <v>3.0</v>
      </c>
      <c r="J119" s="5">
        <v>6.0</v>
      </c>
      <c r="K119" s="5">
        <v>7.0</v>
      </c>
      <c r="L119" s="5">
        <v>7.0</v>
      </c>
      <c r="M119" s="5">
        <v>6.0</v>
      </c>
      <c r="N119" s="5">
        <v>6.0</v>
      </c>
      <c r="O119" s="5">
        <v>6.0</v>
      </c>
      <c r="P119" s="5">
        <v>3.0</v>
      </c>
      <c r="Q119" s="5">
        <v>6.0</v>
      </c>
      <c r="R119" s="5">
        <v>1.0</v>
      </c>
      <c r="S119" s="5">
        <v>6.0</v>
      </c>
      <c r="T119" s="5">
        <v>5.0</v>
      </c>
      <c r="U119" s="5">
        <f t="shared" si="1"/>
        <v>3</v>
      </c>
      <c r="V119" s="5" t="s">
        <v>709</v>
      </c>
      <c r="W119" s="5" t="s">
        <v>206</v>
      </c>
      <c r="X119" s="5">
        <v>6.0</v>
      </c>
      <c r="Y119" s="5">
        <v>6.0</v>
      </c>
      <c r="Z119" s="5">
        <v>3.0</v>
      </c>
      <c r="AA119" s="5">
        <v>7.0</v>
      </c>
      <c r="AB119" s="5">
        <v>7.0</v>
      </c>
      <c r="AC119" s="5">
        <v>7.0</v>
      </c>
      <c r="AD119" s="5" t="s">
        <v>710</v>
      </c>
      <c r="AE119" s="5" t="s">
        <v>206</v>
      </c>
      <c r="AF119" s="5">
        <v>7.0</v>
      </c>
      <c r="AG119" s="5">
        <v>7.0</v>
      </c>
      <c r="AH119" s="5">
        <v>7.0</v>
      </c>
      <c r="AI119" s="5">
        <v>1.0</v>
      </c>
      <c r="AJ119" s="5">
        <f t="shared" si="2"/>
        <v>7</v>
      </c>
      <c r="AK119" s="5">
        <v>1.0</v>
      </c>
      <c r="AL119" s="5">
        <f t="shared" si="3"/>
        <v>7</v>
      </c>
      <c r="AM119" s="5">
        <v>1.0</v>
      </c>
      <c r="AN119" s="5">
        <f t="shared" si="4"/>
        <v>7</v>
      </c>
      <c r="AO119" s="5">
        <v>1.0</v>
      </c>
      <c r="AP119" s="5">
        <f t="shared" si="5"/>
        <v>7</v>
      </c>
      <c r="AQ119" s="5" t="s">
        <v>711</v>
      </c>
    </row>
    <row r="120">
      <c r="A120" s="8">
        <v>813.0</v>
      </c>
      <c r="B120" s="7">
        <v>45869.31875</v>
      </c>
      <c r="C120" s="5" t="s">
        <v>712</v>
      </c>
      <c r="D120" s="5" t="s">
        <v>679</v>
      </c>
      <c r="E120" s="5" t="s">
        <v>211</v>
      </c>
      <c r="F120" s="5">
        <v>4.0</v>
      </c>
      <c r="G120" s="5">
        <v>2.0</v>
      </c>
      <c r="H120" s="5" t="s">
        <v>199</v>
      </c>
      <c r="I120" s="5">
        <v>5.0</v>
      </c>
      <c r="J120" s="5">
        <v>6.0</v>
      </c>
      <c r="K120" s="5">
        <v>4.0</v>
      </c>
      <c r="L120" s="5">
        <v>2.0</v>
      </c>
      <c r="M120" s="5">
        <v>5.0</v>
      </c>
      <c r="N120" s="5">
        <v>6.0</v>
      </c>
      <c r="O120" s="5">
        <v>6.0</v>
      </c>
      <c r="P120" s="5">
        <v>5.0</v>
      </c>
      <c r="Q120" s="5">
        <v>2.0</v>
      </c>
      <c r="R120" s="5">
        <v>3.0</v>
      </c>
      <c r="S120" s="5">
        <v>6.0</v>
      </c>
      <c r="T120" s="5">
        <v>6.0</v>
      </c>
      <c r="U120" s="5">
        <f t="shared" si="1"/>
        <v>2</v>
      </c>
      <c r="V120" s="5" t="s">
        <v>713</v>
      </c>
      <c r="W120" s="5" t="s">
        <v>206</v>
      </c>
      <c r="X120" s="5">
        <v>6.0</v>
      </c>
      <c r="Y120" s="5">
        <v>6.0</v>
      </c>
      <c r="Z120" s="5">
        <v>6.0</v>
      </c>
      <c r="AA120" s="5">
        <v>5.0</v>
      </c>
      <c r="AB120" s="5">
        <v>5.0</v>
      </c>
      <c r="AC120" s="5">
        <v>6.0</v>
      </c>
      <c r="AD120" s="5" t="s">
        <v>714</v>
      </c>
      <c r="AE120" s="5" t="s">
        <v>206</v>
      </c>
      <c r="AF120" s="5">
        <v>6.0</v>
      </c>
      <c r="AG120" s="5">
        <v>6.0</v>
      </c>
      <c r="AH120" s="5">
        <v>5.0</v>
      </c>
      <c r="AI120" s="5">
        <v>1.0</v>
      </c>
      <c r="AJ120" s="5">
        <f t="shared" si="2"/>
        <v>7</v>
      </c>
      <c r="AK120" s="5">
        <v>1.0</v>
      </c>
      <c r="AL120" s="5">
        <f t="shared" si="3"/>
        <v>7</v>
      </c>
      <c r="AM120" s="5">
        <v>1.0</v>
      </c>
      <c r="AN120" s="5">
        <f t="shared" si="4"/>
        <v>7</v>
      </c>
      <c r="AO120" s="5">
        <v>1.0</v>
      </c>
      <c r="AP120" s="5">
        <f t="shared" si="5"/>
        <v>7</v>
      </c>
      <c r="AQ120" s="5" t="s">
        <v>715</v>
      </c>
    </row>
    <row r="121">
      <c r="A121" s="8">
        <v>1099.0</v>
      </c>
      <c r="B121" s="7">
        <v>45869.41527777778</v>
      </c>
      <c r="C121" s="5" t="s">
        <v>717</v>
      </c>
      <c r="D121" s="5" t="s">
        <v>674</v>
      </c>
      <c r="E121" s="5" t="s">
        <v>263</v>
      </c>
      <c r="F121" s="5">
        <v>6.0</v>
      </c>
      <c r="G121" s="5">
        <v>5.0</v>
      </c>
      <c r="H121" s="5" t="s">
        <v>199</v>
      </c>
      <c r="I121" s="5">
        <v>4.0</v>
      </c>
      <c r="J121" s="5">
        <v>5.0</v>
      </c>
      <c r="K121" s="5">
        <v>5.0</v>
      </c>
      <c r="L121" s="5">
        <v>5.0</v>
      </c>
      <c r="M121" s="5">
        <v>5.0</v>
      </c>
      <c r="N121" s="5">
        <v>4.0</v>
      </c>
      <c r="O121" s="5">
        <v>4.0</v>
      </c>
      <c r="P121" s="5">
        <v>5.0</v>
      </c>
      <c r="Q121" s="5">
        <v>2.0</v>
      </c>
      <c r="R121" s="5">
        <v>5.0</v>
      </c>
      <c r="S121" s="5">
        <v>4.0</v>
      </c>
      <c r="T121" s="5">
        <v>6.0</v>
      </c>
      <c r="U121" s="5">
        <f t="shared" si="1"/>
        <v>2</v>
      </c>
      <c r="V121" s="5" t="s">
        <v>413</v>
      </c>
      <c r="W121" s="5" t="s">
        <v>206</v>
      </c>
      <c r="X121" s="5">
        <v>4.0</v>
      </c>
      <c r="Y121" s="5">
        <v>5.0</v>
      </c>
      <c r="Z121" s="5">
        <v>5.0</v>
      </c>
      <c r="AA121" s="5">
        <v>5.0</v>
      </c>
      <c r="AB121" s="5">
        <v>5.0</v>
      </c>
      <c r="AC121" s="5">
        <v>6.0</v>
      </c>
      <c r="AD121" s="5" t="s">
        <v>413</v>
      </c>
      <c r="AE121" s="5" t="s">
        <v>206</v>
      </c>
      <c r="AF121" s="5">
        <v>5.0</v>
      </c>
      <c r="AG121" s="5">
        <v>5.0</v>
      </c>
      <c r="AH121" s="5">
        <v>6.0</v>
      </c>
      <c r="AI121" s="5">
        <v>1.0</v>
      </c>
      <c r="AJ121" s="5">
        <f t="shared" si="2"/>
        <v>7</v>
      </c>
      <c r="AK121" s="5">
        <v>1.0</v>
      </c>
      <c r="AL121" s="5">
        <f t="shared" si="3"/>
        <v>7</v>
      </c>
      <c r="AM121" s="5">
        <v>1.0</v>
      </c>
      <c r="AN121" s="5">
        <f t="shared" si="4"/>
        <v>7</v>
      </c>
      <c r="AO121" s="5">
        <v>1.0</v>
      </c>
      <c r="AP121" s="5">
        <f t="shared" si="5"/>
        <v>7</v>
      </c>
      <c r="AQ121" s="5" t="s">
        <v>413</v>
      </c>
    </row>
  </sheetData>
  <mergeCells count="3">
    <mergeCell ref="AD75:AE75"/>
    <mergeCell ref="AD76:AE76"/>
    <mergeCell ref="AD78:AE7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12.88"/>
    <col customWidth="1" min="4" max="4" width="20.88"/>
    <col customWidth="1" min="7" max="8" width="22.75"/>
    <col customWidth="1" min="9" max="9" width="19.5"/>
  </cols>
  <sheetData>
    <row r="1">
      <c r="A1" s="6" t="s">
        <v>723</v>
      </c>
      <c r="B1" s="5" t="s">
        <v>49</v>
      </c>
      <c r="C1" s="5" t="s">
        <v>51</v>
      </c>
      <c r="D1" s="5" t="s">
        <v>52</v>
      </c>
      <c r="E1" s="5" t="s">
        <v>61</v>
      </c>
      <c r="F1" s="5" t="s">
        <v>62</v>
      </c>
      <c r="G1" s="5" t="s">
        <v>63</v>
      </c>
      <c r="H1" s="5" t="s">
        <v>64</v>
      </c>
      <c r="I1" s="5" t="s">
        <v>65</v>
      </c>
      <c r="J1" s="5" t="s">
        <v>66</v>
      </c>
      <c r="K1" s="5" t="s">
        <v>67</v>
      </c>
      <c r="L1" s="5" t="s">
        <v>68</v>
      </c>
      <c r="M1" s="5" t="s">
        <v>69</v>
      </c>
      <c r="N1" s="5" t="s">
        <v>70</v>
      </c>
      <c r="O1" s="5" t="s">
        <v>71</v>
      </c>
      <c r="P1" s="5" t="s">
        <v>72</v>
      </c>
      <c r="Q1" s="5" t="s">
        <v>73</v>
      </c>
      <c r="R1" s="5" t="s">
        <v>74</v>
      </c>
      <c r="S1" s="5" t="s">
        <v>75</v>
      </c>
      <c r="T1" s="5" t="s">
        <v>76</v>
      </c>
      <c r="U1" s="5" t="s">
        <v>77</v>
      </c>
      <c r="V1" s="6" t="s">
        <v>718</v>
      </c>
      <c r="W1" s="5" t="s">
        <v>78</v>
      </c>
      <c r="X1" s="5" t="s">
        <v>79</v>
      </c>
      <c r="Y1" s="5" t="s">
        <v>80</v>
      </c>
      <c r="Z1" s="5" t="s">
        <v>81</v>
      </c>
      <c r="AA1" s="5" t="s">
        <v>82</v>
      </c>
      <c r="AB1" s="5" t="s">
        <v>83</v>
      </c>
      <c r="AC1" s="5" t="s">
        <v>84</v>
      </c>
      <c r="AD1" s="5" t="s">
        <v>85</v>
      </c>
      <c r="AE1" s="5" t="s">
        <v>86</v>
      </c>
      <c r="AF1" s="5" t="s">
        <v>87</v>
      </c>
      <c r="AG1" s="5" t="s">
        <v>88</v>
      </c>
      <c r="AH1" s="5" t="s">
        <v>89</v>
      </c>
      <c r="AI1" s="5" t="s">
        <v>90</v>
      </c>
      <c r="AJ1" s="5" t="s">
        <v>91</v>
      </c>
      <c r="AK1" s="6" t="s">
        <v>719</v>
      </c>
      <c r="AL1" s="5" t="s">
        <v>92</v>
      </c>
      <c r="AM1" s="6" t="s">
        <v>720</v>
      </c>
      <c r="AN1" s="5" t="s">
        <v>93</v>
      </c>
      <c r="AO1" s="6" t="s">
        <v>721</v>
      </c>
      <c r="AP1" s="5" t="s">
        <v>94</v>
      </c>
      <c r="AQ1" s="6" t="s">
        <v>722</v>
      </c>
      <c r="AR1" s="5" t="s">
        <v>95</v>
      </c>
    </row>
    <row r="2">
      <c r="A2" s="8">
        <f>IFERROR(__xludf.DUMMYFUNCTION("IF(E2="""", """", VALUE(REGEXREPLACE(E2, ""^[Pp]"", """")))"),10.0)</f>
        <v>10</v>
      </c>
      <c r="B2" s="8">
        <v>990.0</v>
      </c>
      <c r="C2" s="7">
        <v>45867.240277777775</v>
      </c>
      <c r="D2" s="5" t="s">
        <v>330</v>
      </c>
      <c r="E2" s="5" t="s">
        <v>331</v>
      </c>
      <c r="F2" s="5" t="s">
        <v>197</v>
      </c>
      <c r="G2" s="5">
        <v>6.0</v>
      </c>
      <c r="H2" s="5">
        <v>6.0</v>
      </c>
      <c r="I2" s="5" t="s">
        <v>199</v>
      </c>
      <c r="J2" s="5">
        <v>6.0</v>
      </c>
      <c r="K2" s="5">
        <v>7.0</v>
      </c>
      <c r="L2" s="5">
        <v>5.0</v>
      </c>
      <c r="M2" s="5">
        <v>6.0</v>
      </c>
      <c r="N2" s="5">
        <v>6.0</v>
      </c>
      <c r="O2" s="5">
        <v>5.0</v>
      </c>
      <c r="P2" s="5">
        <v>5.0</v>
      </c>
      <c r="Q2" s="5">
        <v>7.0</v>
      </c>
      <c r="R2" s="5">
        <v>3.0</v>
      </c>
      <c r="S2" s="5">
        <v>5.0</v>
      </c>
      <c r="T2" s="5">
        <v>7.0</v>
      </c>
      <c r="U2" s="5">
        <v>2.0</v>
      </c>
      <c r="V2" s="5">
        <f t="shared" ref="V2:V121" si="1">8-U2</f>
        <v>6</v>
      </c>
      <c r="W2" s="5" t="s">
        <v>332</v>
      </c>
      <c r="X2" s="5" t="s">
        <v>206</v>
      </c>
      <c r="Y2" s="5">
        <v>5.0</v>
      </c>
      <c r="Z2" s="5">
        <v>7.0</v>
      </c>
      <c r="AA2" s="5">
        <v>7.0</v>
      </c>
      <c r="AB2" s="5">
        <v>7.0</v>
      </c>
      <c r="AC2" s="5">
        <v>7.0</v>
      </c>
      <c r="AD2" s="5">
        <v>4.0</v>
      </c>
      <c r="AE2" s="5" t="s">
        <v>333</v>
      </c>
      <c r="AF2" s="5" t="s">
        <v>206</v>
      </c>
      <c r="AG2" s="5">
        <v>7.0</v>
      </c>
      <c r="AH2" s="5">
        <v>6.0</v>
      </c>
      <c r="AI2" s="5">
        <v>7.0</v>
      </c>
      <c r="AJ2" s="5">
        <v>2.0</v>
      </c>
      <c r="AK2" s="5">
        <f t="shared" ref="AK2:AK121" si="2">8-AJ2</f>
        <v>6</v>
      </c>
      <c r="AL2" s="5">
        <v>1.0</v>
      </c>
      <c r="AM2" s="5">
        <f t="shared" ref="AM2:AM121" si="3">8-AL2</f>
        <v>7</v>
      </c>
      <c r="AN2" s="5">
        <v>2.0</v>
      </c>
      <c r="AO2" s="5">
        <f t="shared" ref="AO2:AO121" si="4">8-AN2</f>
        <v>6</v>
      </c>
      <c r="AP2" s="5">
        <v>1.0</v>
      </c>
      <c r="AQ2" s="5">
        <f t="shared" ref="AQ2:AQ121" si="5">8-AP2</f>
        <v>7</v>
      </c>
      <c r="AR2" s="5" t="s">
        <v>334</v>
      </c>
    </row>
    <row r="3">
      <c r="A3" s="8">
        <f>IFERROR(__xludf.DUMMYFUNCTION("IF(E3="""", """", VALUE(REGEXREPLACE(E3, ""^[Pp]"", """")))"),10.0)</f>
        <v>10</v>
      </c>
      <c r="B3" s="8">
        <v>934.0</v>
      </c>
      <c r="C3" s="7">
        <v>45867.25208333333</v>
      </c>
      <c r="D3" s="5" t="s">
        <v>335</v>
      </c>
      <c r="E3" s="5" t="s">
        <v>331</v>
      </c>
      <c r="F3" s="5" t="s">
        <v>211</v>
      </c>
      <c r="G3" s="5">
        <v>5.0</v>
      </c>
      <c r="H3" s="5">
        <v>6.0</v>
      </c>
      <c r="I3" s="5" t="s">
        <v>199</v>
      </c>
      <c r="J3" s="5">
        <v>6.0</v>
      </c>
      <c r="K3" s="5">
        <v>6.0</v>
      </c>
      <c r="L3" s="5">
        <v>6.0</v>
      </c>
      <c r="M3" s="5">
        <v>6.0</v>
      </c>
      <c r="N3" s="5">
        <v>7.0</v>
      </c>
      <c r="O3" s="5">
        <v>6.0</v>
      </c>
      <c r="P3" s="5">
        <v>5.0</v>
      </c>
      <c r="Q3" s="5">
        <v>7.0</v>
      </c>
      <c r="R3" s="5">
        <v>6.0</v>
      </c>
      <c r="S3" s="5">
        <v>3.0</v>
      </c>
      <c r="T3" s="5">
        <v>6.0</v>
      </c>
      <c r="U3" s="5">
        <v>2.0</v>
      </c>
      <c r="V3" s="5">
        <f t="shared" si="1"/>
        <v>6</v>
      </c>
      <c r="W3" s="5" t="s">
        <v>336</v>
      </c>
      <c r="X3" s="5" t="s">
        <v>206</v>
      </c>
      <c r="Y3" s="5">
        <v>6.0</v>
      </c>
      <c r="Z3" s="5">
        <v>6.0</v>
      </c>
      <c r="AA3" s="5">
        <v>7.0</v>
      </c>
      <c r="AB3" s="5">
        <v>7.0</v>
      </c>
      <c r="AC3" s="5">
        <v>6.0</v>
      </c>
      <c r="AD3" s="5">
        <v>3.0</v>
      </c>
      <c r="AE3" s="5" t="s">
        <v>337</v>
      </c>
      <c r="AF3" s="5" t="s">
        <v>206</v>
      </c>
      <c r="AG3" s="5">
        <v>7.0</v>
      </c>
      <c r="AH3" s="5">
        <v>7.0</v>
      </c>
      <c r="AI3" s="5">
        <v>7.0</v>
      </c>
      <c r="AJ3" s="5">
        <v>1.0</v>
      </c>
      <c r="AK3" s="5">
        <f t="shared" si="2"/>
        <v>7</v>
      </c>
      <c r="AL3" s="5">
        <v>1.0</v>
      </c>
      <c r="AM3" s="5">
        <f t="shared" si="3"/>
        <v>7</v>
      </c>
      <c r="AN3" s="5">
        <v>1.0</v>
      </c>
      <c r="AO3" s="5">
        <f t="shared" si="4"/>
        <v>7</v>
      </c>
      <c r="AP3" s="5">
        <v>1.0</v>
      </c>
      <c r="AQ3" s="5">
        <f t="shared" si="5"/>
        <v>7</v>
      </c>
      <c r="AR3" s="5" t="s">
        <v>338</v>
      </c>
    </row>
    <row r="4">
      <c r="A4" s="8">
        <f>IFERROR(__xludf.DUMMYFUNCTION("IF(E4="""", """", VALUE(REGEXREPLACE(E4, ""^[Pp]"", """")))"),10.0)</f>
        <v>10</v>
      </c>
      <c r="B4" s="8">
        <v>4924.0</v>
      </c>
      <c r="C4" s="7">
        <v>45867.26388888889</v>
      </c>
      <c r="D4" s="5" t="s">
        <v>343</v>
      </c>
      <c r="E4" s="5" t="s">
        <v>331</v>
      </c>
      <c r="F4" s="5" t="s">
        <v>216</v>
      </c>
      <c r="G4" s="5">
        <v>6.0</v>
      </c>
      <c r="H4" s="5">
        <v>6.0</v>
      </c>
      <c r="I4" s="5" t="s">
        <v>199</v>
      </c>
      <c r="J4" s="5">
        <v>6.0</v>
      </c>
      <c r="K4" s="5">
        <v>7.0</v>
      </c>
      <c r="L4" s="5">
        <v>6.0</v>
      </c>
      <c r="M4" s="5">
        <v>6.0</v>
      </c>
      <c r="N4" s="5">
        <v>6.0</v>
      </c>
      <c r="O4" s="5">
        <v>6.0</v>
      </c>
      <c r="P4" s="5">
        <v>5.0</v>
      </c>
      <c r="Q4" s="5">
        <v>6.0</v>
      </c>
      <c r="R4" s="5">
        <v>6.0</v>
      </c>
      <c r="S4" s="5">
        <v>3.0</v>
      </c>
      <c r="T4" s="5">
        <v>6.0</v>
      </c>
      <c r="U4" s="5">
        <v>5.0</v>
      </c>
      <c r="V4" s="5">
        <f t="shared" si="1"/>
        <v>3</v>
      </c>
      <c r="W4" s="5" t="s">
        <v>344</v>
      </c>
      <c r="X4" s="5" t="s">
        <v>206</v>
      </c>
      <c r="Y4" s="5">
        <v>6.0</v>
      </c>
      <c r="Z4" s="5">
        <v>6.0</v>
      </c>
      <c r="AA4" s="5">
        <v>6.0</v>
      </c>
      <c r="AB4" s="5">
        <v>6.0</v>
      </c>
      <c r="AC4" s="5">
        <v>6.0</v>
      </c>
      <c r="AD4" s="5">
        <v>6.0</v>
      </c>
      <c r="AE4" s="5" t="s">
        <v>345</v>
      </c>
      <c r="AF4" s="5" t="s">
        <v>206</v>
      </c>
      <c r="AG4" s="5">
        <v>6.0</v>
      </c>
      <c r="AH4" s="5">
        <v>7.0</v>
      </c>
      <c r="AI4" s="5">
        <v>6.0</v>
      </c>
      <c r="AJ4" s="5">
        <v>1.0</v>
      </c>
      <c r="AK4" s="5">
        <f t="shared" si="2"/>
        <v>7</v>
      </c>
      <c r="AL4" s="5">
        <v>1.0</v>
      </c>
      <c r="AM4" s="5">
        <f t="shared" si="3"/>
        <v>7</v>
      </c>
      <c r="AN4" s="5">
        <v>1.0</v>
      </c>
      <c r="AO4" s="5">
        <f t="shared" si="4"/>
        <v>7</v>
      </c>
      <c r="AP4" s="5">
        <v>1.0</v>
      </c>
      <c r="AQ4" s="5">
        <f t="shared" si="5"/>
        <v>7</v>
      </c>
      <c r="AR4" s="5" t="s">
        <v>346</v>
      </c>
    </row>
    <row r="5">
      <c r="A5" s="8">
        <f>IFERROR(__xludf.DUMMYFUNCTION("IF(E5="""", """", VALUE(REGEXREPLACE(E5, ""^[Pp]"", """")))"),10.0)</f>
        <v>10</v>
      </c>
      <c r="B5" s="8">
        <v>764.0</v>
      </c>
      <c r="C5" s="7">
        <v>45867.27569444444</v>
      </c>
      <c r="D5" s="5" t="s">
        <v>348</v>
      </c>
      <c r="E5" s="5" t="s">
        <v>331</v>
      </c>
      <c r="F5" s="5" t="s">
        <v>263</v>
      </c>
      <c r="G5" s="5">
        <v>7.0</v>
      </c>
      <c r="H5" s="5">
        <v>6.0</v>
      </c>
      <c r="I5" s="5" t="s">
        <v>199</v>
      </c>
      <c r="J5" s="5">
        <v>6.0</v>
      </c>
      <c r="K5" s="5">
        <v>6.0</v>
      </c>
      <c r="L5" s="5">
        <v>7.0</v>
      </c>
      <c r="M5" s="5">
        <v>6.0</v>
      </c>
      <c r="N5" s="5">
        <v>7.0</v>
      </c>
      <c r="O5" s="5">
        <v>6.0</v>
      </c>
      <c r="P5" s="5">
        <v>6.0</v>
      </c>
      <c r="Q5" s="5">
        <v>5.0</v>
      </c>
      <c r="R5" s="5">
        <v>6.0</v>
      </c>
      <c r="S5" s="5">
        <v>2.0</v>
      </c>
      <c r="T5" s="5">
        <v>6.0</v>
      </c>
      <c r="U5" s="5">
        <v>2.0</v>
      </c>
      <c r="V5" s="5">
        <f t="shared" si="1"/>
        <v>6</v>
      </c>
      <c r="W5" s="5" t="s">
        <v>349</v>
      </c>
      <c r="X5" s="5" t="s">
        <v>206</v>
      </c>
      <c r="Y5" s="5">
        <v>5.0</v>
      </c>
      <c r="Z5" s="5">
        <v>7.0</v>
      </c>
      <c r="AA5" s="5">
        <v>6.0</v>
      </c>
      <c r="AB5" s="5">
        <v>5.0</v>
      </c>
      <c r="AC5" s="5">
        <v>6.0</v>
      </c>
      <c r="AD5" s="5">
        <v>6.0</v>
      </c>
      <c r="AE5" s="5" t="s">
        <v>350</v>
      </c>
      <c r="AF5" s="5" t="s">
        <v>206</v>
      </c>
      <c r="AG5" s="5">
        <v>6.0</v>
      </c>
      <c r="AH5" s="5">
        <v>7.0</v>
      </c>
      <c r="AI5" s="5">
        <v>7.0</v>
      </c>
      <c r="AJ5" s="5">
        <v>2.0</v>
      </c>
      <c r="AK5" s="5">
        <f t="shared" si="2"/>
        <v>6</v>
      </c>
      <c r="AL5" s="5">
        <v>3.0</v>
      </c>
      <c r="AM5" s="5">
        <f t="shared" si="3"/>
        <v>5</v>
      </c>
      <c r="AN5" s="5">
        <v>2.0</v>
      </c>
      <c r="AO5" s="5">
        <f t="shared" si="4"/>
        <v>6</v>
      </c>
      <c r="AP5" s="5">
        <v>1.0</v>
      </c>
      <c r="AQ5" s="5">
        <f t="shared" si="5"/>
        <v>7</v>
      </c>
      <c r="AR5" s="5" t="s">
        <v>351</v>
      </c>
    </row>
    <row r="6">
      <c r="A6" s="8">
        <f>IFERROR(__xludf.DUMMYFUNCTION("IF(E6="""", """", VALUE(REGEXREPLACE(E6, ""^[Pp]"", """")))"),11.0)</f>
        <v>11</v>
      </c>
      <c r="B6" s="8">
        <v>1716.0</v>
      </c>
      <c r="C6" s="7">
        <v>45867.29375</v>
      </c>
      <c r="D6" s="5" t="s">
        <v>361</v>
      </c>
      <c r="E6" s="5" t="s">
        <v>362</v>
      </c>
      <c r="F6" s="5" t="s">
        <v>216</v>
      </c>
      <c r="G6" s="5">
        <v>5.0</v>
      </c>
      <c r="H6" s="5">
        <v>7.0</v>
      </c>
      <c r="I6" s="5" t="s">
        <v>199</v>
      </c>
      <c r="J6" s="5">
        <v>6.0</v>
      </c>
      <c r="K6" s="5">
        <v>7.0</v>
      </c>
      <c r="L6" s="5">
        <v>3.0</v>
      </c>
      <c r="M6" s="5">
        <v>6.0</v>
      </c>
      <c r="N6" s="5">
        <v>7.0</v>
      </c>
      <c r="O6" s="5">
        <v>7.0</v>
      </c>
      <c r="P6" s="5">
        <v>7.0</v>
      </c>
      <c r="Q6" s="5">
        <v>7.0</v>
      </c>
      <c r="R6" s="5">
        <v>2.0</v>
      </c>
      <c r="S6" s="5">
        <v>5.0</v>
      </c>
      <c r="T6" s="5">
        <v>5.0</v>
      </c>
      <c r="U6" s="5">
        <v>4.0</v>
      </c>
      <c r="V6" s="5">
        <f t="shared" si="1"/>
        <v>4</v>
      </c>
      <c r="W6" s="11" t="s">
        <v>363</v>
      </c>
      <c r="X6" s="5" t="s">
        <v>206</v>
      </c>
      <c r="Y6" s="5">
        <v>6.0</v>
      </c>
      <c r="Z6" s="5">
        <v>6.0</v>
      </c>
      <c r="AA6" s="5">
        <v>7.0</v>
      </c>
      <c r="AB6" s="5">
        <v>7.0</v>
      </c>
      <c r="AC6" s="5">
        <v>7.0</v>
      </c>
      <c r="AD6" s="5">
        <v>7.0</v>
      </c>
      <c r="AE6" s="5" t="s">
        <v>364</v>
      </c>
      <c r="AF6" s="5" t="s">
        <v>206</v>
      </c>
      <c r="AG6" s="5">
        <v>7.0</v>
      </c>
      <c r="AH6" s="5">
        <v>6.0</v>
      </c>
      <c r="AI6" s="5">
        <v>7.0</v>
      </c>
      <c r="AJ6" s="5">
        <v>1.0</v>
      </c>
      <c r="AK6" s="5">
        <f t="shared" si="2"/>
        <v>7</v>
      </c>
      <c r="AL6" s="5">
        <v>1.0</v>
      </c>
      <c r="AM6" s="5">
        <f t="shared" si="3"/>
        <v>7</v>
      </c>
      <c r="AN6" s="5">
        <v>1.0</v>
      </c>
      <c r="AO6" s="5">
        <f t="shared" si="4"/>
        <v>7</v>
      </c>
      <c r="AP6" s="5">
        <v>1.0</v>
      </c>
      <c r="AQ6" s="5">
        <f t="shared" si="5"/>
        <v>7</v>
      </c>
      <c r="AR6" s="11" t="s">
        <v>365</v>
      </c>
    </row>
    <row r="7">
      <c r="A7" s="8">
        <f>IFERROR(__xludf.DUMMYFUNCTION("IF(E7="""", """", VALUE(REGEXREPLACE(E7, ""^[Pp]"", """")))"),11.0)</f>
        <v>11</v>
      </c>
      <c r="B7" s="8">
        <v>1333.0</v>
      </c>
      <c r="C7" s="7">
        <v>45867.34583333333</v>
      </c>
      <c r="D7" s="5" t="s">
        <v>374</v>
      </c>
      <c r="E7" s="5" t="s">
        <v>362</v>
      </c>
      <c r="F7" s="5" t="s">
        <v>263</v>
      </c>
      <c r="G7" s="5">
        <v>6.0</v>
      </c>
      <c r="H7" s="5">
        <v>6.0</v>
      </c>
      <c r="I7" s="5" t="s">
        <v>199</v>
      </c>
      <c r="J7" s="5">
        <v>7.0</v>
      </c>
      <c r="K7" s="5">
        <v>3.0</v>
      </c>
      <c r="L7" s="5">
        <v>5.0</v>
      </c>
      <c r="M7" s="5">
        <v>6.0</v>
      </c>
      <c r="N7" s="5">
        <v>7.0</v>
      </c>
      <c r="O7" s="5">
        <v>7.0</v>
      </c>
      <c r="P7" s="5">
        <v>7.0</v>
      </c>
      <c r="Q7" s="5">
        <v>7.0</v>
      </c>
      <c r="R7" s="5">
        <v>5.0</v>
      </c>
      <c r="S7" s="5">
        <v>5.0</v>
      </c>
      <c r="T7" s="5">
        <v>7.0</v>
      </c>
      <c r="U7" s="5">
        <v>5.0</v>
      </c>
      <c r="V7" s="5">
        <f t="shared" si="1"/>
        <v>3</v>
      </c>
      <c r="W7" s="5" t="s">
        <v>375</v>
      </c>
      <c r="X7" s="5" t="s">
        <v>206</v>
      </c>
      <c r="Y7" s="5">
        <v>6.0</v>
      </c>
      <c r="Z7" s="5">
        <v>7.0</v>
      </c>
      <c r="AA7" s="5">
        <v>7.0</v>
      </c>
      <c r="AB7" s="5">
        <v>3.0</v>
      </c>
      <c r="AC7" s="5">
        <v>4.0</v>
      </c>
      <c r="AD7" s="5">
        <v>4.0</v>
      </c>
      <c r="AE7" s="5" t="s">
        <v>376</v>
      </c>
      <c r="AF7" s="5" t="s">
        <v>206</v>
      </c>
      <c r="AG7" s="5">
        <v>6.0</v>
      </c>
      <c r="AH7" s="5">
        <v>6.0</v>
      </c>
      <c r="AI7" s="5">
        <v>6.0</v>
      </c>
      <c r="AJ7" s="5">
        <v>2.0</v>
      </c>
      <c r="AK7" s="5">
        <f t="shared" si="2"/>
        <v>6</v>
      </c>
      <c r="AL7" s="5">
        <v>6.0</v>
      </c>
      <c r="AM7" s="5">
        <f t="shared" si="3"/>
        <v>2</v>
      </c>
      <c r="AN7" s="5">
        <v>2.0</v>
      </c>
      <c r="AO7" s="5">
        <f t="shared" si="4"/>
        <v>6</v>
      </c>
      <c r="AP7" s="5">
        <v>2.0</v>
      </c>
      <c r="AQ7" s="5">
        <f t="shared" si="5"/>
        <v>6</v>
      </c>
      <c r="AR7" s="5" t="s">
        <v>377</v>
      </c>
    </row>
    <row r="8">
      <c r="A8" s="8">
        <f>IFERROR(__xludf.DUMMYFUNCTION("IF(E8="""", """", VALUE(REGEXREPLACE(E8, ""^[Pp]"", """")))"),11.0)</f>
        <v>11</v>
      </c>
      <c r="B8" s="8">
        <v>1578.0</v>
      </c>
      <c r="C8" s="7">
        <v>45869.29513888889</v>
      </c>
      <c r="D8" s="5" t="s">
        <v>688</v>
      </c>
      <c r="E8" s="5" t="s">
        <v>362</v>
      </c>
      <c r="F8" s="5" t="s">
        <v>211</v>
      </c>
      <c r="G8" s="5">
        <v>6.0</v>
      </c>
      <c r="H8" s="5">
        <v>7.0</v>
      </c>
      <c r="I8" s="5" t="s">
        <v>199</v>
      </c>
      <c r="J8" s="5">
        <v>6.0</v>
      </c>
      <c r="K8" s="5">
        <v>6.0</v>
      </c>
      <c r="L8" s="5">
        <v>4.0</v>
      </c>
      <c r="M8" s="5">
        <v>6.0</v>
      </c>
      <c r="N8" s="5">
        <v>5.0</v>
      </c>
      <c r="O8" s="5">
        <v>6.0</v>
      </c>
      <c r="P8" s="5">
        <v>7.0</v>
      </c>
      <c r="Q8" s="5">
        <v>3.0</v>
      </c>
      <c r="R8" s="5">
        <v>4.0</v>
      </c>
      <c r="S8" s="5">
        <v>4.0</v>
      </c>
      <c r="T8" s="5">
        <v>7.0</v>
      </c>
      <c r="U8" s="5">
        <v>5.0</v>
      </c>
      <c r="V8" s="5">
        <f t="shared" si="1"/>
        <v>3</v>
      </c>
      <c r="W8" s="5" t="s">
        <v>689</v>
      </c>
      <c r="X8" s="5" t="s">
        <v>206</v>
      </c>
      <c r="Y8" s="5">
        <v>4.0</v>
      </c>
      <c r="Z8" s="5">
        <v>6.0</v>
      </c>
      <c r="AA8" s="5">
        <v>7.0</v>
      </c>
      <c r="AB8" s="5">
        <v>7.0</v>
      </c>
      <c r="AC8" s="5">
        <v>7.0</v>
      </c>
      <c r="AD8" s="5">
        <v>5.0</v>
      </c>
      <c r="AE8" s="5" t="s">
        <v>690</v>
      </c>
      <c r="AF8" s="5" t="s">
        <v>206</v>
      </c>
      <c r="AG8" s="5">
        <v>7.0</v>
      </c>
      <c r="AH8" s="5">
        <v>7.0</v>
      </c>
      <c r="AI8" s="5">
        <v>7.0</v>
      </c>
      <c r="AJ8" s="5">
        <v>1.0</v>
      </c>
      <c r="AK8" s="5">
        <f t="shared" si="2"/>
        <v>7</v>
      </c>
      <c r="AL8" s="5">
        <v>1.0</v>
      </c>
      <c r="AM8" s="5">
        <f t="shared" si="3"/>
        <v>7</v>
      </c>
      <c r="AN8" s="5">
        <v>1.0</v>
      </c>
      <c r="AO8" s="5">
        <f t="shared" si="4"/>
        <v>7</v>
      </c>
      <c r="AP8" s="5">
        <v>1.0</v>
      </c>
      <c r="AQ8" s="5">
        <f t="shared" si="5"/>
        <v>7</v>
      </c>
      <c r="AR8" s="5" t="s">
        <v>691</v>
      </c>
    </row>
    <row r="9">
      <c r="A9" s="8">
        <f>IFERROR(__xludf.DUMMYFUNCTION("IF(E9="""", """", VALUE(REGEXREPLACE(E9, ""^[Pp]"", """")))"),11.0)</f>
        <v>11</v>
      </c>
      <c r="B9" s="8">
        <v>1459.0</v>
      </c>
      <c r="C9" s="7">
        <v>45869.31805555556</v>
      </c>
      <c r="D9" s="5" t="s">
        <v>704</v>
      </c>
      <c r="E9" s="5" t="s">
        <v>362</v>
      </c>
      <c r="F9" s="5" t="s">
        <v>197</v>
      </c>
      <c r="G9" s="5">
        <v>6.0</v>
      </c>
      <c r="H9" s="5">
        <v>6.0</v>
      </c>
      <c r="I9" s="5" t="s">
        <v>199</v>
      </c>
      <c r="J9" s="5">
        <v>6.0</v>
      </c>
      <c r="K9" s="5">
        <v>5.0</v>
      </c>
      <c r="L9" s="5">
        <v>6.0</v>
      </c>
      <c r="M9" s="5">
        <v>6.0</v>
      </c>
      <c r="N9" s="5">
        <v>6.0</v>
      </c>
      <c r="O9" s="5">
        <v>7.0</v>
      </c>
      <c r="P9" s="5">
        <v>7.0</v>
      </c>
      <c r="Q9" s="5">
        <v>7.0</v>
      </c>
      <c r="R9" s="5">
        <v>4.0</v>
      </c>
      <c r="S9" s="5">
        <v>3.0</v>
      </c>
      <c r="T9" s="5">
        <v>7.0</v>
      </c>
      <c r="U9" s="5">
        <v>5.0</v>
      </c>
      <c r="V9" s="5">
        <f t="shared" si="1"/>
        <v>3</v>
      </c>
      <c r="W9" s="5" t="s">
        <v>705</v>
      </c>
      <c r="X9" s="5" t="s">
        <v>206</v>
      </c>
      <c r="Y9" s="5">
        <v>6.0</v>
      </c>
      <c r="Z9" s="5">
        <v>6.0</v>
      </c>
      <c r="AA9" s="5">
        <v>7.0</v>
      </c>
      <c r="AB9" s="5">
        <v>6.0</v>
      </c>
      <c r="AC9" s="5">
        <v>6.0</v>
      </c>
      <c r="AD9" s="5">
        <v>4.0</v>
      </c>
      <c r="AE9" s="5" t="s">
        <v>706</v>
      </c>
      <c r="AF9" s="5" t="s">
        <v>206</v>
      </c>
      <c r="AG9" s="5">
        <v>7.0</v>
      </c>
      <c r="AH9" s="5">
        <v>5.0</v>
      </c>
      <c r="AI9" s="5">
        <v>5.0</v>
      </c>
      <c r="AJ9" s="5">
        <v>2.0</v>
      </c>
      <c r="AK9" s="5">
        <f t="shared" si="2"/>
        <v>6</v>
      </c>
      <c r="AL9" s="5">
        <v>1.0</v>
      </c>
      <c r="AM9" s="5">
        <f t="shared" si="3"/>
        <v>7</v>
      </c>
      <c r="AN9" s="5">
        <v>1.0</v>
      </c>
      <c r="AO9" s="5">
        <f t="shared" si="4"/>
        <v>7</v>
      </c>
      <c r="AP9" s="5">
        <v>3.0</v>
      </c>
      <c r="AQ9" s="5">
        <f t="shared" si="5"/>
        <v>5</v>
      </c>
      <c r="AR9" s="5" t="s">
        <v>707</v>
      </c>
    </row>
    <row r="10">
      <c r="A10" s="8">
        <f>IFERROR(__xludf.DUMMYFUNCTION("IF(E10="""", """", VALUE(REGEXREPLACE(E10, ""^[Pp]"", """")))"),12.0)</f>
        <v>12</v>
      </c>
      <c r="B10" s="8">
        <v>1145.0</v>
      </c>
      <c r="C10" s="7">
        <v>45867.282638888886</v>
      </c>
      <c r="D10" s="5" t="s">
        <v>352</v>
      </c>
      <c r="E10" s="5" t="s">
        <v>353</v>
      </c>
      <c r="F10" s="5" t="s">
        <v>197</v>
      </c>
      <c r="G10" s="5">
        <v>2.0</v>
      </c>
      <c r="H10" s="5">
        <v>1.0</v>
      </c>
      <c r="I10" s="5" t="s">
        <v>199</v>
      </c>
      <c r="J10" s="5">
        <v>2.0</v>
      </c>
      <c r="K10" s="5">
        <v>5.0</v>
      </c>
      <c r="L10" s="5">
        <v>1.0</v>
      </c>
      <c r="M10" s="5">
        <v>4.0</v>
      </c>
      <c r="N10" s="5">
        <v>3.0</v>
      </c>
      <c r="O10" s="5">
        <v>2.0</v>
      </c>
      <c r="P10" s="5">
        <v>4.0</v>
      </c>
      <c r="Q10" s="5">
        <v>3.0</v>
      </c>
      <c r="R10" s="5">
        <v>1.0</v>
      </c>
      <c r="S10" s="5">
        <v>1.0</v>
      </c>
      <c r="T10" s="5">
        <v>3.0</v>
      </c>
      <c r="U10" s="5">
        <v>7.0</v>
      </c>
      <c r="V10" s="5">
        <f t="shared" si="1"/>
        <v>1</v>
      </c>
      <c r="W10" s="5" t="s">
        <v>354</v>
      </c>
      <c r="X10" s="5" t="s">
        <v>206</v>
      </c>
      <c r="Y10" s="5">
        <v>4.0</v>
      </c>
      <c r="Z10" s="5">
        <v>3.0</v>
      </c>
      <c r="AA10" s="5">
        <v>5.0</v>
      </c>
      <c r="AB10" s="5">
        <v>5.0</v>
      </c>
      <c r="AC10" s="5">
        <v>4.0</v>
      </c>
      <c r="AD10" s="5">
        <v>7.0</v>
      </c>
      <c r="AE10" s="5" t="s">
        <v>355</v>
      </c>
      <c r="AF10" s="5" t="s">
        <v>206</v>
      </c>
      <c r="AG10" s="5">
        <v>4.0</v>
      </c>
      <c r="AH10" s="5">
        <v>5.0</v>
      </c>
      <c r="AI10" s="5">
        <v>5.0</v>
      </c>
      <c r="AJ10" s="5">
        <v>3.0</v>
      </c>
      <c r="AK10" s="5">
        <f t="shared" si="2"/>
        <v>5</v>
      </c>
      <c r="AL10" s="5">
        <v>2.0</v>
      </c>
      <c r="AM10" s="5">
        <f t="shared" si="3"/>
        <v>6</v>
      </c>
      <c r="AN10" s="5">
        <v>5.0</v>
      </c>
      <c r="AO10" s="5">
        <f t="shared" si="4"/>
        <v>3</v>
      </c>
      <c r="AP10" s="5">
        <v>1.0</v>
      </c>
      <c r="AQ10" s="5">
        <f t="shared" si="5"/>
        <v>7</v>
      </c>
      <c r="AR10" s="5" t="s">
        <v>356</v>
      </c>
    </row>
    <row r="11">
      <c r="A11" s="8">
        <f>IFERROR(__xludf.DUMMYFUNCTION("IF(E11="""", """", VALUE(REGEXREPLACE(E11, ""^[Pp]"", """")))"),12.0)</f>
        <v>12</v>
      </c>
      <c r="B11" s="8">
        <v>418.0</v>
      </c>
      <c r="C11" s="7">
        <v>45867.29375</v>
      </c>
      <c r="D11" s="5" t="s">
        <v>357</v>
      </c>
      <c r="E11" s="5" t="s">
        <v>353</v>
      </c>
      <c r="F11" s="5" t="s">
        <v>263</v>
      </c>
      <c r="G11" s="5">
        <v>2.0</v>
      </c>
      <c r="H11" s="5">
        <v>4.0</v>
      </c>
      <c r="I11" s="5" t="s">
        <v>199</v>
      </c>
      <c r="J11" s="5">
        <v>3.0</v>
      </c>
      <c r="K11" s="5">
        <v>1.0</v>
      </c>
      <c r="L11" s="5">
        <v>1.0</v>
      </c>
      <c r="M11" s="5">
        <v>3.0</v>
      </c>
      <c r="N11" s="5">
        <v>3.0</v>
      </c>
      <c r="O11" s="5">
        <v>6.0</v>
      </c>
      <c r="P11" s="5">
        <v>6.0</v>
      </c>
      <c r="Q11" s="5">
        <v>6.0</v>
      </c>
      <c r="R11" s="5">
        <v>2.0</v>
      </c>
      <c r="S11" s="5">
        <v>1.0</v>
      </c>
      <c r="T11" s="5">
        <v>2.0</v>
      </c>
      <c r="U11" s="5">
        <v>7.0</v>
      </c>
      <c r="V11" s="5">
        <f t="shared" si="1"/>
        <v>1</v>
      </c>
      <c r="W11" s="11" t="s">
        <v>358</v>
      </c>
      <c r="X11" s="5" t="s">
        <v>206</v>
      </c>
      <c r="Y11" s="5">
        <v>4.0</v>
      </c>
      <c r="Z11" s="5">
        <v>5.0</v>
      </c>
      <c r="AA11" s="5">
        <v>6.0</v>
      </c>
      <c r="AB11" s="5">
        <v>3.0</v>
      </c>
      <c r="AC11" s="5">
        <v>7.0</v>
      </c>
      <c r="AD11" s="5">
        <v>5.0</v>
      </c>
      <c r="AE11" s="5" t="s">
        <v>359</v>
      </c>
      <c r="AF11" s="5" t="s">
        <v>206</v>
      </c>
      <c r="AG11" s="5">
        <v>5.0</v>
      </c>
      <c r="AH11" s="5">
        <v>6.0</v>
      </c>
      <c r="AI11" s="5">
        <v>3.0</v>
      </c>
      <c r="AJ11" s="5">
        <v>3.0</v>
      </c>
      <c r="AK11" s="5">
        <f t="shared" si="2"/>
        <v>5</v>
      </c>
      <c r="AL11" s="5">
        <v>3.0</v>
      </c>
      <c r="AM11" s="5">
        <f t="shared" si="3"/>
        <v>5</v>
      </c>
      <c r="AN11" s="5">
        <v>5.0</v>
      </c>
      <c r="AO11" s="5">
        <f t="shared" si="4"/>
        <v>3</v>
      </c>
      <c r="AP11" s="5">
        <v>3.0</v>
      </c>
      <c r="AQ11" s="5">
        <f t="shared" si="5"/>
        <v>5</v>
      </c>
      <c r="AR11" s="5" t="s">
        <v>360</v>
      </c>
    </row>
    <row r="12">
      <c r="A12" s="8">
        <f>IFERROR(__xludf.DUMMYFUNCTION("IF(E12="""", """", VALUE(REGEXREPLACE(E12, ""^[Pp]"", """")))"),12.0)</f>
        <v>12</v>
      </c>
      <c r="B12" s="8">
        <v>1001.0</v>
      </c>
      <c r="C12" s="7">
        <v>45867.305555555555</v>
      </c>
      <c r="D12" s="5" t="s">
        <v>366</v>
      </c>
      <c r="E12" s="5" t="s">
        <v>353</v>
      </c>
      <c r="F12" s="5" t="s">
        <v>216</v>
      </c>
      <c r="G12" s="5">
        <v>4.0</v>
      </c>
      <c r="H12" s="5">
        <v>2.0</v>
      </c>
      <c r="I12" s="5" t="s">
        <v>199</v>
      </c>
      <c r="J12" s="5">
        <v>4.0</v>
      </c>
      <c r="K12" s="5">
        <v>2.0</v>
      </c>
      <c r="L12" s="5">
        <v>1.0</v>
      </c>
      <c r="M12" s="5">
        <v>3.0</v>
      </c>
      <c r="N12" s="5">
        <v>6.0</v>
      </c>
      <c r="O12" s="5">
        <v>3.0</v>
      </c>
      <c r="P12" s="5">
        <v>6.0</v>
      </c>
      <c r="Q12" s="5">
        <v>6.0</v>
      </c>
      <c r="R12" s="5">
        <v>1.0</v>
      </c>
      <c r="S12" s="5">
        <v>1.0</v>
      </c>
      <c r="T12" s="5">
        <v>5.0</v>
      </c>
      <c r="U12" s="5">
        <v>7.0</v>
      </c>
      <c r="V12" s="5">
        <f t="shared" si="1"/>
        <v>1</v>
      </c>
      <c r="W12" s="5" t="s">
        <v>367</v>
      </c>
      <c r="X12" s="5" t="s">
        <v>206</v>
      </c>
      <c r="Y12" s="5">
        <v>6.0</v>
      </c>
      <c r="Z12" s="5">
        <v>4.0</v>
      </c>
      <c r="AA12" s="5">
        <v>5.0</v>
      </c>
      <c r="AB12" s="5">
        <v>6.0</v>
      </c>
      <c r="AC12" s="5">
        <v>6.0</v>
      </c>
      <c r="AD12" s="5">
        <v>4.0</v>
      </c>
      <c r="AE12" s="5" t="s">
        <v>368</v>
      </c>
      <c r="AF12" s="5" t="s">
        <v>206</v>
      </c>
      <c r="AG12" s="5">
        <v>4.0</v>
      </c>
      <c r="AH12" s="5">
        <v>6.0</v>
      </c>
      <c r="AI12" s="5">
        <v>5.0</v>
      </c>
      <c r="AJ12" s="5">
        <v>1.0</v>
      </c>
      <c r="AK12" s="5">
        <f t="shared" si="2"/>
        <v>7</v>
      </c>
      <c r="AL12" s="5">
        <v>1.0</v>
      </c>
      <c r="AM12" s="5">
        <f t="shared" si="3"/>
        <v>7</v>
      </c>
      <c r="AN12" s="5">
        <v>1.0</v>
      </c>
      <c r="AO12" s="5">
        <f t="shared" si="4"/>
        <v>7</v>
      </c>
      <c r="AP12" s="5">
        <v>1.0</v>
      </c>
      <c r="AQ12" s="5">
        <f t="shared" si="5"/>
        <v>7</v>
      </c>
      <c r="AR12" s="5" t="s">
        <v>369</v>
      </c>
    </row>
    <row r="13">
      <c r="A13" s="8">
        <f>IFERROR(__xludf.DUMMYFUNCTION("IF(E13="""", """", VALUE(REGEXREPLACE(E13, ""^[Pp]"", """")))"),12.0)</f>
        <v>12</v>
      </c>
      <c r="B13" s="8">
        <v>594.0</v>
      </c>
      <c r="C13" s="7">
        <v>45867.31458333333</v>
      </c>
      <c r="D13" s="5" t="s">
        <v>370</v>
      </c>
      <c r="E13" s="5" t="s">
        <v>353</v>
      </c>
      <c r="F13" s="5" t="s">
        <v>211</v>
      </c>
      <c r="G13" s="5">
        <v>5.0</v>
      </c>
      <c r="H13" s="5">
        <v>1.0</v>
      </c>
      <c r="I13" s="5" t="s">
        <v>199</v>
      </c>
      <c r="J13" s="5">
        <v>1.0</v>
      </c>
      <c r="K13" s="5">
        <v>5.0</v>
      </c>
      <c r="L13" s="5">
        <v>3.0</v>
      </c>
      <c r="M13" s="5">
        <v>2.0</v>
      </c>
      <c r="N13" s="5">
        <v>6.0</v>
      </c>
      <c r="O13" s="5">
        <v>4.0</v>
      </c>
      <c r="P13" s="5">
        <v>5.0</v>
      </c>
      <c r="Q13" s="5">
        <v>5.0</v>
      </c>
      <c r="R13" s="5">
        <v>6.0</v>
      </c>
      <c r="S13" s="5">
        <v>3.0</v>
      </c>
      <c r="T13" s="5">
        <v>5.0</v>
      </c>
      <c r="U13" s="5">
        <v>4.0</v>
      </c>
      <c r="V13" s="5">
        <f t="shared" si="1"/>
        <v>4</v>
      </c>
      <c r="W13" s="5" t="s">
        <v>371</v>
      </c>
      <c r="X13" s="5" t="s">
        <v>206</v>
      </c>
      <c r="Y13" s="5">
        <v>6.0</v>
      </c>
      <c r="Z13" s="5">
        <v>5.0</v>
      </c>
      <c r="AA13" s="5">
        <v>5.0</v>
      </c>
      <c r="AB13" s="5">
        <v>2.0</v>
      </c>
      <c r="AC13" s="5">
        <v>4.0</v>
      </c>
      <c r="AD13" s="5">
        <v>1.0</v>
      </c>
      <c r="AE13" s="5" t="s">
        <v>372</v>
      </c>
      <c r="AF13" s="5" t="s">
        <v>206</v>
      </c>
      <c r="AG13" s="5">
        <v>5.0</v>
      </c>
      <c r="AH13" s="5">
        <v>5.0</v>
      </c>
      <c r="AI13" s="5">
        <v>6.0</v>
      </c>
      <c r="AJ13" s="5">
        <v>1.0</v>
      </c>
      <c r="AK13" s="5">
        <f t="shared" si="2"/>
        <v>7</v>
      </c>
      <c r="AL13" s="5">
        <v>1.0</v>
      </c>
      <c r="AM13" s="5">
        <f t="shared" si="3"/>
        <v>7</v>
      </c>
      <c r="AN13" s="5">
        <v>1.0</v>
      </c>
      <c r="AO13" s="5">
        <f t="shared" si="4"/>
        <v>7</v>
      </c>
      <c r="AP13" s="5">
        <v>1.0</v>
      </c>
      <c r="AQ13" s="5">
        <f t="shared" si="5"/>
        <v>7</v>
      </c>
      <c r="AR13" s="5" t="s">
        <v>373</v>
      </c>
    </row>
    <row r="14">
      <c r="A14" s="8">
        <f>IFERROR(__xludf.DUMMYFUNCTION("IF(E14="""", """", VALUE(REGEXREPLACE(E14, ""^[Pp]"", """")))"),13.0)</f>
        <v>13</v>
      </c>
      <c r="B14" s="8">
        <v>1140.0</v>
      </c>
      <c r="C14" s="7">
        <v>45868.02847222222</v>
      </c>
      <c r="D14" s="5" t="s">
        <v>378</v>
      </c>
      <c r="E14" s="5" t="s">
        <v>379</v>
      </c>
      <c r="F14" s="5" t="s">
        <v>197</v>
      </c>
      <c r="G14" s="5">
        <v>6.0</v>
      </c>
      <c r="H14" s="5">
        <v>6.0</v>
      </c>
      <c r="I14" s="5" t="s">
        <v>199</v>
      </c>
      <c r="J14" s="5">
        <v>6.0</v>
      </c>
      <c r="K14" s="5">
        <v>7.0</v>
      </c>
      <c r="L14" s="5">
        <v>7.0</v>
      </c>
      <c r="M14" s="5">
        <v>6.0</v>
      </c>
      <c r="N14" s="5">
        <v>7.0</v>
      </c>
      <c r="O14" s="5">
        <v>7.0</v>
      </c>
      <c r="P14" s="5">
        <v>7.0</v>
      </c>
      <c r="Q14" s="5">
        <v>6.0</v>
      </c>
      <c r="R14" s="5">
        <v>6.0</v>
      </c>
      <c r="S14" s="5">
        <v>5.0</v>
      </c>
      <c r="T14" s="5">
        <v>6.0</v>
      </c>
      <c r="U14" s="5">
        <v>5.0</v>
      </c>
      <c r="V14" s="5">
        <f t="shared" si="1"/>
        <v>3</v>
      </c>
      <c r="W14" s="5" t="s">
        <v>380</v>
      </c>
      <c r="X14" s="5" t="s">
        <v>206</v>
      </c>
      <c r="Y14" s="5">
        <v>7.0</v>
      </c>
      <c r="Z14" s="5">
        <v>7.0</v>
      </c>
      <c r="AA14" s="5">
        <v>7.0</v>
      </c>
      <c r="AB14" s="5">
        <v>7.0</v>
      </c>
      <c r="AC14" s="5">
        <v>7.0</v>
      </c>
      <c r="AD14" s="5">
        <v>6.0</v>
      </c>
      <c r="AE14" s="5" t="s">
        <v>381</v>
      </c>
      <c r="AF14" s="5" t="s">
        <v>206</v>
      </c>
      <c r="AG14" s="5">
        <v>6.0</v>
      </c>
      <c r="AH14" s="5">
        <v>6.0</v>
      </c>
      <c r="AI14" s="5">
        <v>7.0</v>
      </c>
      <c r="AJ14" s="5">
        <v>2.0</v>
      </c>
      <c r="AK14" s="5">
        <f t="shared" si="2"/>
        <v>6</v>
      </c>
      <c r="AL14" s="5">
        <v>1.0</v>
      </c>
      <c r="AM14" s="5">
        <f t="shared" si="3"/>
        <v>7</v>
      </c>
      <c r="AN14" s="5">
        <v>2.0</v>
      </c>
      <c r="AO14" s="5">
        <f t="shared" si="4"/>
        <v>6</v>
      </c>
      <c r="AP14" s="5">
        <v>1.0</v>
      </c>
      <c r="AQ14" s="5">
        <f t="shared" si="5"/>
        <v>7</v>
      </c>
      <c r="AR14" s="5" t="s">
        <v>382</v>
      </c>
    </row>
    <row r="15">
      <c r="A15" s="8">
        <f>IFERROR(__xludf.DUMMYFUNCTION("IF(E15="""", """", VALUE(REGEXREPLACE(E15, ""^[Pp]"", """")))"),13.0)</f>
        <v>13</v>
      </c>
      <c r="B15" s="8">
        <v>1527.0</v>
      </c>
      <c r="C15" s="7">
        <v>45868.041666666664</v>
      </c>
      <c r="D15" s="5" t="s">
        <v>390</v>
      </c>
      <c r="E15" s="5" t="s">
        <v>379</v>
      </c>
      <c r="F15" s="5" t="s">
        <v>211</v>
      </c>
      <c r="G15" s="5">
        <v>6.0</v>
      </c>
      <c r="H15" s="5">
        <v>6.0</v>
      </c>
      <c r="I15" s="5" t="s">
        <v>199</v>
      </c>
      <c r="J15" s="5">
        <v>6.0</v>
      </c>
      <c r="K15" s="5">
        <v>7.0</v>
      </c>
      <c r="L15" s="5">
        <v>7.0</v>
      </c>
      <c r="M15" s="5">
        <v>6.0</v>
      </c>
      <c r="N15" s="5">
        <v>7.0</v>
      </c>
      <c r="O15" s="5">
        <v>7.0</v>
      </c>
      <c r="P15" s="5">
        <v>7.0</v>
      </c>
      <c r="Q15" s="5">
        <v>6.0</v>
      </c>
      <c r="R15" s="5">
        <v>6.0</v>
      </c>
      <c r="S15" s="5">
        <v>4.0</v>
      </c>
      <c r="T15" s="5">
        <v>6.0</v>
      </c>
      <c r="U15" s="5">
        <v>2.0</v>
      </c>
      <c r="V15" s="5">
        <f t="shared" si="1"/>
        <v>6</v>
      </c>
      <c r="W15" s="5" t="s">
        <v>391</v>
      </c>
      <c r="X15" s="5" t="s">
        <v>206</v>
      </c>
      <c r="Y15" s="5">
        <v>6.0</v>
      </c>
      <c r="Z15" s="5">
        <v>6.0</v>
      </c>
      <c r="AA15" s="5">
        <v>6.0</v>
      </c>
      <c r="AB15" s="5">
        <v>7.0</v>
      </c>
      <c r="AC15" s="5">
        <v>6.0</v>
      </c>
      <c r="AD15" s="5">
        <v>7.0</v>
      </c>
      <c r="AE15" s="5" t="s">
        <v>392</v>
      </c>
      <c r="AF15" s="5" t="s">
        <v>206</v>
      </c>
      <c r="AG15" s="5">
        <v>7.0</v>
      </c>
      <c r="AH15" s="5">
        <v>7.0</v>
      </c>
      <c r="AI15" s="5">
        <v>6.0</v>
      </c>
      <c r="AJ15" s="5">
        <v>1.0</v>
      </c>
      <c r="AK15" s="5">
        <f t="shared" si="2"/>
        <v>7</v>
      </c>
      <c r="AL15" s="5">
        <v>1.0</v>
      </c>
      <c r="AM15" s="5">
        <f t="shared" si="3"/>
        <v>7</v>
      </c>
      <c r="AN15" s="5">
        <v>1.0</v>
      </c>
      <c r="AO15" s="5">
        <f t="shared" si="4"/>
        <v>7</v>
      </c>
      <c r="AP15" s="5">
        <v>1.0</v>
      </c>
      <c r="AQ15" s="5">
        <f t="shared" si="5"/>
        <v>7</v>
      </c>
      <c r="AR15" s="5" t="s">
        <v>393</v>
      </c>
    </row>
    <row r="16">
      <c r="A16" s="8">
        <f>IFERROR(__xludf.DUMMYFUNCTION("IF(E16="""", """", VALUE(REGEXREPLACE(E16, ""^[Pp]"", """")))"),13.0)</f>
        <v>13</v>
      </c>
      <c r="B16" s="8">
        <v>866.0</v>
      </c>
      <c r="C16" s="7">
        <v>45868.05416666667</v>
      </c>
      <c r="D16" s="5" t="s">
        <v>394</v>
      </c>
      <c r="E16" s="5" t="s">
        <v>379</v>
      </c>
      <c r="F16" s="5" t="s">
        <v>216</v>
      </c>
      <c r="G16" s="5">
        <v>6.0</v>
      </c>
      <c r="H16" s="5">
        <v>5.0</v>
      </c>
      <c r="I16" s="5" t="s">
        <v>199</v>
      </c>
      <c r="J16" s="5">
        <v>7.0</v>
      </c>
      <c r="K16" s="5">
        <v>7.0</v>
      </c>
      <c r="L16" s="5">
        <v>7.0</v>
      </c>
      <c r="M16" s="5">
        <v>6.0</v>
      </c>
      <c r="N16" s="5">
        <v>6.0</v>
      </c>
      <c r="O16" s="5">
        <v>7.0</v>
      </c>
      <c r="P16" s="5">
        <v>7.0</v>
      </c>
      <c r="Q16" s="5">
        <v>6.0</v>
      </c>
      <c r="R16" s="5">
        <v>5.0</v>
      </c>
      <c r="S16" s="5">
        <v>6.0</v>
      </c>
      <c r="T16" s="5">
        <v>6.0</v>
      </c>
      <c r="U16" s="5">
        <v>3.0</v>
      </c>
      <c r="V16" s="5">
        <f t="shared" si="1"/>
        <v>5</v>
      </c>
      <c r="W16" s="5" t="s">
        <v>395</v>
      </c>
      <c r="X16" s="5" t="s">
        <v>206</v>
      </c>
      <c r="Y16" s="5">
        <v>6.0</v>
      </c>
      <c r="Z16" s="5">
        <v>6.0</v>
      </c>
      <c r="AA16" s="5">
        <v>7.0</v>
      </c>
      <c r="AB16" s="5">
        <v>7.0</v>
      </c>
      <c r="AC16" s="5">
        <v>7.0</v>
      </c>
      <c r="AD16" s="5">
        <v>7.0</v>
      </c>
      <c r="AE16" s="5" t="s">
        <v>396</v>
      </c>
      <c r="AF16" s="5" t="s">
        <v>206</v>
      </c>
      <c r="AG16" s="5">
        <v>6.0</v>
      </c>
      <c r="AH16" s="5">
        <v>6.0</v>
      </c>
      <c r="AI16" s="5">
        <v>6.0</v>
      </c>
      <c r="AJ16" s="5">
        <v>1.0</v>
      </c>
      <c r="AK16" s="5">
        <f t="shared" si="2"/>
        <v>7</v>
      </c>
      <c r="AL16" s="5">
        <v>1.0</v>
      </c>
      <c r="AM16" s="5">
        <f t="shared" si="3"/>
        <v>7</v>
      </c>
      <c r="AN16" s="5">
        <v>1.0</v>
      </c>
      <c r="AO16" s="5">
        <f t="shared" si="4"/>
        <v>7</v>
      </c>
      <c r="AP16" s="5">
        <v>1.0</v>
      </c>
      <c r="AQ16" s="5">
        <f t="shared" si="5"/>
        <v>7</v>
      </c>
      <c r="AR16" s="5" t="s">
        <v>397</v>
      </c>
    </row>
    <row r="17">
      <c r="A17" s="8">
        <f>IFERROR(__xludf.DUMMYFUNCTION("IF(E17="""", """", VALUE(REGEXREPLACE(E17, ""^[Pp]"", """")))"),13.0)</f>
        <v>13</v>
      </c>
      <c r="B17" s="8">
        <v>659.0</v>
      </c>
      <c r="C17" s="7">
        <v>45868.072916666664</v>
      </c>
      <c r="D17" s="5" t="s">
        <v>406</v>
      </c>
      <c r="E17" s="5" t="s">
        <v>379</v>
      </c>
      <c r="F17" s="5" t="s">
        <v>263</v>
      </c>
      <c r="G17" s="5">
        <v>6.0</v>
      </c>
      <c r="H17" s="5">
        <v>6.0</v>
      </c>
      <c r="I17" s="5" t="s">
        <v>199</v>
      </c>
      <c r="J17" s="5">
        <v>6.0</v>
      </c>
      <c r="K17" s="5">
        <v>6.0</v>
      </c>
      <c r="L17" s="5">
        <v>6.0</v>
      </c>
      <c r="M17" s="5">
        <v>6.0</v>
      </c>
      <c r="N17" s="5">
        <v>7.0</v>
      </c>
      <c r="O17" s="5">
        <v>7.0</v>
      </c>
      <c r="P17" s="5">
        <v>7.0</v>
      </c>
      <c r="Q17" s="5">
        <v>7.0</v>
      </c>
      <c r="R17" s="5">
        <v>5.0</v>
      </c>
      <c r="S17" s="5">
        <v>6.0</v>
      </c>
      <c r="T17" s="5">
        <v>6.0</v>
      </c>
      <c r="U17" s="5">
        <v>6.0</v>
      </c>
      <c r="V17" s="5">
        <f t="shared" si="1"/>
        <v>2</v>
      </c>
      <c r="W17" s="5" t="s">
        <v>407</v>
      </c>
      <c r="X17" s="5" t="s">
        <v>206</v>
      </c>
      <c r="Y17" s="5">
        <v>6.0</v>
      </c>
      <c r="Z17" s="5">
        <v>7.0</v>
      </c>
      <c r="AA17" s="5">
        <v>7.0</v>
      </c>
      <c r="AB17" s="5">
        <v>7.0</v>
      </c>
      <c r="AC17" s="5">
        <v>7.0</v>
      </c>
      <c r="AD17" s="5">
        <v>7.0</v>
      </c>
      <c r="AE17" s="5" t="s">
        <v>408</v>
      </c>
      <c r="AF17" s="5" t="s">
        <v>206</v>
      </c>
      <c r="AG17" s="5">
        <v>7.0</v>
      </c>
      <c r="AH17" s="5">
        <v>7.0</v>
      </c>
      <c r="AI17" s="5">
        <v>7.0</v>
      </c>
      <c r="AJ17" s="5">
        <v>1.0</v>
      </c>
      <c r="AK17" s="5">
        <f t="shared" si="2"/>
        <v>7</v>
      </c>
      <c r="AL17" s="5">
        <v>1.0</v>
      </c>
      <c r="AM17" s="5">
        <f t="shared" si="3"/>
        <v>7</v>
      </c>
      <c r="AN17" s="5">
        <v>1.0</v>
      </c>
      <c r="AO17" s="5">
        <f t="shared" si="4"/>
        <v>7</v>
      </c>
      <c r="AP17" s="5">
        <v>1.0</v>
      </c>
      <c r="AQ17" s="5">
        <f t="shared" si="5"/>
        <v>7</v>
      </c>
      <c r="AR17" s="5" t="s">
        <v>409</v>
      </c>
    </row>
    <row r="18">
      <c r="A18" s="8">
        <f>IFERROR(__xludf.DUMMYFUNCTION("IF(E18="""", """", VALUE(REGEXREPLACE(E18, ""^[Pp]"", """")))"),14.0)</f>
        <v>14</v>
      </c>
      <c r="B18" s="8">
        <v>2166.0</v>
      </c>
      <c r="C18" s="7">
        <v>45868.040972222225</v>
      </c>
      <c r="D18" s="5" t="s">
        <v>384</v>
      </c>
      <c r="E18" s="5" t="s">
        <v>385</v>
      </c>
      <c r="F18" s="5" t="s">
        <v>211</v>
      </c>
      <c r="G18" s="5">
        <v>4.0</v>
      </c>
      <c r="H18" s="5">
        <v>5.0</v>
      </c>
      <c r="I18" s="5" t="s">
        <v>199</v>
      </c>
      <c r="J18" s="5">
        <v>6.0</v>
      </c>
      <c r="K18" s="5">
        <v>6.0</v>
      </c>
      <c r="L18" s="5">
        <v>3.0</v>
      </c>
      <c r="M18" s="5">
        <v>3.0</v>
      </c>
      <c r="N18" s="5">
        <v>6.0</v>
      </c>
      <c r="O18" s="5">
        <v>5.0</v>
      </c>
      <c r="P18" s="5">
        <v>5.0</v>
      </c>
      <c r="Q18" s="5">
        <v>6.0</v>
      </c>
      <c r="R18" s="5">
        <v>4.0</v>
      </c>
      <c r="S18" s="5">
        <v>4.0</v>
      </c>
      <c r="T18" s="5">
        <v>5.0</v>
      </c>
      <c r="U18" s="5">
        <v>4.0</v>
      </c>
      <c r="V18" s="5">
        <f t="shared" si="1"/>
        <v>4</v>
      </c>
      <c r="W18" s="5" t="s">
        <v>386</v>
      </c>
      <c r="X18" s="5" t="s">
        <v>206</v>
      </c>
      <c r="Y18" s="5">
        <v>6.0</v>
      </c>
      <c r="Z18" s="5">
        <v>6.0</v>
      </c>
      <c r="AA18" s="5">
        <v>7.0</v>
      </c>
      <c r="AB18" s="5">
        <v>6.0</v>
      </c>
      <c r="AC18" s="5">
        <v>5.0</v>
      </c>
      <c r="AD18" s="5">
        <v>4.0</v>
      </c>
      <c r="AE18" s="5" t="s">
        <v>387</v>
      </c>
      <c r="AF18" s="5" t="s">
        <v>206</v>
      </c>
      <c r="AG18" s="5">
        <v>7.0</v>
      </c>
      <c r="AH18" s="5">
        <v>6.0</v>
      </c>
      <c r="AI18" s="5">
        <v>6.0</v>
      </c>
      <c r="AJ18" s="5">
        <v>1.0</v>
      </c>
      <c r="AK18" s="5">
        <f t="shared" si="2"/>
        <v>7</v>
      </c>
      <c r="AL18" s="5">
        <v>1.0</v>
      </c>
      <c r="AM18" s="5">
        <f t="shared" si="3"/>
        <v>7</v>
      </c>
      <c r="AN18" s="5">
        <v>1.0</v>
      </c>
      <c r="AO18" s="5">
        <f t="shared" si="4"/>
        <v>7</v>
      </c>
      <c r="AP18" s="5">
        <v>1.0</v>
      </c>
      <c r="AQ18" s="5">
        <f t="shared" si="5"/>
        <v>7</v>
      </c>
      <c r="AR18" s="5" t="s">
        <v>388</v>
      </c>
    </row>
    <row r="19">
      <c r="A19" s="8">
        <f>IFERROR(__xludf.DUMMYFUNCTION("IF(E19="""", """", VALUE(REGEXREPLACE(E19, ""^[Pp]"", """")))"),14.0)</f>
        <v>14</v>
      </c>
      <c r="B19" s="8">
        <v>863.0</v>
      </c>
      <c r="C19" s="7">
        <v>45868.055555555555</v>
      </c>
      <c r="D19" s="5" t="s">
        <v>398</v>
      </c>
      <c r="E19" s="5" t="s">
        <v>385</v>
      </c>
      <c r="F19" s="5" t="s">
        <v>197</v>
      </c>
      <c r="G19" s="5">
        <v>7.0</v>
      </c>
      <c r="H19" s="5">
        <v>6.0</v>
      </c>
      <c r="I19" s="5" t="s">
        <v>199</v>
      </c>
      <c r="J19" s="5">
        <v>6.0</v>
      </c>
      <c r="K19" s="5">
        <v>6.0</v>
      </c>
      <c r="L19" s="5">
        <v>7.0</v>
      </c>
      <c r="M19" s="5">
        <v>6.0</v>
      </c>
      <c r="N19" s="5">
        <v>7.0</v>
      </c>
      <c r="O19" s="5">
        <v>6.0</v>
      </c>
      <c r="P19" s="5">
        <v>6.0</v>
      </c>
      <c r="Q19" s="5">
        <v>6.0</v>
      </c>
      <c r="R19" s="5">
        <v>4.0</v>
      </c>
      <c r="S19" s="5">
        <v>4.0</v>
      </c>
      <c r="T19" s="5">
        <v>6.0</v>
      </c>
      <c r="U19" s="5">
        <v>5.0</v>
      </c>
      <c r="V19" s="5">
        <f t="shared" si="1"/>
        <v>3</v>
      </c>
      <c r="W19" s="5" t="s">
        <v>399</v>
      </c>
      <c r="X19" s="5" t="s">
        <v>206</v>
      </c>
      <c r="Y19" s="5">
        <v>6.0</v>
      </c>
      <c r="Z19" s="5">
        <v>6.0</v>
      </c>
      <c r="AA19" s="5">
        <v>7.0</v>
      </c>
      <c r="AB19" s="5">
        <v>6.0</v>
      </c>
      <c r="AC19" s="5">
        <v>6.0</v>
      </c>
      <c r="AD19" s="5">
        <v>4.0</v>
      </c>
      <c r="AE19" s="5" t="s">
        <v>400</v>
      </c>
      <c r="AF19" s="5" t="s">
        <v>206</v>
      </c>
      <c r="AG19" s="5">
        <v>6.0</v>
      </c>
      <c r="AH19" s="5">
        <v>6.0</v>
      </c>
      <c r="AI19" s="5">
        <v>6.0</v>
      </c>
      <c r="AJ19" s="5">
        <v>2.0</v>
      </c>
      <c r="AK19" s="5">
        <f t="shared" si="2"/>
        <v>6</v>
      </c>
      <c r="AL19" s="5">
        <v>1.0</v>
      </c>
      <c r="AM19" s="5">
        <f t="shared" si="3"/>
        <v>7</v>
      </c>
      <c r="AN19" s="5">
        <v>2.0</v>
      </c>
      <c r="AO19" s="5">
        <f t="shared" si="4"/>
        <v>6</v>
      </c>
      <c r="AP19" s="5">
        <v>1.0</v>
      </c>
      <c r="AQ19" s="5">
        <f t="shared" si="5"/>
        <v>7</v>
      </c>
      <c r="AR19" s="5" t="s">
        <v>401</v>
      </c>
    </row>
    <row r="20">
      <c r="A20" s="8">
        <f>IFERROR(__xludf.DUMMYFUNCTION("IF(E20="""", """", VALUE(REGEXREPLACE(E20, ""^[Pp]"", """")))"),14.0)</f>
        <v>14</v>
      </c>
      <c r="B20" s="8">
        <v>942.0</v>
      </c>
      <c r="C20" s="7">
        <v>45868.07083333333</v>
      </c>
      <c r="D20" s="5" t="s">
        <v>402</v>
      </c>
      <c r="E20" s="5" t="s">
        <v>385</v>
      </c>
      <c r="F20" s="5" t="s">
        <v>263</v>
      </c>
      <c r="G20" s="5">
        <v>6.0</v>
      </c>
      <c r="H20" s="5">
        <v>5.0</v>
      </c>
      <c r="I20" s="5" t="s">
        <v>199</v>
      </c>
      <c r="J20" s="5">
        <v>6.0</v>
      </c>
      <c r="K20" s="5">
        <v>5.0</v>
      </c>
      <c r="L20" s="5">
        <v>7.0</v>
      </c>
      <c r="M20" s="5">
        <v>5.0</v>
      </c>
      <c r="N20" s="5">
        <v>7.0</v>
      </c>
      <c r="O20" s="5">
        <v>6.0</v>
      </c>
      <c r="P20" s="5">
        <v>5.0</v>
      </c>
      <c r="Q20" s="5">
        <v>6.0</v>
      </c>
      <c r="R20" s="5">
        <v>6.0</v>
      </c>
      <c r="S20" s="5">
        <v>2.0</v>
      </c>
      <c r="T20" s="5">
        <v>6.0</v>
      </c>
      <c r="U20" s="5">
        <v>5.0</v>
      </c>
      <c r="V20" s="5">
        <f t="shared" si="1"/>
        <v>3</v>
      </c>
      <c r="W20" s="5" t="s">
        <v>403</v>
      </c>
      <c r="X20" s="5" t="s">
        <v>206</v>
      </c>
      <c r="Y20" s="5">
        <v>6.0</v>
      </c>
      <c r="Z20" s="5">
        <v>6.0</v>
      </c>
      <c r="AA20" s="5">
        <v>6.0</v>
      </c>
      <c r="AB20" s="5">
        <v>6.0</v>
      </c>
      <c r="AC20" s="5">
        <v>6.0</v>
      </c>
      <c r="AD20" s="5">
        <v>4.0</v>
      </c>
      <c r="AE20" s="5" t="s">
        <v>404</v>
      </c>
      <c r="AF20" s="5" t="s">
        <v>206</v>
      </c>
      <c r="AG20" s="5">
        <v>6.0</v>
      </c>
      <c r="AH20" s="5">
        <v>5.0</v>
      </c>
      <c r="AI20" s="5">
        <v>5.0</v>
      </c>
      <c r="AJ20" s="5">
        <v>2.0</v>
      </c>
      <c r="AK20" s="5">
        <f t="shared" si="2"/>
        <v>6</v>
      </c>
      <c r="AL20" s="5">
        <v>2.0</v>
      </c>
      <c r="AM20" s="5">
        <f t="shared" si="3"/>
        <v>6</v>
      </c>
      <c r="AN20" s="5">
        <v>5.0</v>
      </c>
      <c r="AO20" s="5">
        <f t="shared" si="4"/>
        <v>3</v>
      </c>
      <c r="AP20" s="5">
        <v>2.0</v>
      </c>
      <c r="AQ20" s="5">
        <f t="shared" si="5"/>
        <v>6</v>
      </c>
      <c r="AR20" s="5" t="s">
        <v>405</v>
      </c>
    </row>
    <row r="21">
      <c r="A21" s="8">
        <f>IFERROR(__xludf.DUMMYFUNCTION("IF(E21="""", """", VALUE(REGEXREPLACE(E21, ""^[Pp]"", """")))"),14.0)</f>
        <v>14</v>
      </c>
      <c r="B21" s="8">
        <v>1190.0</v>
      </c>
      <c r="C21" s="7">
        <v>45868.08541666667</v>
      </c>
      <c r="D21" s="5" t="s">
        <v>415</v>
      </c>
      <c r="E21" s="5" t="s">
        <v>385</v>
      </c>
      <c r="F21" s="5" t="s">
        <v>216</v>
      </c>
      <c r="G21" s="5">
        <v>3.0</v>
      </c>
      <c r="H21" s="5">
        <v>5.0</v>
      </c>
      <c r="I21" s="5" t="s">
        <v>199</v>
      </c>
      <c r="J21" s="5">
        <v>4.0</v>
      </c>
      <c r="K21" s="5">
        <v>3.0</v>
      </c>
      <c r="L21" s="5">
        <v>3.0</v>
      </c>
      <c r="M21" s="5">
        <v>5.0</v>
      </c>
      <c r="N21" s="5">
        <v>6.0</v>
      </c>
      <c r="O21" s="5">
        <v>6.0</v>
      </c>
      <c r="P21" s="5">
        <v>6.0</v>
      </c>
      <c r="Q21" s="5">
        <v>5.0</v>
      </c>
      <c r="R21" s="5">
        <v>3.0</v>
      </c>
      <c r="S21" s="5">
        <v>3.0</v>
      </c>
      <c r="T21" s="5">
        <v>6.0</v>
      </c>
      <c r="U21" s="5">
        <v>5.0</v>
      </c>
      <c r="V21" s="5">
        <f t="shared" si="1"/>
        <v>3</v>
      </c>
      <c r="W21" s="5" t="s">
        <v>416</v>
      </c>
      <c r="X21" s="5" t="s">
        <v>206</v>
      </c>
      <c r="Y21" s="5">
        <v>6.0</v>
      </c>
      <c r="Z21" s="5">
        <v>5.0</v>
      </c>
      <c r="AA21" s="5">
        <v>6.0</v>
      </c>
      <c r="AB21" s="5">
        <v>5.0</v>
      </c>
      <c r="AC21" s="5">
        <v>3.0</v>
      </c>
      <c r="AD21" s="5">
        <v>4.0</v>
      </c>
      <c r="AE21" s="5" t="s">
        <v>417</v>
      </c>
      <c r="AF21" s="5" t="s">
        <v>206</v>
      </c>
      <c r="AG21" s="5">
        <v>6.0</v>
      </c>
      <c r="AH21" s="5">
        <v>5.0</v>
      </c>
      <c r="AI21" s="5">
        <v>3.0</v>
      </c>
      <c r="AJ21" s="5">
        <v>1.0</v>
      </c>
      <c r="AK21" s="5">
        <f t="shared" si="2"/>
        <v>7</v>
      </c>
      <c r="AL21" s="5">
        <v>1.0</v>
      </c>
      <c r="AM21" s="5">
        <f t="shared" si="3"/>
        <v>7</v>
      </c>
      <c r="AN21" s="5">
        <v>2.0</v>
      </c>
      <c r="AO21" s="5">
        <f t="shared" si="4"/>
        <v>6</v>
      </c>
      <c r="AP21" s="5">
        <v>1.0</v>
      </c>
      <c r="AQ21" s="5">
        <f t="shared" si="5"/>
        <v>7</v>
      </c>
      <c r="AR21" s="5" t="s">
        <v>418</v>
      </c>
    </row>
    <row r="22">
      <c r="A22" s="8">
        <f>IFERROR(__xludf.DUMMYFUNCTION("IF(E22="""", """", VALUE(REGEXREPLACE(E22, ""^[Pp]"", """")))"),15.0)</f>
        <v>15</v>
      </c>
      <c r="B22" s="8">
        <v>380.0</v>
      </c>
      <c r="C22" s="7">
        <v>45868.08541666667</v>
      </c>
      <c r="D22" s="5" t="s">
        <v>410</v>
      </c>
      <c r="E22" s="5" t="s">
        <v>411</v>
      </c>
      <c r="F22" s="5" t="s">
        <v>263</v>
      </c>
      <c r="G22" s="5">
        <v>3.0</v>
      </c>
      <c r="H22" s="5">
        <v>3.0</v>
      </c>
      <c r="I22" s="5" t="s">
        <v>199</v>
      </c>
      <c r="J22" s="5">
        <v>6.0</v>
      </c>
      <c r="K22" s="5">
        <v>6.0</v>
      </c>
      <c r="L22" s="5">
        <v>3.0</v>
      </c>
      <c r="M22" s="5">
        <v>3.0</v>
      </c>
      <c r="N22" s="5">
        <v>5.0</v>
      </c>
      <c r="O22" s="5">
        <v>6.0</v>
      </c>
      <c r="P22" s="5">
        <v>6.0</v>
      </c>
      <c r="Q22" s="5">
        <v>6.0</v>
      </c>
      <c r="R22" s="5">
        <v>3.0</v>
      </c>
      <c r="S22" s="5">
        <v>4.0</v>
      </c>
      <c r="T22" s="5">
        <v>6.0</v>
      </c>
      <c r="U22" s="5">
        <v>2.0</v>
      </c>
      <c r="V22" s="5">
        <f t="shared" si="1"/>
        <v>6</v>
      </c>
      <c r="W22" s="11" t="s">
        <v>412</v>
      </c>
      <c r="X22" s="5" t="s">
        <v>206</v>
      </c>
      <c r="Y22" s="5">
        <v>5.0</v>
      </c>
      <c r="Z22" s="5">
        <v>5.0</v>
      </c>
      <c r="AA22" s="5">
        <v>5.0</v>
      </c>
      <c r="AB22" s="5">
        <v>5.0</v>
      </c>
      <c r="AC22" s="5">
        <v>5.0</v>
      </c>
      <c r="AD22" s="5">
        <v>6.0</v>
      </c>
      <c r="AE22" s="5" t="s">
        <v>413</v>
      </c>
      <c r="AF22" s="5" t="s">
        <v>206</v>
      </c>
      <c r="AG22" s="5">
        <v>6.0</v>
      </c>
      <c r="AH22" s="5">
        <v>7.0</v>
      </c>
      <c r="AI22" s="5">
        <v>6.0</v>
      </c>
      <c r="AJ22" s="5">
        <v>2.0</v>
      </c>
      <c r="AK22" s="5">
        <f t="shared" si="2"/>
        <v>6</v>
      </c>
      <c r="AL22" s="5">
        <v>2.0</v>
      </c>
      <c r="AM22" s="5">
        <f t="shared" si="3"/>
        <v>6</v>
      </c>
      <c r="AN22" s="5">
        <v>1.0</v>
      </c>
      <c r="AO22" s="5">
        <f t="shared" si="4"/>
        <v>7</v>
      </c>
      <c r="AP22" s="5">
        <v>2.0</v>
      </c>
      <c r="AQ22" s="5">
        <f t="shared" si="5"/>
        <v>6</v>
      </c>
      <c r="AR22" s="5" t="s">
        <v>414</v>
      </c>
    </row>
    <row r="23">
      <c r="A23" s="8">
        <f>IFERROR(__xludf.DUMMYFUNCTION("IF(E23="""", """", VALUE(REGEXREPLACE(E23, ""^[Pp]"", """")))"),15.0)</f>
        <v>15</v>
      </c>
      <c r="B23" s="8">
        <v>627.0</v>
      </c>
      <c r="C23" s="7">
        <v>45868.089583333334</v>
      </c>
      <c r="D23" s="5" t="s">
        <v>419</v>
      </c>
      <c r="E23" s="5" t="s">
        <v>411</v>
      </c>
      <c r="F23" s="5" t="s">
        <v>211</v>
      </c>
      <c r="G23" s="5">
        <v>2.0</v>
      </c>
      <c r="H23" s="5">
        <v>2.0</v>
      </c>
      <c r="I23" s="5" t="s">
        <v>199</v>
      </c>
      <c r="J23" s="5">
        <v>2.0</v>
      </c>
      <c r="K23" s="5">
        <v>1.0</v>
      </c>
      <c r="L23" s="5">
        <v>1.0</v>
      </c>
      <c r="M23" s="5">
        <v>2.0</v>
      </c>
      <c r="N23" s="5">
        <v>6.0</v>
      </c>
      <c r="O23" s="5">
        <v>4.0</v>
      </c>
      <c r="P23" s="5">
        <v>5.0</v>
      </c>
      <c r="Q23" s="5">
        <v>5.0</v>
      </c>
      <c r="R23" s="5">
        <v>1.0</v>
      </c>
      <c r="S23" s="5">
        <v>4.0</v>
      </c>
      <c r="T23" s="5">
        <v>2.0</v>
      </c>
      <c r="U23" s="5">
        <v>6.0</v>
      </c>
      <c r="V23" s="5">
        <f t="shared" si="1"/>
        <v>2</v>
      </c>
      <c r="W23" s="5" t="s">
        <v>420</v>
      </c>
      <c r="X23" s="5" t="s">
        <v>206</v>
      </c>
      <c r="Y23" s="5">
        <v>1.0</v>
      </c>
      <c r="Z23" s="5">
        <v>3.0</v>
      </c>
      <c r="AA23" s="5">
        <v>1.0</v>
      </c>
      <c r="AB23" s="5">
        <v>4.0</v>
      </c>
      <c r="AC23" s="5">
        <v>5.0</v>
      </c>
      <c r="AD23" s="5">
        <v>6.0</v>
      </c>
      <c r="AE23" s="5" t="s">
        <v>421</v>
      </c>
      <c r="AF23" s="5" t="s">
        <v>206</v>
      </c>
      <c r="AG23" s="5">
        <v>5.0</v>
      </c>
      <c r="AH23" s="5">
        <v>4.0</v>
      </c>
      <c r="AI23" s="5">
        <v>4.0</v>
      </c>
      <c r="AJ23" s="5">
        <v>1.0</v>
      </c>
      <c r="AK23" s="5">
        <f t="shared" si="2"/>
        <v>7</v>
      </c>
      <c r="AL23" s="5">
        <v>1.0</v>
      </c>
      <c r="AM23" s="5">
        <f t="shared" si="3"/>
        <v>7</v>
      </c>
      <c r="AN23" s="5">
        <v>1.0</v>
      </c>
      <c r="AO23" s="5">
        <f t="shared" si="4"/>
        <v>7</v>
      </c>
      <c r="AP23" s="5">
        <v>1.0</v>
      </c>
      <c r="AQ23" s="5">
        <f t="shared" si="5"/>
        <v>7</v>
      </c>
      <c r="AR23" s="5" t="s">
        <v>422</v>
      </c>
    </row>
    <row r="24">
      <c r="A24" s="8">
        <f>IFERROR(__xludf.DUMMYFUNCTION("IF(E24="""", """", VALUE(REGEXREPLACE(E24, ""^[Pp]"", """")))"),15.0)</f>
        <v>15</v>
      </c>
      <c r="B24" s="8">
        <v>323.0</v>
      </c>
      <c r="C24" s="7">
        <v>45868.09583333333</v>
      </c>
      <c r="D24" s="5" t="s">
        <v>423</v>
      </c>
      <c r="E24" s="5" t="s">
        <v>411</v>
      </c>
      <c r="F24" s="5" t="s">
        <v>197</v>
      </c>
      <c r="G24" s="5">
        <v>4.0</v>
      </c>
      <c r="H24" s="5">
        <v>3.0</v>
      </c>
      <c r="I24" s="5" t="s">
        <v>199</v>
      </c>
      <c r="J24" s="5">
        <v>5.0</v>
      </c>
      <c r="K24" s="5">
        <v>6.0</v>
      </c>
      <c r="L24" s="5">
        <v>4.0</v>
      </c>
      <c r="M24" s="5">
        <v>4.0</v>
      </c>
      <c r="N24" s="5">
        <v>6.0</v>
      </c>
      <c r="O24" s="5">
        <v>6.0</v>
      </c>
      <c r="P24" s="5">
        <v>6.0</v>
      </c>
      <c r="Q24" s="5">
        <v>6.0</v>
      </c>
      <c r="R24" s="5">
        <v>5.0</v>
      </c>
      <c r="S24" s="5">
        <v>4.0</v>
      </c>
      <c r="T24" s="5">
        <v>6.0</v>
      </c>
      <c r="U24" s="5">
        <v>4.0</v>
      </c>
      <c r="V24" s="5">
        <f t="shared" si="1"/>
        <v>4</v>
      </c>
      <c r="W24" s="11" t="s">
        <v>424</v>
      </c>
      <c r="X24" s="5" t="s">
        <v>206</v>
      </c>
      <c r="Y24" s="5">
        <v>4.0</v>
      </c>
      <c r="Z24" s="5">
        <v>5.0</v>
      </c>
      <c r="AA24" s="5">
        <v>6.0</v>
      </c>
      <c r="AB24" s="5">
        <v>4.0</v>
      </c>
      <c r="AC24" s="5">
        <v>6.0</v>
      </c>
      <c r="AD24" s="5">
        <v>6.0</v>
      </c>
      <c r="AE24" s="11" t="s">
        <v>425</v>
      </c>
      <c r="AF24" s="10"/>
      <c r="AG24" s="5">
        <v>6.0</v>
      </c>
      <c r="AH24" s="5">
        <v>6.0</v>
      </c>
      <c r="AI24" s="5">
        <v>6.0</v>
      </c>
      <c r="AJ24" s="5">
        <v>1.0</v>
      </c>
      <c r="AK24" s="5">
        <f t="shared" si="2"/>
        <v>7</v>
      </c>
      <c r="AL24" s="5">
        <v>1.0</v>
      </c>
      <c r="AM24" s="5">
        <f t="shared" si="3"/>
        <v>7</v>
      </c>
      <c r="AN24" s="5">
        <v>1.0</v>
      </c>
      <c r="AO24" s="5">
        <f t="shared" si="4"/>
        <v>7</v>
      </c>
      <c r="AP24" s="5">
        <v>1.0</v>
      </c>
      <c r="AQ24" s="5">
        <f t="shared" si="5"/>
        <v>7</v>
      </c>
      <c r="AR24" s="5" t="s">
        <v>426</v>
      </c>
    </row>
    <row r="25">
      <c r="A25" s="8">
        <f>IFERROR(__xludf.DUMMYFUNCTION("IF(E25="""", """", VALUE(REGEXREPLACE(E25, ""^[Pp]"", """")))"),15.0)</f>
        <v>15</v>
      </c>
      <c r="B25" s="8">
        <v>459.0</v>
      </c>
      <c r="C25" s="7">
        <v>45868.222916666666</v>
      </c>
      <c r="D25" s="5" t="s">
        <v>466</v>
      </c>
      <c r="E25" s="5" t="s">
        <v>411</v>
      </c>
      <c r="F25" s="5" t="s">
        <v>211</v>
      </c>
      <c r="G25" s="5">
        <v>3.0</v>
      </c>
      <c r="H25" s="5">
        <v>3.0</v>
      </c>
      <c r="I25" s="5" t="s">
        <v>199</v>
      </c>
      <c r="J25" s="5">
        <v>5.0</v>
      </c>
      <c r="K25" s="5">
        <v>5.0</v>
      </c>
      <c r="L25" s="5">
        <v>4.0</v>
      </c>
      <c r="M25" s="5">
        <v>5.0</v>
      </c>
      <c r="N25" s="5">
        <v>5.0</v>
      </c>
      <c r="O25" s="5">
        <v>6.0</v>
      </c>
      <c r="P25" s="5">
        <v>5.0</v>
      </c>
      <c r="Q25" s="5">
        <v>5.0</v>
      </c>
      <c r="R25" s="5">
        <v>4.0</v>
      </c>
      <c r="S25" s="5">
        <v>4.0</v>
      </c>
      <c r="T25" s="5">
        <v>5.0</v>
      </c>
      <c r="U25" s="5">
        <v>7.0</v>
      </c>
      <c r="V25" s="5">
        <f t="shared" si="1"/>
        <v>1</v>
      </c>
      <c r="W25" s="5" t="s">
        <v>467</v>
      </c>
      <c r="X25" s="5" t="s">
        <v>206</v>
      </c>
      <c r="Y25" s="5">
        <v>5.0</v>
      </c>
      <c r="Z25" s="5">
        <v>6.0</v>
      </c>
      <c r="AA25" s="5">
        <v>6.0</v>
      </c>
      <c r="AB25" s="5">
        <v>5.0</v>
      </c>
      <c r="AC25" s="5">
        <v>4.0</v>
      </c>
      <c r="AD25" s="5">
        <v>5.0</v>
      </c>
      <c r="AE25" s="5" t="s">
        <v>413</v>
      </c>
      <c r="AF25" s="5" t="s">
        <v>206</v>
      </c>
      <c r="AG25" s="5">
        <v>5.0</v>
      </c>
      <c r="AH25" s="5">
        <v>5.0</v>
      </c>
      <c r="AI25" s="5">
        <v>6.0</v>
      </c>
      <c r="AJ25" s="5">
        <v>1.0</v>
      </c>
      <c r="AK25" s="5">
        <f t="shared" si="2"/>
        <v>7</v>
      </c>
      <c r="AL25" s="5">
        <v>1.0</v>
      </c>
      <c r="AM25" s="5">
        <f t="shared" si="3"/>
        <v>7</v>
      </c>
      <c r="AN25" s="5">
        <v>1.0</v>
      </c>
      <c r="AO25" s="5">
        <f t="shared" si="4"/>
        <v>7</v>
      </c>
      <c r="AP25" s="5">
        <v>1.0</v>
      </c>
      <c r="AQ25" s="5">
        <f t="shared" si="5"/>
        <v>7</v>
      </c>
      <c r="AR25" s="5" t="s">
        <v>413</v>
      </c>
    </row>
    <row r="26">
      <c r="A26" s="8">
        <f>IFERROR(__xludf.DUMMYFUNCTION("IF(E26="""", """", VALUE(REGEXREPLACE(E26, ""^[Pp]"", """")))"),15.0)</f>
        <v>15</v>
      </c>
      <c r="B26" s="8">
        <v>309.0</v>
      </c>
      <c r="C26" s="7">
        <v>45868.22986111111</v>
      </c>
      <c r="D26" s="5" t="s">
        <v>468</v>
      </c>
      <c r="E26" s="5" t="s">
        <v>411</v>
      </c>
      <c r="F26" s="5" t="s">
        <v>216</v>
      </c>
      <c r="G26" s="5">
        <v>4.0</v>
      </c>
      <c r="H26" s="5">
        <v>2.0</v>
      </c>
      <c r="I26" s="5" t="s">
        <v>199</v>
      </c>
      <c r="J26" s="5">
        <v>5.0</v>
      </c>
      <c r="K26" s="5">
        <v>6.0</v>
      </c>
      <c r="L26" s="5">
        <v>3.0</v>
      </c>
      <c r="M26" s="5">
        <v>2.0</v>
      </c>
      <c r="N26" s="5">
        <v>5.0</v>
      </c>
      <c r="O26" s="5">
        <v>5.0</v>
      </c>
      <c r="P26" s="5">
        <v>5.0</v>
      </c>
      <c r="Q26" s="5">
        <v>5.0</v>
      </c>
      <c r="R26" s="5">
        <v>3.0</v>
      </c>
      <c r="S26" s="5">
        <v>4.0</v>
      </c>
      <c r="T26" s="5">
        <v>5.0</v>
      </c>
      <c r="U26" s="5">
        <v>3.0</v>
      </c>
      <c r="V26" s="5">
        <f t="shared" si="1"/>
        <v>5</v>
      </c>
      <c r="W26" s="5" t="s">
        <v>413</v>
      </c>
      <c r="X26" s="5" t="s">
        <v>206</v>
      </c>
      <c r="Y26" s="5">
        <v>5.0</v>
      </c>
      <c r="Z26" s="5">
        <v>5.0</v>
      </c>
      <c r="AA26" s="5">
        <v>4.0</v>
      </c>
      <c r="AB26" s="5">
        <v>5.0</v>
      </c>
      <c r="AC26" s="5">
        <v>5.0</v>
      </c>
      <c r="AD26" s="5">
        <v>5.0</v>
      </c>
      <c r="AE26" s="5" t="s">
        <v>413</v>
      </c>
      <c r="AF26" s="5" t="s">
        <v>206</v>
      </c>
      <c r="AG26" s="5">
        <v>6.0</v>
      </c>
      <c r="AH26" s="5">
        <v>5.0</v>
      </c>
      <c r="AI26" s="5">
        <v>5.0</v>
      </c>
      <c r="AJ26" s="5">
        <v>1.0</v>
      </c>
      <c r="AK26" s="5">
        <f t="shared" si="2"/>
        <v>7</v>
      </c>
      <c r="AL26" s="5">
        <v>1.0</v>
      </c>
      <c r="AM26" s="5">
        <f t="shared" si="3"/>
        <v>7</v>
      </c>
      <c r="AN26" s="5">
        <v>1.0</v>
      </c>
      <c r="AO26" s="5">
        <f t="shared" si="4"/>
        <v>7</v>
      </c>
      <c r="AP26" s="5">
        <v>1.0</v>
      </c>
      <c r="AQ26" s="5">
        <f t="shared" si="5"/>
        <v>7</v>
      </c>
      <c r="AR26" s="5" t="s">
        <v>413</v>
      </c>
    </row>
    <row r="27">
      <c r="A27" s="8">
        <f>IFERROR(__xludf.DUMMYFUNCTION("IF(E27="""", """", VALUE(REGEXREPLACE(E27, ""^[Pp]"", """")))"),16.0)</f>
        <v>16</v>
      </c>
      <c r="B27" s="8">
        <v>885.0</v>
      </c>
      <c r="C27" s="7">
        <v>45868.10208333333</v>
      </c>
      <c r="D27" s="5" t="s">
        <v>427</v>
      </c>
      <c r="E27" s="5" t="s">
        <v>428</v>
      </c>
      <c r="F27" s="5" t="s">
        <v>216</v>
      </c>
      <c r="G27" s="5">
        <v>4.0</v>
      </c>
      <c r="H27" s="5">
        <v>6.0</v>
      </c>
      <c r="I27" s="5" t="s">
        <v>199</v>
      </c>
      <c r="J27" s="5">
        <v>6.0</v>
      </c>
      <c r="K27" s="5">
        <v>6.0</v>
      </c>
      <c r="L27" s="5">
        <v>6.0</v>
      </c>
      <c r="M27" s="5">
        <v>3.0</v>
      </c>
      <c r="N27" s="5">
        <v>6.0</v>
      </c>
      <c r="O27" s="5">
        <v>6.0</v>
      </c>
      <c r="P27" s="5">
        <v>6.0</v>
      </c>
      <c r="Q27" s="5">
        <v>6.0</v>
      </c>
      <c r="R27" s="5">
        <v>3.0</v>
      </c>
      <c r="S27" s="5">
        <v>4.0</v>
      </c>
      <c r="T27" s="5">
        <v>6.0</v>
      </c>
      <c r="U27" s="5">
        <v>6.0</v>
      </c>
      <c r="V27" s="5">
        <f t="shared" si="1"/>
        <v>2</v>
      </c>
      <c r="W27" s="5" t="s">
        <v>429</v>
      </c>
      <c r="X27" s="5" t="s">
        <v>206</v>
      </c>
      <c r="Y27" s="5">
        <v>5.0</v>
      </c>
      <c r="Z27" s="5">
        <v>5.0</v>
      </c>
      <c r="AA27" s="5">
        <v>5.0</v>
      </c>
      <c r="AB27" s="5">
        <v>6.0</v>
      </c>
      <c r="AC27" s="5">
        <v>4.0</v>
      </c>
      <c r="AD27" s="5">
        <v>5.0</v>
      </c>
      <c r="AE27" s="5" t="s">
        <v>430</v>
      </c>
      <c r="AF27" s="5" t="s">
        <v>206</v>
      </c>
      <c r="AG27" s="5">
        <v>6.0</v>
      </c>
      <c r="AH27" s="5">
        <v>5.0</v>
      </c>
      <c r="AI27" s="5">
        <v>4.0</v>
      </c>
      <c r="AJ27" s="5">
        <v>1.0</v>
      </c>
      <c r="AK27" s="5">
        <f t="shared" si="2"/>
        <v>7</v>
      </c>
      <c r="AL27" s="5">
        <v>1.0</v>
      </c>
      <c r="AM27" s="5">
        <f t="shared" si="3"/>
        <v>7</v>
      </c>
      <c r="AN27" s="5">
        <v>1.0</v>
      </c>
      <c r="AO27" s="5">
        <f t="shared" si="4"/>
        <v>7</v>
      </c>
      <c r="AP27" s="5">
        <v>1.0</v>
      </c>
      <c r="AQ27" s="5">
        <f t="shared" si="5"/>
        <v>7</v>
      </c>
      <c r="AR27" s="5" t="s">
        <v>431</v>
      </c>
    </row>
    <row r="28">
      <c r="A28" s="8">
        <f>IFERROR(__xludf.DUMMYFUNCTION("IF(E28="""", """", VALUE(REGEXREPLACE(E28, ""^[Pp]"", """")))"),16.0)</f>
        <v>16</v>
      </c>
      <c r="B28" s="8">
        <v>675.0</v>
      </c>
      <c r="C28" s="7">
        <v>45868.256944444445</v>
      </c>
      <c r="D28" s="5" t="s">
        <v>478</v>
      </c>
      <c r="E28" s="5" t="s">
        <v>428</v>
      </c>
      <c r="F28" s="5" t="s">
        <v>197</v>
      </c>
      <c r="G28" s="5">
        <v>3.0</v>
      </c>
      <c r="H28" s="5">
        <v>2.0</v>
      </c>
      <c r="I28" s="5" t="s">
        <v>199</v>
      </c>
      <c r="J28" s="5">
        <v>5.0</v>
      </c>
      <c r="K28" s="5">
        <v>5.0</v>
      </c>
      <c r="L28" s="5">
        <v>2.0</v>
      </c>
      <c r="M28" s="5">
        <v>2.0</v>
      </c>
      <c r="N28" s="5">
        <v>2.0</v>
      </c>
      <c r="O28" s="5">
        <v>5.0</v>
      </c>
      <c r="P28" s="5">
        <v>5.0</v>
      </c>
      <c r="Q28" s="5">
        <v>5.0</v>
      </c>
      <c r="R28" s="5">
        <v>2.0</v>
      </c>
      <c r="S28" s="5">
        <v>4.0</v>
      </c>
      <c r="T28" s="5">
        <v>5.0</v>
      </c>
      <c r="U28" s="5">
        <v>2.0</v>
      </c>
      <c r="V28" s="5">
        <f t="shared" si="1"/>
        <v>6</v>
      </c>
      <c r="W28" s="5" t="s">
        <v>479</v>
      </c>
      <c r="X28" s="5" t="s">
        <v>206</v>
      </c>
      <c r="Y28" s="5">
        <v>5.0</v>
      </c>
      <c r="Z28" s="5">
        <v>5.0</v>
      </c>
      <c r="AA28" s="5">
        <v>5.0</v>
      </c>
      <c r="AB28" s="5">
        <v>3.0</v>
      </c>
      <c r="AC28" s="5">
        <v>3.0</v>
      </c>
      <c r="AD28" s="5">
        <v>5.0</v>
      </c>
      <c r="AE28" s="5" t="s">
        <v>480</v>
      </c>
      <c r="AF28" s="5" t="s">
        <v>206</v>
      </c>
      <c r="AG28" s="5">
        <v>5.0</v>
      </c>
      <c r="AH28" s="5">
        <v>5.0</v>
      </c>
      <c r="AI28" s="5">
        <v>4.0</v>
      </c>
      <c r="AJ28" s="5">
        <v>5.0</v>
      </c>
      <c r="AK28" s="5">
        <f t="shared" si="2"/>
        <v>3</v>
      </c>
      <c r="AL28" s="5">
        <v>5.0</v>
      </c>
      <c r="AM28" s="5">
        <f t="shared" si="3"/>
        <v>3</v>
      </c>
      <c r="AN28" s="5">
        <v>5.0</v>
      </c>
      <c r="AO28" s="5">
        <f t="shared" si="4"/>
        <v>3</v>
      </c>
      <c r="AP28" s="5">
        <v>3.0</v>
      </c>
      <c r="AQ28" s="5">
        <f t="shared" si="5"/>
        <v>5</v>
      </c>
      <c r="AR28" s="5" t="s">
        <v>481</v>
      </c>
    </row>
    <row r="29">
      <c r="A29" s="8">
        <f>IFERROR(__xludf.DUMMYFUNCTION("IF(E29="""", """", VALUE(REGEXREPLACE(E29, ""^[Pp]"", """")))"),16.0)</f>
        <v>16</v>
      </c>
      <c r="B29" s="8">
        <v>616.0</v>
      </c>
      <c r="C29" s="7">
        <v>45868.27222222222</v>
      </c>
      <c r="D29" s="5" t="s">
        <v>491</v>
      </c>
      <c r="E29" s="5" t="s">
        <v>428</v>
      </c>
      <c r="F29" s="5" t="s">
        <v>263</v>
      </c>
      <c r="G29" s="5">
        <v>2.0</v>
      </c>
      <c r="H29" s="5">
        <v>1.0</v>
      </c>
      <c r="I29" s="5" t="s">
        <v>199</v>
      </c>
      <c r="J29" s="5">
        <v>5.0</v>
      </c>
      <c r="K29" s="5">
        <v>4.0</v>
      </c>
      <c r="L29" s="5">
        <v>2.0</v>
      </c>
      <c r="M29" s="5">
        <v>2.0</v>
      </c>
      <c r="N29" s="5">
        <v>6.0</v>
      </c>
      <c r="O29" s="5">
        <v>5.0</v>
      </c>
      <c r="P29" s="5">
        <v>6.0</v>
      </c>
      <c r="Q29" s="5">
        <v>6.0</v>
      </c>
      <c r="R29" s="5">
        <v>2.0</v>
      </c>
      <c r="S29" s="5">
        <v>6.0</v>
      </c>
      <c r="T29" s="5">
        <v>5.0</v>
      </c>
      <c r="U29" s="5">
        <v>5.0</v>
      </c>
      <c r="V29" s="5">
        <f t="shared" si="1"/>
        <v>3</v>
      </c>
      <c r="W29" s="5" t="s">
        <v>492</v>
      </c>
      <c r="X29" s="5" t="s">
        <v>206</v>
      </c>
      <c r="Y29" s="5">
        <v>2.0</v>
      </c>
      <c r="Z29" s="5">
        <v>2.0</v>
      </c>
      <c r="AA29" s="5">
        <v>2.0</v>
      </c>
      <c r="AB29" s="5">
        <v>2.0</v>
      </c>
      <c r="AC29" s="5">
        <v>7.0</v>
      </c>
      <c r="AD29" s="5">
        <v>1.0</v>
      </c>
      <c r="AE29" s="5" t="s">
        <v>493</v>
      </c>
      <c r="AF29" s="5" t="s">
        <v>206</v>
      </c>
      <c r="AG29" s="5">
        <v>6.0</v>
      </c>
      <c r="AH29" s="5">
        <v>2.0</v>
      </c>
      <c r="AI29" s="5">
        <v>3.0</v>
      </c>
      <c r="AJ29" s="5">
        <v>7.0</v>
      </c>
      <c r="AK29" s="5">
        <f t="shared" si="2"/>
        <v>1</v>
      </c>
      <c r="AL29" s="5">
        <v>7.0</v>
      </c>
      <c r="AM29" s="5">
        <f t="shared" si="3"/>
        <v>1</v>
      </c>
      <c r="AN29" s="5">
        <v>7.0</v>
      </c>
      <c r="AO29" s="5">
        <f t="shared" si="4"/>
        <v>1</v>
      </c>
      <c r="AP29" s="5">
        <v>6.0</v>
      </c>
      <c r="AQ29" s="5">
        <f t="shared" si="5"/>
        <v>2</v>
      </c>
      <c r="AR29" s="5" t="s">
        <v>494</v>
      </c>
    </row>
    <row r="30">
      <c r="A30" s="8">
        <f>IFERROR(__xludf.DUMMYFUNCTION("IF(E30="""", """", VALUE(REGEXREPLACE(E30, ""^[Pp]"", """")))"),17.0)</f>
        <v>17</v>
      </c>
      <c r="B30" s="8">
        <v>1034.0</v>
      </c>
      <c r="C30" s="7">
        <v>45868.16805555556</v>
      </c>
      <c r="D30" s="5" t="s">
        <v>432</v>
      </c>
      <c r="E30" s="5" t="s">
        <v>433</v>
      </c>
      <c r="F30" s="5" t="s">
        <v>216</v>
      </c>
      <c r="G30" s="5">
        <v>3.0</v>
      </c>
      <c r="H30" s="5">
        <v>2.0</v>
      </c>
      <c r="I30" s="5" t="s">
        <v>199</v>
      </c>
      <c r="J30" s="5">
        <v>5.0</v>
      </c>
      <c r="K30" s="5">
        <v>4.0</v>
      </c>
      <c r="L30" s="5">
        <v>2.0</v>
      </c>
      <c r="M30" s="5">
        <v>2.0</v>
      </c>
      <c r="N30" s="5">
        <v>2.0</v>
      </c>
      <c r="O30" s="5">
        <v>6.0</v>
      </c>
      <c r="P30" s="5">
        <v>6.0</v>
      </c>
      <c r="Q30" s="5">
        <v>3.0</v>
      </c>
      <c r="R30" s="5">
        <v>2.0</v>
      </c>
      <c r="S30" s="5">
        <v>2.0</v>
      </c>
      <c r="T30" s="5">
        <v>6.0</v>
      </c>
      <c r="U30" s="5">
        <v>6.0</v>
      </c>
      <c r="V30" s="5">
        <f t="shared" si="1"/>
        <v>2</v>
      </c>
      <c r="W30" s="5" t="s">
        <v>434</v>
      </c>
      <c r="X30" s="5" t="s">
        <v>206</v>
      </c>
      <c r="Y30" s="5">
        <v>6.0</v>
      </c>
      <c r="Z30" s="5">
        <v>4.0</v>
      </c>
      <c r="AA30" s="5">
        <v>3.0</v>
      </c>
      <c r="AB30" s="5">
        <v>6.0</v>
      </c>
      <c r="AC30" s="5">
        <v>4.0</v>
      </c>
      <c r="AD30" s="5">
        <v>2.0</v>
      </c>
      <c r="AE30" s="5" t="s">
        <v>435</v>
      </c>
      <c r="AF30" s="5" t="s">
        <v>206</v>
      </c>
      <c r="AG30" s="5">
        <v>6.0</v>
      </c>
      <c r="AH30" s="5">
        <v>5.0</v>
      </c>
      <c r="AI30" s="5">
        <v>3.0</v>
      </c>
      <c r="AJ30" s="5">
        <v>2.0</v>
      </c>
      <c r="AK30" s="5">
        <f t="shared" si="2"/>
        <v>6</v>
      </c>
      <c r="AL30" s="5">
        <v>2.0</v>
      </c>
      <c r="AM30" s="5">
        <f t="shared" si="3"/>
        <v>6</v>
      </c>
      <c r="AN30" s="5">
        <v>1.0</v>
      </c>
      <c r="AO30" s="5">
        <f t="shared" si="4"/>
        <v>7</v>
      </c>
      <c r="AP30" s="5">
        <v>1.0</v>
      </c>
      <c r="AQ30" s="5">
        <f t="shared" si="5"/>
        <v>7</v>
      </c>
      <c r="AR30" s="11" t="s">
        <v>436</v>
      </c>
    </row>
    <row r="31">
      <c r="A31" s="8">
        <f>IFERROR(__xludf.DUMMYFUNCTION("IF(E31="""", """", VALUE(REGEXREPLACE(E31, ""^[Pp]"", """")))"),17.0)</f>
        <v>17</v>
      </c>
      <c r="B31" s="8">
        <v>1006.0</v>
      </c>
      <c r="C31" s="7">
        <v>45868.180555555555</v>
      </c>
      <c r="D31" s="5" t="s">
        <v>437</v>
      </c>
      <c r="E31" s="5" t="s">
        <v>433</v>
      </c>
      <c r="F31" s="5" t="s">
        <v>211</v>
      </c>
      <c r="G31" s="5">
        <v>2.0</v>
      </c>
      <c r="H31" s="5">
        <v>5.0</v>
      </c>
      <c r="I31" s="5" t="s">
        <v>199</v>
      </c>
      <c r="J31" s="5">
        <v>6.0</v>
      </c>
      <c r="K31" s="5">
        <v>5.0</v>
      </c>
      <c r="L31" s="5">
        <v>4.0</v>
      </c>
      <c r="M31" s="5">
        <v>5.0</v>
      </c>
      <c r="N31" s="5">
        <v>5.0</v>
      </c>
      <c r="O31" s="5">
        <v>7.0</v>
      </c>
      <c r="P31" s="5">
        <v>6.0</v>
      </c>
      <c r="Q31" s="5">
        <v>3.0</v>
      </c>
      <c r="R31" s="5">
        <v>5.0</v>
      </c>
      <c r="S31" s="5">
        <v>5.0</v>
      </c>
      <c r="T31" s="5">
        <v>6.0</v>
      </c>
      <c r="U31" s="5">
        <v>6.0</v>
      </c>
      <c r="V31" s="5">
        <f t="shared" si="1"/>
        <v>2</v>
      </c>
      <c r="W31" s="11" t="s">
        <v>438</v>
      </c>
      <c r="X31" s="5" t="s">
        <v>206</v>
      </c>
      <c r="Y31" s="5">
        <v>6.0</v>
      </c>
      <c r="Z31" s="5">
        <v>4.0</v>
      </c>
      <c r="AA31" s="5">
        <v>5.0</v>
      </c>
      <c r="AB31" s="5">
        <v>5.0</v>
      </c>
      <c r="AC31" s="5">
        <v>5.0</v>
      </c>
      <c r="AD31" s="5">
        <v>6.0</v>
      </c>
      <c r="AE31" s="11" t="s">
        <v>439</v>
      </c>
      <c r="AF31" s="5" t="s">
        <v>206</v>
      </c>
      <c r="AG31" s="5">
        <v>5.0</v>
      </c>
      <c r="AH31" s="5">
        <v>6.0</v>
      </c>
      <c r="AI31" s="5">
        <v>7.0</v>
      </c>
      <c r="AJ31" s="5">
        <v>1.0</v>
      </c>
      <c r="AK31" s="5">
        <f t="shared" si="2"/>
        <v>7</v>
      </c>
      <c r="AL31" s="5">
        <v>2.0</v>
      </c>
      <c r="AM31" s="5">
        <f t="shared" si="3"/>
        <v>6</v>
      </c>
      <c r="AN31" s="5">
        <v>1.0</v>
      </c>
      <c r="AO31" s="5">
        <f t="shared" si="4"/>
        <v>7</v>
      </c>
      <c r="AP31" s="5">
        <v>1.0</v>
      </c>
      <c r="AQ31" s="5">
        <f t="shared" si="5"/>
        <v>7</v>
      </c>
      <c r="AR31" s="5" t="s">
        <v>440</v>
      </c>
    </row>
    <row r="32">
      <c r="A32" s="8">
        <f>IFERROR(__xludf.DUMMYFUNCTION("IF(E32="""", """", VALUE(REGEXREPLACE(E32, ""^[Pp]"", """")))"),17.0)</f>
        <v>17</v>
      </c>
      <c r="B32" s="8">
        <v>1471.0</v>
      </c>
      <c r="C32" s="7">
        <v>45868.20138888889</v>
      </c>
      <c r="D32" s="5" t="s">
        <v>450</v>
      </c>
      <c r="E32" s="5" t="s">
        <v>433</v>
      </c>
      <c r="F32" s="5" t="s">
        <v>197</v>
      </c>
      <c r="G32" s="5">
        <v>6.0</v>
      </c>
      <c r="H32" s="5">
        <v>6.0</v>
      </c>
      <c r="I32" s="5" t="s">
        <v>199</v>
      </c>
      <c r="J32" s="5">
        <v>6.0</v>
      </c>
      <c r="K32" s="5">
        <v>7.0</v>
      </c>
      <c r="L32" s="5">
        <v>7.0</v>
      </c>
      <c r="M32" s="5">
        <v>6.0</v>
      </c>
      <c r="N32" s="5">
        <v>4.0</v>
      </c>
      <c r="O32" s="5">
        <v>6.0</v>
      </c>
      <c r="P32" s="5">
        <v>6.0</v>
      </c>
      <c r="Q32" s="5">
        <v>6.0</v>
      </c>
      <c r="R32" s="5">
        <v>6.0</v>
      </c>
      <c r="S32" s="5">
        <v>5.0</v>
      </c>
      <c r="T32" s="5">
        <v>7.0</v>
      </c>
      <c r="U32" s="5">
        <v>6.0</v>
      </c>
      <c r="V32" s="5">
        <f t="shared" si="1"/>
        <v>2</v>
      </c>
      <c r="W32" s="11" t="s">
        <v>451</v>
      </c>
      <c r="X32" s="5" t="s">
        <v>206</v>
      </c>
      <c r="Y32" s="5">
        <v>6.0</v>
      </c>
      <c r="Z32" s="5">
        <v>6.0</v>
      </c>
      <c r="AA32" s="5">
        <v>6.0</v>
      </c>
      <c r="AB32" s="5">
        <v>5.0</v>
      </c>
      <c r="AC32" s="5">
        <v>5.0</v>
      </c>
      <c r="AD32" s="5">
        <v>6.0</v>
      </c>
      <c r="AE32" s="5" t="s">
        <v>452</v>
      </c>
      <c r="AF32" s="5" t="s">
        <v>206</v>
      </c>
      <c r="AG32" s="5">
        <v>6.0</v>
      </c>
      <c r="AH32" s="5">
        <v>2.0</v>
      </c>
      <c r="AI32" s="5">
        <v>7.0</v>
      </c>
      <c r="AJ32" s="5">
        <v>2.0</v>
      </c>
      <c r="AK32" s="5">
        <f t="shared" si="2"/>
        <v>6</v>
      </c>
      <c r="AL32" s="5">
        <v>2.0</v>
      </c>
      <c r="AM32" s="5">
        <f t="shared" si="3"/>
        <v>6</v>
      </c>
      <c r="AN32" s="5">
        <v>5.0</v>
      </c>
      <c r="AO32" s="5">
        <f t="shared" si="4"/>
        <v>3</v>
      </c>
      <c r="AP32" s="5">
        <v>6.0</v>
      </c>
      <c r="AQ32" s="5">
        <f t="shared" si="5"/>
        <v>2</v>
      </c>
      <c r="AR32" s="11" t="s">
        <v>453</v>
      </c>
    </row>
    <row r="33">
      <c r="A33" s="8">
        <f>IFERROR(__xludf.DUMMYFUNCTION("IF(E33="""", """", VALUE(REGEXREPLACE(E33, ""^[Pp]"", """")))"),17.0)</f>
        <v>17</v>
      </c>
      <c r="B33" s="8">
        <v>746.0</v>
      </c>
      <c r="C33" s="7">
        <v>45868.21597222222</v>
      </c>
      <c r="D33" s="5" t="s">
        <v>462</v>
      </c>
      <c r="E33" s="5" t="s">
        <v>433</v>
      </c>
      <c r="F33" s="5" t="s">
        <v>263</v>
      </c>
      <c r="G33" s="5">
        <v>6.0</v>
      </c>
      <c r="H33" s="5">
        <v>5.0</v>
      </c>
      <c r="I33" s="5" t="s">
        <v>199</v>
      </c>
      <c r="J33" s="5">
        <v>6.0</v>
      </c>
      <c r="K33" s="5">
        <v>7.0</v>
      </c>
      <c r="L33" s="5">
        <v>6.0</v>
      </c>
      <c r="M33" s="5">
        <v>6.0</v>
      </c>
      <c r="N33" s="5">
        <v>5.0</v>
      </c>
      <c r="O33" s="5">
        <v>6.0</v>
      </c>
      <c r="P33" s="5">
        <v>6.0</v>
      </c>
      <c r="Q33" s="5">
        <v>6.0</v>
      </c>
      <c r="R33" s="5">
        <v>2.0</v>
      </c>
      <c r="S33" s="5">
        <v>3.0</v>
      </c>
      <c r="T33" s="5">
        <v>5.0</v>
      </c>
      <c r="U33" s="5">
        <v>6.0</v>
      </c>
      <c r="V33" s="5">
        <f t="shared" si="1"/>
        <v>2</v>
      </c>
      <c r="W33" s="11" t="s">
        <v>463</v>
      </c>
      <c r="X33" s="5" t="s">
        <v>206</v>
      </c>
      <c r="Y33" s="5">
        <v>6.0</v>
      </c>
      <c r="Z33" s="5">
        <v>6.0</v>
      </c>
      <c r="AA33" s="5">
        <v>6.0</v>
      </c>
      <c r="AB33" s="5">
        <v>5.0</v>
      </c>
      <c r="AC33" s="5">
        <v>5.0</v>
      </c>
      <c r="AD33" s="5">
        <v>6.0</v>
      </c>
      <c r="AE33" s="5" t="s">
        <v>464</v>
      </c>
      <c r="AF33" s="5" t="s">
        <v>206</v>
      </c>
      <c r="AG33" s="5">
        <v>6.0</v>
      </c>
      <c r="AH33" s="5">
        <v>5.0</v>
      </c>
      <c r="AI33" s="5">
        <v>7.0</v>
      </c>
      <c r="AJ33" s="5">
        <v>2.0</v>
      </c>
      <c r="AK33" s="5">
        <f t="shared" si="2"/>
        <v>6</v>
      </c>
      <c r="AL33" s="5">
        <v>2.0</v>
      </c>
      <c r="AM33" s="5">
        <f t="shared" si="3"/>
        <v>6</v>
      </c>
      <c r="AN33" s="5">
        <v>6.0</v>
      </c>
      <c r="AO33" s="5">
        <f t="shared" si="4"/>
        <v>2</v>
      </c>
      <c r="AP33" s="5">
        <v>5.0</v>
      </c>
      <c r="AQ33" s="5">
        <f t="shared" si="5"/>
        <v>3</v>
      </c>
      <c r="AR33" s="11" t="s">
        <v>465</v>
      </c>
    </row>
    <row r="34">
      <c r="A34" s="8">
        <f>IFERROR(__xludf.DUMMYFUNCTION("IF(E34="""", """", VALUE(REGEXREPLACE(E34, ""^[Pp]"", """")))"),18.0)</f>
        <v>18</v>
      </c>
      <c r="B34" s="8">
        <v>961.0</v>
      </c>
      <c r="C34" s="7">
        <v>45868.183333333334</v>
      </c>
      <c r="D34" s="5" t="s">
        <v>441</v>
      </c>
      <c r="E34" s="5" t="s">
        <v>442</v>
      </c>
      <c r="F34" s="5" t="s">
        <v>197</v>
      </c>
      <c r="G34" s="5">
        <v>3.0</v>
      </c>
      <c r="H34" s="5">
        <v>5.0</v>
      </c>
      <c r="I34" s="5" t="s">
        <v>199</v>
      </c>
      <c r="J34" s="5">
        <v>3.0</v>
      </c>
      <c r="K34" s="5">
        <v>5.0</v>
      </c>
      <c r="L34" s="5">
        <v>5.0</v>
      </c>
      <c r="M34" s="5">
        <v>6.0</v>
      </c>
      <c r="N34" s="5">
        <v>6.0</v>
      </c>
      <c r="O34" s="5">
        <v>6.0</v>
      </c>
      <c r="P34" s="5">
        <v>6.0</v>
      </c>
      <c r="Q34" s="5">
        <v>6.0</v>
      </c>
      <c r="R34" s="5">
        <v>4.0</v>
      </c>
      <c r="S34" s="5">
        <v>5.0</v>
      </c>
      <c r="T34" s="5">
        <v>6.0</v>
      </c>
      <c r="U34" s="5">
        <v>4.0</v>
      </c>
      <c r="V34" s="5">
        <f t="shared" si="1"/>
        <v>4</v>
      </c>
      <c r="W34" s="5" t="s">
        <v>443</v>
      </c>
      <c r="X34" s="5" t="s">
        <v>206</v>
      </c>
      <c r="Y34" s="5">
        <v>3.0</v>
      </c>
      <c r="Z34" s="5">
        <v>3.0</v>
      </c>
      <c r="AA34" s="5">
        <v>3.0</v>
      </c>
      <c r="AB34" s="5">
        <v>3.0</v>
      </c>
      <c r="AC34" s="5">
        <v>4.0</v>
      </c>
      <c r="AD34" s="5">
        <v>5.0</v>
      </c>
      <c r="AE34" s="5" t="s">
        <v>444</v>
      </c>
      <c r="AF34" s="5" t="s">
        <v>206</v>
      </c>
      <c r="AG34" s="5">
        <v>4.0</v>
      </c>
      <c r="AH34" s="5">
        <v>5.0</v>
      </c>
      <c r="AI34" s="5">
        <v>5.0</v>
      </c>
      <c r="AJ34" s="5">
        <v>2.0</v>
      </c>
      <c r="AK34" s="5">
        <f t="shared" si="2"/>
        <v>6</v>
      </c>
      <c r="AL34" s="5">
        <v>3.0</v>
      </c>
      <c r="AM34" s="5">
        <f t="shared" si="3"/>
        <v>5</v>
      </c>
      <c r="AN34" s="5">
        <v>5.0</v>
      </c>
      <c r="AO34" s="5">
        <f t="shared" si="4"/>
        <v>3</v>
      </c>
      <c r="AP34" s="5">
        <v>3.0</v>
      </c>
      <c r="AQ34" s="5">
        <f t="shared" si="5"/>
        <v>5</v>
      </c>
      <c r="AR34" s="5" t="s">
        <v>445</v>
      </c>
    </row>
    <row r="35">
      <c r="A35" s="8">
        <f>IFERROR(__xludf.DUMMYFUNCTION("IF(E35="""", """", VALUE(REGEXREPLACE(E35, ""^[Pp]"", """")))"),18.0)</f>
        <v>18</v>
      </c>
      <c r="B35" s="8">
        <v>829.0</v>
      </c>
      <c r="C35" s="7">
        <v>45868.19375</v>
      </c>
      <c r="D35" s="5" t="s">
        <v>446</v>
      </c>
      <c r="E35" s="5" t="s">
        <v>442</v>
      </c>
      <c r="F35" s="5" t="s">
        <v>197</v>
      </c>
      <c r="G35" s="5">
        <v>5.0</v>
      </c>
      <c r="H35" s="5">
        <v>3.0</v>
      </c>
      <c r="I35" s="5" t="s">
        <v>199</v>
      </c>
      <c r="J35" s="5">
        <v>4.0</v>
      </c>
      <c r="K35" s="5">
        <v>5.0</v>
      </c>
      <c r="L35" s="5">
        <v>7.0</v>
      </c>
      <c r="M35" s="5">
        <v>6.0</v>
      </c>
      <c r="N35" s="5">
        <v>7.0</v>
      </c>
      <c r="O35" s="5">
        <v>7.0</v>
      </c>
      <c r="P35" s="5">
        <v>6.0</v>
      </c>
      <c r="Q35" s="5">
        <v>6.0</v>
      </c>
      <c r="R35" s="5">
        <v>3.0</v>
      </c>
      <c r="S35" s="5">
        <v>5.0</v>
      </c>
      <c r="T35" s="5">
        <v>5.0</v>
      </c>
      <c r="U35" s="5">
        <v>5.0</v>
      </c>
      <c r="V35" s="5">
        <f t="shared" si="1"/>
        <v>3</v>
      </c>
      <c r="W35" s="5" t="s">
        <v>447</v>
      </c>
      <c r="X35" s="5" t="s">
        <v>206</v>
      </c>
      <c r="Y35" s="5">
        <v>5.0</v>
      </c>
      <c r="Z35" s="5">
        <v>5.0</v>
      </c>
      <c r="AA35" s="5">
        <v>4.0</v>
      </c>
      <c r="AB35" s="5">
        <v>5.0</v>
      </c>
      <c r="AC35" s="5">
        <v>3.0</v>
      </c>
      <c r="AD35" s="5">
        <v>5.0</v>
      </c>
      <c r="AE35" s="5" t="s">
        <v>448</v>
      </c>
      <c r="AF35" s="5" t="s">
        <v>206</v>
      </c>
      <c r="AG35" s="5">
        <v>6.0</v>
      </c>
      <c r="AH35" s="5">
        <v>6.0</v>
      </c>
      <c r="AI35" s="5">
        <v>6.0</v>
      </c>
      <c r="AJ35" s="5">
        <v>2.0</v>
      </c>
      <c r="AK35" s="5">
        <f t="shared" si="2"/>
        <v>6</v>
      </c>
      <c r="AL35" s="5">
        <v>1.0</v>
      </c>
      <c r="AM35" s="5">
        <f t="shared" si="3"/>
        <v>7</v>
      </c>
      <c r="AN35" s="5">
        <v>2.0</v>
      </c>
      <c r="AO35" s="5">
        <f t="shared" si="4"/>
        <v>6</v>
      </c>
      <c r="AP35" s="5">
        <v>1.0</v>
      </c>
      <c r="AQ35" s="5">
        <f t="shared" si="5"/>
        <v>7</v>
      </c>
      <c r="AR35" s="5" t="s">
        <v>449</v>
      </c>
    </row>
    <row r="36">
      <c r="A36" s="8">
        <f>IFERROR(__xludf.DUMMYFUNCTION("IF(E36="""", """", VALUE(REGEXREPLACE(E36, ""^[Pp]"", """")))"),18.0)</f>
        <v>18</v>
      </c>
      <c r="B36" s="8">
        <v>626.0</v>
      </c>
      <c r="C36" s="7">
        <v>45868.20208333333</v>
      </c>
      <c r="D36" s="5" t="s">
        <v>454</v>
      </c>
      <c r="E36" s="5" t="s">
        <v>442</v>
      </c>
      <c r="F36" s="5" t="s">
        <v>216</v>
      </c>
      <c r="G36" s="5">
        <v>5.0</v>
      </c>
      <c r="H36" s="5">
        <v>5.0</v>
      </c>
      <c r="I36" s="5" t="s">
        <v>199</v>
      </c>
      <c r="J36" s="5">
        <v>5.0</v>
      </c>
      <c r="K36" s="5">
        <v>5.0</v>
      </c>
      <c r="L36" s="5">
        <v>6.0</v>
      </c>
      <c r="M36" s="5">
        <v>5.0</v>
      </c>
      <c r="N36" s="5">
        <v>5.0</v>
      </c>
      <c r="O36" s="5">
        <v>5.0</v>
      </c>
      <c r="P36" s="5">
        <v>5.0</v>
      </c>
      <c r="Q36" s="5">
        <v>5.0</v>
      </c>
      <c r="R36" s="5">
        <v>4.0</v>
      </c>
      <c r="S36" s="5">
        <v>3.0</v>
      </c>
      <c r="T36" s="5">
        <v>5.0</v>
      </c>
      <c r="U36" s="5">
        <v>2.0</v>
      </c>
      <c r="V36" s="5">
        <f t="shared" si="1"/>
        <v>6</v>
      </c>
      <c r="W36" s="5" t="s">
        <v>455</v>
      </c>
      <c r="X36" s="5" t="s">
        <v>206</v>
      </c>
      <c r="Y36" s="5">
        <v>5.0</v>
      </c>
      <c r="Z36" s="5">
        <v>5.0</v>
      </c>
      <c r="AA36" s="5">
        <v>5.0</v>
      </c>
      <c r="AB36" s="5">
        <v>6.0</v>
      </c>
      <c r="AC36" s="5">
        <v>6.0</v>
      </c>
      <c r="AD36" s="5">
        <v>6.0</v>
      </c>
      <c r="AE36" s="5" t="s">
        <v>456</v>
      </c>
      <c r="AF36" s="5" t="s">
        <v>206</v>
      </c>
      <c r="AG36" s="5">
        <v>6.0</v>
      </c>
      <c r="AH36" s="5">
        <v>6.0</v>
      </c>
      <c r="AI36" s="5">
        <v>6.0</v>
      </c>
      <c r="AJ36" s="5">
        <v>2.0</v>
      </c>
      <c r="AK36" s="5">
        <f t="shared" si="2"/>
        <v>6</v>
      </c>
      <c r="AL36" s="5">
        <v>2.0</v>
      </c>
      <c r="AM36" s="5">
        <f t="shared" si="3"/>
        <v>6</v>
      </c>
      <c r="AN36" s="5">
        <v>2.0</v>
      </c>
      <c r="AO36" s="5">
        <f t="shared" si="4"/>
        <v>6</v>
      </c>
      <c r="AP36" s="5">
        <v>2.0</v>
      </c>
      <c r="AQ36" s="5">
        <f t="shared" si="5"/>
        <v>6</v>
      </c>
      <c r="AR36" s="5" t="s">
        <v>457</v>
      </c>
    </row>
    <row r="37">
      <c r="A37" s="8">
        <f>IFERROR(__xludf.DUMMYFUNCTION("IF(E37="""", """", VALUE(REGEXREPLACE(E37, ""^[Pp]"", """")))"),18.0)</f>
        <v>18</v>
      </c>
      <c r="B37" s="8">
        <v>319.0</v>
      </c>
      <c r="C37" s="7">
        <v>45868.21527777778</v>
      </c>
      <c r="D37" s="5" t="s">
        <v>458</v>
      </c>
      <c r="E37" s="5" t="s">
        <v>442</v>
      </c>
      <c r="F37" s="5" t="s">
        <v>263</v>
      </c>
      <c r="G37" s="5">
        <v>5.0</v>
      </c>
      <c r="H37" s="5">
        <v>5.0</v>
      </c>
      <c r="I37" s="5" t="s">
        <v>199</v>
      </c>
      <c r="J37" s="5">
        <v>6.0</v>
      </c>
      <c r="K37" s="5">
        <v>5.0</v>
      </c>
      <c r="L37" s="5">
        <v>5.0</v>
      </c>
      <c r="M37" s="5">
        <v>6.0</v>
      </c>
      <c r="N37" s="5">
        <v>6.0</v>
      </c>
      <c r="O37" s="5">
        <v>6.0</v>
      </c>
      <c r="P37" s="5">
        <v>6.0</v>
      </c>
      <c r="Q37" s="5">
        <v>6.0</v>
      </c>
      <c r="R37" s="5">
        <v>5.0</v>
      </c>
      <c r="S37" s="5">
        <v>4.0</v>
      </c>
      <c r="T37" s="5">
        <v>6.0</v>
      </c>
      <c r="U37" s="5">
        <v>4.0</v>
      </c>
      <c r="V37" s="5">
        <f t="shared" si="1"/>
        <v>4</v>
      </c>
      <c r="W37" s="5" t="s">
        <v>459</v>
      </c>
      <c r="X37" s="5" t="s">
        <v>206</v>
      </c>
      <c r="Y37" s="5">
        <v>6.0</v>
      </c>
      <c r="Z37" s="5">
        <v>6.0</v>
      </c>
      <c r="AA37" s="5">
        <v>6.0</v>
      </c>
      <c r="AB37" s="5">
        <v>4.0</v>
      </c>
      <c r="AC37" s="5">
        <v>6.0</v>
      </c>
      <c r="AD37" s="5">
        <v>6.0</v>
      </c>
      <c r="AE37" s="5" t="s">
        <v>460</v>
      </c>
      <c r="AF37" s="5" t="s">
        <v>206</v>
      </c>
      <c r="AG37" s="5">
        <v>5.0</v>
      </c>
      <c r="AH37" s="5">
        <v>5.0</v>
      </c>
      <c r="AI37" s="5">
        <v>4.0</v>
      </c>
      <c r="AJ37" s="5">
        <v>3.0</v>
      </c>
      <c r="AK37" s="5">
        <f t="shared" si="2"/>
        <v>5</v>
      </c>
      <c r="AL37" s="5">
        <v>3.0</v>
      </c>
      <c r="AM37" s="5">
        <f t="shared" si="3"/>
        <v>5</v>
      </c>
      <c r="AN37" s="5">
        <v>5.0</v>
      </c>
      <c r="AO37" s="5">
        <f t="shared" si="4"/>
        <v>3</v>
      </c>
      <c r="AP37" s="5">
        <v>5.0</v>
      </c>
      <c r="AQ37" s="5">
        <f t="shared" si="5"/>
        <v>3</v>
      </c>
      <c r="AR37" s="5" t="s">
        <v>461</v>
      </c>
    </row>
    <row r="38">
      <c r="A38" s="8">
        <f>IFERROR(__xludf.DUMMYFUNCTION("IF(E38="""", """", VALUE(REGEXREPLACE(E38, ""^[Pp]"", """")))"),19.0)</f>
        <v>19</v>
      </c>
      <c r="B38" s="8">
        <v>723.0</v>
      </c>
      <c r="C38" s="7">
        <v>45868.2375</v>
      </c>
      <c r="D38" s="5" t="s">
        <v>469</v>
      </c>
      <c r="E38" s="5" t="s">
        <v>470</v>
      </c>
      <c r="F38" s="5" t="s">
        <v>197</v>
      </c>
      <c r="G38" s="5">
        <v>5.0</v>
      </c>
      <c r="H38" s="5">
        <v>6.0</v>
      </c>
      <c r="I38" s="5" t="s">
        <v>199</v>
      </c>
      <c r="J38" s="5">
        <v>6.0</v>
      </c>
      <c r="K38" s="5">
        <v>6.0</v>
      </c>
      <c r="L38" s="5">
        <v>6.0</v>
      </c>
      <c r="M38" s="5">
        <v>6.0</v>
      </c>
      <c r="N38" s="5">
        <v>5.0</v>
      </c>
      <c r="O38" s="5">
        <v>6.0</v>
      </c>
      <c r="P38" s="5">
        <v>6.0</v>
      </c>
      <c r="Q38" s="5">
        <v>6.0</v>
      </c>
      <c r="R38" s="5">
        <v>4.0</v>
      </c>
      <c r="S38" s="5">
        <v>4.0</v>
      </c>
      <c r="T38" s="5">
        <v>5.0</v>
      </c>
      <c r="U38" s="5">
        <v>5.0</v>
      </c>
      <c r="V38" s="5">
        <f t="shared" si="1"/>
        <v>3</v>
      </c>
      <c r="W38" s="5" t="s">
        <v>471</v>
      </c>
      <c r="X38" s="5" t="s">
        <v>206</v>
      </c>
      <c r="Y38" s="5">
        <v>4.0</v>
      </c>
      <c r="Z38" s="5">
        <v>4.0</v>
      </c>
      <c r="AA38" s="5">
        <v>5.0</v>
      </c>
      <c r="AB38" s="5">
        <v>6.0</v>
      </c>
      <c r="AC38" s="5">
        <v>5.0</v>
      </c>
      <c r="AD38" s="5">
        <v>6.0</v>
      </c>
      <c r="AE38" s="5" t="s">
        <v>472</v>
      </c>
      <c r="AF38" s="5" t="s">
        <v>206</v>
      </c>
      <c r="AG38" s="5">
        <v>5.0</v>
      </c>
      <c r="AH38" s="5">
        <v>6.0</v>
      </c>
      <c r="AI38" s="5">
        <v>6.0</v>
      </c>
      <c r="AJ38" s="5">
        <v>5.0</v>
      </c>
      <c r="AK38" s="5">
        <f t="shared" si="2"/>
        <v>3</v>
      </c>
      <c r="AL38" s="5">
        <v>5.0</v>
      </c>
      <c r="AM38" s="5">
        <f t="shared" si="3"/>
        <v>3</v>
      </c>
      <c r="AN38" s="5">
        <v>7.0</v>
      </c>
      <c r="AO38" s="5">
        <f t="shared" si="4"/>
        <v>1</v>
      </c>
      <c r="AP38" s="5">
        <v>2.0</v>
      </c>
      <c r="AQ38" s="5">
        <f t="shared" si="5"/>
        <v>6</v>
      </c>
      <c r="AR38" s="5" t="s">
        <v>473</v>
      </c>
    </row>
    <row r="39">
      <c r="A39" s="8">
        <f>IFERROR(__xludf.DUMMYFUNCTION("IF(E39="""", """", VALUE(REGEXREPLACE(E39, ""^[Pp]"", """")))"),19.0)</f>
        <v>19</v>
      </c>
      <c r="B39" s="8">
        <v>488.0</v>
      </c>
      <c r="C39" s="7">
        <v>45868.24930555555</v>
      </c>
      <c r="D39" s="5" t="s">
        <v>474</v>
      </c>
      <c r="E39" s="5" t="s">
        <v>470</v>
      </c>
      <c r="F39" s="5" t="s">
        <v>263</v>
      </c>
      <c r="G39" s="5">
        <v>6.0</v>
      </c>
      <c r="H39" s="5">
        <v>6.0</v>
      </c>
      <c r="I39" s="5" t="s">
        <v>199</v>
      </c>
      <c r="J39" s="5">
        <v>6.0</v>
      </c>
      <c r="K39" s="5">
        <v>5.0</v>
      </c>
      <c r="L39" s="5">
        <v>6.0</v>
      </c>
      <c r="M39" s="5">
        <v>6.0</v>
      </c>
      <c r="N39" s="5">
        <v>6.0</v>
      </c>
      <c r="O39" s="5">
        <v>6.0</v>
      </c>
      <c r="P39" s="5">
        <v>7.0</v>
      </c>
      <c r="Q39" s="5">
        <v>6.0</v>
      </c>
      <c r="R39" s="5">
        <v>6.0</v>
      </c>
      <c r="S39" s="5">
        <v>5.0</v>
      </c>
      <c r="T39" s="5">
        <v>6.0</v>
      </c>
      <c r="U39" s="5">
        <v>7.0</v>
      </c>
      <c r="V39" s="5">
        <f t="shared" si="1"/>
        <v>1</v>
      </c>
      <c r="W39" s="5" t="s">
        <v>475</v>
      </c>
      <c r="X39" s="5" t="s">
        <v>206</v>
      </c>
      <c r="Y39" s="5">
        <v>6.0</v>
      </c>
      <c r="Z39" s="5">
        <v>5.0</v>
      </c>
      <c r="AA39" s="5">
        <v>6.0</v>
      </c>
      <c r="AB39" s="5">
        <v>5.0</v>
      </c>
      <c r="AC39" s="5">
        <v>5.0</v>
      </c>
      <c r="AD39" s="5">
        <v>5.0</v>
      </c>
      <c r="AE39" s="5" t="s">
        <v>476</v>
      </c>
      <c r="AF39" s="5" t="s">
        <v>206</v>
      </c>
      <c r="AG39" s="5">
        <v>6.0</v>
      </c>
      <c r="AH39" s="5">
        <v>6.0</v>
      </c>
      <c r="AI39" s="5">
        <v>6.0</v>
      </c>
      <c r="AJ39" s="5">
        <v>5.0</v>
      </c>
      <c r="AK39" s="5">
        <f t="shared" si="2"/>
        <v>3</v>
      </c>
      <c r="AL39" s="5">
        <v>5.0</v>
      </c>
      <c r="AM39" s="5">
        <f t="shared" si="3"/>
        <v>3</v>
      </c>
      <c r="AN39" s="5">
        <v>6.0</v>
      </c>
      <c r="AO39" s="5">
        <f t="shared" si="4"/>
        <v>2</v>
      </c>
      <c r="AP39" s="5">
        <v>4.0</v>
      </c>
      <c r="AQ39" s="5">
        <f t="shared" si="5"/>
        <v>4</v>
      </c>
      <c r="AR39" s="5" t="s">
        <v>477</v>
      </c>
    </row>
    <row r="40">
      <c r="A40" s="8">
        <f>IFERROR(__xludf.DUMMYFUNCTION("IF(E40="""", """", VALUE(REGEXREPLACE(E40, ""^[Pp]"", """")))"),19.0)</f>
        <v>19</v>
      </c>
      <c r="B40" s="8">
        <v>735.0</v>
      </c>
      <c r="C40" s="7">
        <v>45868.25833333333</v>
      </c>
      <c r="D40" s="5" t="s">
        <v>482</v>
      </c>
      <c r="E40" s="5" t="s">
        <v>470</v>
      </c>
      <c r="F40" s="5" t="s">
        <v>211</v>
      </c>
      <c r="G40" s="5">
        <v>4.0</v>
      </c>
      <c r="H40" s="5">
        <v>6.0</v>
      </c>
      <c r="I40" s="5" t="s">
        <v>199</v>
      </c>
      <c r="J40" s="5">
        <v>5.0</v>
      </c>
      <c r="K40" s="5">
        <v>5.0</v>
      </c>
      <c r="L40" s="5">
        <v>5.0</v>
      </c>
      <c r="M40" s="5">
        <v>5.0</v>
      </c>
      <c r="N40" s="5">
        <v>4.0</v>
      </c>
      <c r="O40" s="5">
        <v>5.0</v>
      </c>
      <c r="P40" s="5">
        <v>6.0</v>
      </c>
      <c r="Q40" s="5">
        <v>6.0</v>
      </c>
      <c r="R40" s="5">
        <v>3.0</v>
      </c>
      <c r="S40" s="5">
        <v>4.0</v>
      </c>
      <c r="T40" s="5">
        <v>6.0</v>
      </c>
      <c r="U40" s="5">
        <v>6.0</v>
      </c>
      <c r="V40" s="5">
        <f t="shared" si="1"/>
        <v>2</v>
      </c>
      <c r="W40" s="5" t="s">
        <v>483</v>
      </c>
      <c r="X40" s="5" t="s">
        <v>206</v>
      </c>
      <c r="Y40" s="5">
        <v>5.0</v>
      </c>
      <c r="Z40" s="5">
        <v>4.0</v>
      </c>
      <c r="AA40" s="5">
        <v>5.0</v>
      </c>
      <c r="AB40" s="5">
        <v>3.0</v>
      </c>
      <c r="AC40" s="5">
        <v>3.0</v>
      </c>
      <c r="AD40" s="5">
        <v>6.0</v>
      </c>
      <c r="AE40" s="5" t="s">
        <v>484</v>
      </c>
      <c r="AF40" s="5" t="s">
        <v>206</v>
      </c>
      <c r="AG40" s="5">
        <v>6.0</v>
      </c>
      <c r="AH40" s="5">
        <v>6.0</v>
      </c>
      <c r="AI40" s="5">
        <v>4.0</v>
      </c>
      <c r="AJ40" s="5">
        <v>5.0</v>
      </c>
      <c r="AK40" s="5">
        <f t="shared" si="2"/>
        <v>3</v>
      </c>
      <c r="AL40" s="5">
        <v>4.0</v>
      </c>
      <c r="AM40" s="5">
        <f t="shared" si="3"/>
        <v>4</v>
      </c>
      <c r="AN40" s="5">
        <v>6.0</v>
      </c>
      <c r="AO40" s="5">
        <f t="shared" si="4"/>
        <v>2</v>
      </c>
      <c r="AP40" s="5">
        <v>3.0</v>
      </c>
      <c r="AQ40" s="5">
        <f t="shared" si="5"/>
        <v>5</v>
      </c>
      <c r="AR40" s="5" t="s">
        <v>485</v>
      </c>
    </row>
    <row r="41">
      <c r="A41" s="8">
        <f>IFERROR(__xludf.DUMMYFUNCTION("IF(E41="""", """", VALUE(REGEXREPLACE(E41, ""^[Pp]"", """")))"),19.0)</f>
        <v>19</v>
      </c>
      <c r="B41" s="8">
        <v>537.0</v>
      </c>
      <c r="C41" s="7">
        <v>45868.26527777778</v>
      </c>
      <c r="D41" s="5" t="s">
        <v>486</v>
      </c>
      <c r="E41" s="5" t="s">
        <v>470</v>
      </c>
      <c r="F41" s="5" t="s">
        <v>216</v>
      </c>
      <c r="G41" s="5">
        <v>6.0</v>
      </c>
      <c r="H41" s="5">
        <v>6.0</v>
      </c>
      <c r="I41" s="5" t="s">
        <v>199</v>
      </c>
      <c r="J41" s="5">
        <v>7.0</v>
      </c>
      <c r="K41" s="5">
        <v>6.0</v>
      </c>
      <c r="L41" s="5">
        <v>4.0</v>
      </c>
      <c r="M41" s="5">
        <v>6.0</v>
      </c>
      <c r="N41" s="5">
        <v>5.0</v>
      </c>
      <c r="O41" s="5">
        <v>6.0</v>
      </c>
      <c r="P41" s="5">
        <v>6.0</v>
      </c>
      <c r="Q41" s="5">
        <v>6.0</v>
      </c>
      <c r="R41" s="5">
        <v>5.0</v>
      </c>
      <c r="S41" s="5">
        <v>5.0</v>
      </c>
      <c r="T41" s="5">
        <v>6.0</v>
      </c>
      <c r="U41" s="5">
        <v>5.0</v>
      </c>
      <c r="V41" s="5">
        <f t="shared" si="1"/>
        <v>3</v>
      </c>
      <c r="W41" s="5" t="s">
        <v>487</v>
      </c>
      <c r="X41" s="5" t="s">
        <v>206</v>
      </c>
      <c r="Y41" s="5">
        <v>6.0</v>
      </c>
      <c r="Z41" s="5">
        <v>6.0</v>
      </c>
      <c r="AA41" s="5">
        <v>6.0</v>
      </c>
      <c r="AB41" s="5">
        <v>5.0</v>
      </c>
      <c r="AC41" s="5">
        <v>6.0</v>
      </c>
      <c r="AD41" s="5">
        <v>6.0</v>
      </c>
      <c r="AE41" s="5" t="s">
        <v>488</v>
      </c>
      <c r="AF41" s="5" t="s">
        <v>206</v>
      </c>
      <c r="AG41" s="5">
        <v>6.0</v>
      </c>
      <c r="AH41" s="5">
        <v>6.0</v>
      </c>
      <c r="AI41" s="5">
        <v>6.0</v>
      </c>
      <c r="AJ41" s="5">
        <v>4.0</v>
      </c>
      <c r="AK41" s="5">
        <f t="shared" si="2"/>
        <v>4</v>
      </c>
      <c r="AL41" s="5">
        <v>4.0</v>
      </c>
      <c r="AM41" s="5">
        <f t="shared" si="3"/>
        <v>4</v>
      </c>
      <c r="AN41" s="5">
        <v>5.0</v>
      </c>
      <c r="AO41" s="5">
        <f t="shared" si="4"/>
        <v>3</v>
      </c>
      <c r="AP41" s="5">
        <v>3.0</v>
      </c>
      <c r="AQ41" s="5">
        <f t="shared" si="5"/>
        <v>5</v>
      </c>
      <c r="AR41" s="5" t="s">
        <v>489</v>
      </c>
    </row>
    <row r="42">
      <c r="A42" s="8">
        <f>IFERROR(__xludf.DUMMYFUNCTION("IF(E42="""", """", VALUE(REGEXREPLACE(E42, ""^[Pp]"", """")))"),2.0)</f>
        <v>2</v>
      </c>
      <c r="B42" s="8">
        <v>913.0</v>
      </c>
      <c r="C42" s="7">
        <v>45866.260416666664</v>
      </c>
      <c r="D42" s="5" t="s">
        <v>220</v>
      </c>
      <c r="E42" s="5" t="s">
        <v>221</v>
      </c>
      <c r="F42" s="5" t="s">
        <v>211</v>
      </c>
      <c r="G42" s="5">
        <v>1.0</v>
      </c>
      <c r="H42" s="5">
        <v>1.0</v>
      </c>
      <c r="I42" s="5" t="s">
        <v>199</v>
      </c>
      <c r="J42" s="5">
        <v>7.0</v>
      </c>
      <c r="K42" s="5">
        <v>4.0</v>
      </c>
      <c r="L42" s="5">
        <v>1.0</v>
      </c>
      <c r="M42" s="5">
        <v>1.0</v>
      </c>
      <c r="N42" s="5">
        <v>1.0</v>
      </c>
      <c r="O42" s="5">
        <v>2.0</v>
      </c>
      <c r="P42" s="5">
        <v>7.0</v>
      </c>
      <c r="Q42" s="5">
        <v>6.0</v>
      </c>
      <c r="R42" s="5">
        <v>1.0</v>
      </c>
      <c r="S42" s="5">
        <v>1.0</v>
      </c>
      <c r="T42" s="5">
        <v>4.0</v>
      </c>
      <c r="U42" s="5">
        <v>7.0</v>
      </c>
      <c r="V42" s="5">
        <f t="shared" si="1"/>
        <v>1</v>
      </c>
      <c r="W42" s="5" t="s">
        <v>222</v>
      </c>
      <c r="X42" s="5" t="s">
        <v>206</v>
      </c>
      <c r="Y42" s="5">
        <v>1.0</v>
      </c>
      <c r="Z42" s="5">
        <v>5.0</v>
      </c>
      <c r="AA42" s="5">
        <v>4.0</v>
      </c>
      <c r="AB42" s="5">
        <v>5.0</v>
      </c>
      <c r="AC42" s="5">
        <v>5.0</v>
      </c>
      <c r="AD42" s="5">
        <v>7.0</v>
      </c>
      <c r="AE42" s="5" t="s">
        <v>223</v>
      </c>
      <c r="AF42" s="5" t="s">
        <v>206</v>
      </c>
      <c r="AG42" s="5">
        <v>1.0</v>
      </c>
      <c r="AH42" s="5">
        <v>7.0</v>
      </c>
      <c r="AI42" s="5">
        <v>4.0</v>
      </c>
      <c r="AJ42" s="5">
        <v>1.0</v>
      </c>
      <c r="AK42" s="5">
        <f t="shared" si="2"/>
        <v>7</v>
      </c>
      <c r="AL42" s="5">
        <v>1.0</v>
      </c>
      <c r="AM42" s="5">
        <f t="shared" si="3"/>
        <v>7</v>
      </c>
      <c r="AN42" s="5">
        <v>1.0</v>
      </c>
      <c r="AO42" s="5">
        <f t="shared" si="4"/>
        <v>7</v>
      </c>
      <c r="AP42" s="5">
        <v>1.0</v>
      </c>
      <c r="AQ42" s="5">
        <f t="shared" si="5"/>
        <v>7</v>
      </c>
      <c r="AR42" s="5" t="s">
        <v>224</v>
      </c>
    </row>
    <row r="43">
      <c r="A43" s="8">
        <f>IFERROR(__xludf.DUMMYFUNCTION("IF(E43="""", """", VALUE(REGEXREPLACE(E43, ""^[Pp]"", """")))"),2.0)</f>
        <v>2</v>
      </c>
      <c r="B43" s="8">
        <v>512.0</v>
      </c>
      <c r="C43" s="7">
        <v>45866.27291666667</v>
      </c>
      <c r="D43" s="5" t="s">
        <v>225</v>
      </c>
      <c r="E43" s="5" t="s">
        <v>221</v>
      </c>
      <c r="F43" s="5" t="s">
        <v>216</v>
      </c>
      <c r="G43" s="5">
        <v>5.0</v>
      </c>
      <c r="H43" s="5">
        <v>1.0</v>
      </c>
      <c r="I43" s="5" t="s">
        <v>199</v>
      </c>
      <c r="J43" s="5">
        <v>7.0</v>
      </c>
      <c r="K43" s="5">
        <v>4.0</v>
      </c>
      <c r="L43" s="5">
        <v>7.0</v>
      </c>
      <c r="M43" s="5">
        <v>1.0</v>
      </c>
      <c r="N43" s="5">
        <v>1.0</v>
      </c>
      <c r="O43" s="5">
        <v>5.0</v>
      </c>
      <c r="P43" s="5">
        <v>7.0</v>
      </c>
      <c r="Q43" s="5">
        <v>1.0</v>
      </c>
      <c r="R43" s="5">
        <v>1.0</v>
      </c>
      <c r="S43" s="5">
        <v>1.0</v>
      </c>
      <c r="T43" s="5">
        <v>4.0</v>
      </c>
      <c r="U43" s="5">
        <v>7.0</v>
      </c>
      <c r="V43" s="5">
        <f t="shared" si="1"/>
        <v>1</v>
      </c>
      <c r="W43" s="5" t="s">
        <v>226</v>
      </c>
      <c r="X43" s="5" t="s">
        <v>206</v>
      </c>
      <c r="Y43" s="5">
        <v>1.0</v>
      </c>
      <c r="Z43" s="5">
        <v>7.0</v>
      </c>
      <c r="AA43" s="5">
        <v>5.0</v>
      </c>
      <c r="AB43" s="5">
        <v>7.0</v>
      </c>
      <c r="AC43" s="5">
        <v>7.0</v>
      </c>
      <c r="AD43" s="5">
        <v>7.0</v>
      </c>
      <c r="AE43" s="5" t="s">
        <v>227</v>
      </c>
      <c r="AF43" s="5" t="s">
        <v>206</v>
      </c>
      <c r="AG43" s="5">
        <v>5.0</v>
      </c>
      <c r="AH43" s="5">
        <v>1.0</v>
      </c>
      <c r="AI43" s="5">
        <v>5.0</v>
      </c>
      <c r="AJ43" s="5">
        <v>7.0</v>
      </c>
      <c r="AK43" s="5">
        <f t="shared" si="2"/>
        <v>1</v>
      </c>
      <c r="AL43" s="5">
        <v>4.0</v>
      </c>
      <c r="AM43" s="5">
        <f t="shared" si="3"/>
        <v>4</v>
      </c>
      <c r="AN43" s="5">
        <v>5.0</v>
      </c>
      <c r="AO43" s="5">
        <f t="shared" si="4"/>
        <v>3</v>
      </c>
      <c r="AP43" s="5">
        <v>5.0</v>
      </c>
      <c r="AQ43" s="5">
        <f t="shared" si="5"/>
        <v>3</v>
      </c>
      <c r="AR43" s="5" t="s">
        <v>228</v>
      </c>
    </row>
    <row r="44">
      <c r="A44" s="8">
        <f>IFERROR(__xludf.DUMMYFUNCTION("IF(E44="""", """", VALUE(REGEXREPLACE(E44, ""^[Pp]"", """")))"),2.0)</f>
        <v>2</v>
      </c>
      <c r="B44" s="8">
        <v>378.0</v>
      </c>
      <c r="C44" s="7">
        <v>45866.28472222222</v>
      </c>
      <c r="D44" s="5" t="s">
        <v>229</v>
      </c>
      <c r="E44" s="5" t="s">
        <v>221</v>
      </c>
      <c r="F44" s="5" t="s">
        <v>197</v>
      </c>
      <c r="G44" s="5">
        <v>1.0</v>
      </c>
      <c r="H44" s="5">
        <v>1.0</v>
      </c>
      <c r="I44" s="5" t="s">
        <v>199</v>
      </c>
      <c r="J44" s="5">
        <v>3.0</v>
      </c>
      <c r="K44" s="5">
        <v>4.0</v>
      </c>
      <c r="L44" s="5">
        <v>7.0</v>
      </c>
      <c r="M44" s="5">
        <v>1.0</v>
      </c>
      <c r="N44" s="5">
        <v>1.0</v>
      </c>
      <c r="O44" s="5">
        <v>7.0</v>
      </c>
      <c r="P44" s="5">
        <v>4.0</v>
      </c>
      <c r="Q44" s="5">
        <v>3.0</v>
      </c>
      <c r="R44" s="5">
        <v>1.0</v>
      </c>
      <c r="S44" s="5">
        <v>1.0</v>
      </c>
      <c r="T44" s="5">
        <v>7.0</v>
      </c>
      <c r="U44" s="5">
        <v>7.0</v>
      </c>
      <c r="V44" s="5">
        <f t="shared" si="1"/>
        <v>1</v>
      </c>
      <c r="W44" s="11" t="s">
        <v>230</v>
      </c>
      <c r="X44" s="5" t="s">
        <v>206</v>
      </c>
      <c r="Y44" s="5">
        <v>1.0</v>
      </c>
      <c r="Z44" s="5">
        <v>4.0</v>
      </c>
      <c r="AA44" s="5">
        <v>1.0</v>
      </c>
      <c r="AB44" s="5">
        <v>5.0</v>
      </c>
      <c r="AC44" s="5">
        <v>1.0</v>
      </c>
      <c r="AD44" s="5">
        <v>2.0</v>
      </c>
      <c r="AE44" s="5" t="s">
        <v>231</v>
      </c>
      <c r="AF44" s="5" t="s">
        <v>206</v>
      </c>
      <c r="AG44" s="5">
        <v>1.0</v>
      </c>
      <c r="AH44" s="5">
        <v>4.0</v>
      </c>
      <c r="AI44" s="5">
        <v>5.0</v>
      </c>
      <c r="AJ44" s="5">
        <v>1.0</v>
      </c>
      <c r="AK44" s="5">
        <f t="shared" si="2"/>
        <v>7</v>
      </c>
      <c r="AL44" s="5">
        <v>1.0</v>
      </c>
      <c r="AM44" s="5">
        <f t="shared" si="3"/>
        <v>7</v>
      </c>
      <c r="AN44" s="5">
        <v>4.0</v>
      </c>
      <c r="AO44" s="5">
        <f t="shared" si="4"/>
        <v>4</v>
      </c>
      <c r="AP44" s="5">
        <v>1.0</v>
      </c>
      <c r="AQ44" s="5">
        <f t="shared" si="5"/>
        <v>7</v>
      </c>
      <c r="AR44" s="11" t="s">
        <v>232</v>
      </c>
    </row>
    <row r="45">
      <c r="A45" s="8">
        <f>IFERROR(__xludf.DUMMYFUNCTION("IF(E45="""", """", VALUE(REGEXREPLACE(E45, ""^[Pp]"", """")))"),2.0)</f>
        <v>2</v>
      </c>
      <c r="B45" s="8">
        <v>237.0</v>
      </c>
      <c r="C45" s="7">
        <v>45866.290972222225</v>
      </c>
      <c r="D45" s="5" t="s">
        <v>233</v>
      </c>
      <c r="E45" s="5" t="s">
        <v>221</v>
      </c>
      <c r="F45" s="5" t="s">
        <v>216</v>
      </c>
      <c r="G45" s="5">
        <v>1.0</v>
      </c>
      <c r="H45" s="5">
        <v>1.0</v>
      </c>
      <c r="I45" s="5" t="s">
        <v>199</v>
      </c>
      <c r="J45" s="5">
        <v>7.0</v>
      </c>
      <c r="K45" s="5">
        <v>1.0</v>
      </c>
      <c r="L45" s="5">
        <v>1.0</v>
      </c>
      <c r="M45" s="5">
        <v>1.0</v>
      </c>
      <c r="N45" s="5">
        <v>1.0</v>
      </c>
      <c r="O45" s="5">
        <v>7.0</v>
      </c>
      <c r="P45" s="5">
        <v>7.0</v>
      </c>
      <c r="Q45" s="5">
        <v>1.0</v>
      </c>
      <c r="R45" s="5">
        <v>1.0</v>
      </c>
      <c r="S45" s="5">
        <v>1.0</v>
      </c>
      <c r="T45" s="5">
        <v>7.0</v>
      </c>
      <c r="U45" s="5">
        <v>7.0</v>
      </c>
      <c r="V45" s="5">
        <f t="shared" si="1"/>
        <v>1</v>
      </c>
      <c r="W45" s="5" t="s">
        <v>234</v>
      </c>
      <c r="X45" s="5" t="s">
        <v>206</v>
      </c>
      <c r="Y45" s="5">
        <v>1.0</v>
      </c>
      <c r="Z45" s="5">
        <v>7.0</v>
      </c>
      <c r="AA45" s="5">
        <v>1.0</v>
      </c>
      <c r="AB45" s="5">
        <v>1.0</v>
      </c>
      <c r="AC45" s="5">
        <v>1.0</v>
      </c>
      <c r="AD45" s="5">
        <v>2.0</v>
      </c>
      <c r="AE45" s="5" t="s">
        <v>235</v>
      </c>
      <c r="AF45" s="5" t="s">
        <v>206</v>
      </c>
      <c r="AG45" s="5">
        <v>1.0</v>
      </c>
      <c r="AH45" s="5">
        <v>1.0</v>
      </c>
      <c r="AI45" s="5">
        <v>1.0</v>
      </c>
      <c r="AJ45" s="5">
        <v>4.0</v>
      </c>
      <c r="AK45" s="5">
        <f t="shared" si="2"/>
        <v>4</v>
      </c>
      <c r="AL45" s="5">
        <v>4.0</v>
      </c>
      <c r="AM45" s="5">
        <f t="shared" si="3"/>
        <v>4</v>
      </c>
      <c r="AN45" s="5">
        <v>4.0</v>
      </c>
      <c r="AO45" s="5">
        <f t="shared" si="4"/>
        <v>4</v>
      </c>
      <c r="AP45" s="5">
        <v>4.0</v>
      </c>
      <c r="AQ45" s="5">
        <f t="shared" si="5"/>
        <v>4</v>
      </c>
      <c r="AR45" s="5" t="s">
        <v>236</v>
      </c>
    </row>
    <row r="46">
      <c r="A46" s="8">
        <f>IFERROR(__xludf.DUMMYFUNCTION("IF(E46="""", """", VALUE(REGEXREPLACE(E46, ""^[Pp]"", """")))"),20.0)</f>
        <v>20</v>
      </c>
      <c r="B46" s="8">
        <v>1057.0</v>
      </c>
      <c r="C46" s="7">
        <v>45868.290972222225</v>
      </c>
      <c r="D46" s="5" t="s">
        <v>495</v>
      </c>
      <c r="E46" s="5" t="s">
        <v>496</v>
      </c>
      <c r="F46" s="5" t="s">
        <v>263</v>
      </c>
      <c r="G46" s="5">
        <v>2.0</v>
      </c>
      <c r="H46" s="5">
        <v>3.0</v>
      </c>
      <c r="I46" s="5" t="s">
        <v>199</v>
      </c>
      <c r="J46" s="5">
        <v>5.0</v>
      </c>
      <c r="K46" s="5">
        <v>6.0</v>
      </c>
      <c r="L46" s="5">
        <v>2.0</v>
      </c>
      <c r="M46" s="5">
        <v>6.0</v>
      </c>
      <c r="N46" s="5">
        <v>3.0</v>
      </c>
      <c r="O46" s="5">
        <v>6.0</v>
      </c>
      <c r="P46" s="5">
        <v>7.0</v>
      </c>
      <c r="Q46" s="5">
        <v>7.0</v>
      </c>
      <c r="R46" s="5">
        <v>4.0</v>
      </c>
      <c r="S46" s="5">
        <v>3.0</v>
      </c>
      <c r="T46" s="5">
        <v>5.0</v>
      </c>
      <c r="U46" s="5">
        <v>2.0</v>
      </c>
      <c r="V46" s="5">
        <f t="shared" si="1"/>
        <v>6</v>
      </c>
      <c r="W46" s="11" t="s">
        <v>497</v>
      </c>
      <c r="X46" s="5" t="s">
        <v>206</v>
      </c>
      <c r="Y46" s="5">
        <v>3.0</v>
      </c>
      <c r="Z46" s="5">
        <v>6.0</v>
      </c>
      <c r="AA46" s="5">
        <v>5.0</v>
      </c>
      <c r="AB46" s="5">
        <v>4.0</v>
      </c>
      <c r="AC46" s="5">
        <v>2.0</v>
      </c>
      <c r="AD46" s="5">
        <v>4.0</v>
      </c>
      <c r="AE46" s="11" t="s">
        <v>498</v>
      </c>
      <c r="AF46" s="5" t="s">
        <v>206</v>
      </c>
      <c r="AG46" s="5">
        <v>5.0</v>
      </c>
      <c r="AH46" s="5">
        <v>1.0</v>
      </c>
      <c r="AI46" s="5">
        <v>6.0</v>
      </c>
      <c r="AJ46" s="5">
        <v>4.0</v>
      </c>
      <c r="AK46" s="5">
        <f t="shared" si="2"/>
        <v>4</v>
      </c>
      <c r="AL46" s="5">
        <v>1.0</v>
      </c>
      <c r="AM46" s="5">
        <f t="shared" si="3"/>
        <v>7</v>
      </c>
      <c r="AN46" s="5">
        <v>2.0</v>
      </c>
      <c r="AO46" s="5">
        <f t="shared" si="4"/>
        <v>6</v>
      </c>
      <c r="AP46" s="5">
        <v>2.0</v>
      </c>
      <c r="AQ46" s="5">
        <f t="shared" si="5"/>
        <v>6</v>
      </c>
      <c r="AR46" s="5" t="s">
        <v>499</v>
      </c>
    </row>
    <row r="47">
      <c r="A47" s="8">
        <f>IFERROR(__xludf.DUMMYFUNCTION("IF(E47="""", """", VALUE(REGEXREPLACE(E47, ""^[Pp]"", """")))"),20.0)</f>
        <v>20</v>
      </c>
      <c r="B47" s="8">
        <v>553.0</v>
      </c>
      <c r="C47" s="7">
        <v>45868.30763888889</v>
      </c>
      <c r="D47" s="5" t="s">
        <v>505</v>
      </c>
      <c r="E47" s="5" t="s">
        <v>496</v>
      </c>
      <c r="F47" s="5" t="s">
        <v>216</v>
      </c>
      <c r="G47" s="5">
        <v>4.0</v>
      </c>
      <c r="H47" s="5">
        <v>4.0</v>
      </c>
      <c r="I47" s="5" t="s">
        <v>199</v>
      </c>
      <c r="J47" s="5">
        <v>7.0</v>
      </c>
      <c r="K47" s="5">
        <v>7.0</v>
      </c>
      <c r="L47" s="5">
        <v>5.0</v>
      </c>
      <c r="M47" s="5">
        <v>3.0</v>
      </c>
      <c r="N47" s="5">
        <v>5.0</v>
      </c>
      <c r="O47" s="5">
        <v>7.0</v>
      </c>
      <c r="P47" s="5">
        <v>7.0</v>
      </c>
      <c r="Q47" s="5">
        <v>7.0</v>
      </c>
      <c r="R47" s="5">
        <v>4.0</v>
      </c>
      <c r="S47" s="5">
        <v>2.0</v>
      </c>
      <c r="T47" s="5">
        <v>7.0</v>
      </c>
      <c r="U47" s="5">
        <v>1.0</v>
      </c>
      <c r="V47" s="5">
        <f t="shared" si="1"/>
        <v>7</v>
      </c>
      <c r="W47" s="5" t="s">
        <v>506</v>
      </c>
      <c r="X47" s="5" t="s">
        <v>206</v>
      </c>
      <c r="Y47" s="5">
        <v>7.0</v>
      </c>
      <c r="Z47" s="5">
        <v>6.0</v>
      </c>
      <c r="AA47" s="5">
        <v>6.0</v>
      </c>
      <c r="AB47" s="5">
        <v>7.0</v>
      </c>
      <c r="AC47" s="5">
        <v>7.0</v>
      </c>
      <c r="AD47" s="5">
        <v>7.0</v>
      </c>
      <c r="AE47" s="5" t="s">
        <v>507</v>
      </c>
      <c r="AF47" s="5" t="s">
        <v>206</v>
      </c>
      <c r="AG47" s="5">
        <v>7.0</v>
      </c>
      <c r="AH47" s="5">
        <v>7.0</v>
      </c>
      <c r="AI47" s="5">
        <v>7.0</v>
      </c>
      <c r="AJ47" s="5">
        <v>1.0</v>
      </c>
      <c r="AK47" s="5">
        <f t="shared" si="2"/>
        <v>7</v>
      </c>
      <c r="AL47" s="5">
        <v>1.0</v>
      </c>
      <c r="AM47" s="5">
        <f t="shared" si="3"/>
        <v>7</v>
      </c>
      <c r="AN47" s="5">
        <v>1.0</v>
      </c>
      <c r="AO47" s="5">
        <f t="shared" si="4"/>
        <v>7</v>
      </c>
      <c r="AP47" s="5">
        <v>1.0</v>
      </c>
      <c r="AQ47" s="5">
        <f t="shared" si="5"/>
        <v>7</v>
      </c>
      <c r="AR47" s="5" t="s">
        <v>508</v>
      </c>
    </row>
    <row r="48">
      <c r="A48" s="8">
        <f>IFERROR(__xludf.DUMMYFUNCTION("IF(E48="""", """", VALUE(REGEXREPLACE(E48, ""^[Pp]"", """")))"),20.0)</f>
        <v>20</v>
      </c>
      <c r="B48" s="8">
        <v>806.0</v>
      </c>
      <c r="C48" s="7">
        <v>45868.322222222225</v>
      </c>
      <c r="D48" s="5" t="s">
        <v>513</v>
      </c>
      <c r="E48" s="5" t="s">
        <v>496</v>
      </c>
      <c r="F48" s="5" t="s">
        <v>211</v>
      </c>
      <c r="G48" s="5">
        <v>4.0</v>
      </c>
      <c r="H48" s="5">
        <v>4.0</v>
      </c>
      <c r="I48" s="5" t="s">
        <v>199</v>
      </c>
      <c r="J48" s="5">
        <v>4.0</v>
      </c>
      <c r="K48" s="5">
        <v>7.0</v>
      </c>
      <c r="L48" s="5">
        <v>3.0</v>
      </c>
      <c r="M48" s="5">
        <v>4.0</v>
      </c>
      <c r="N48" s="5">
        <v>7.0</v>
      </c>
      <c r="O48" s="5">
        <v>7.0</v>
      </c>
      <c r="P48" s="5">
        <v>7.0</v>
      </c>
      <c r="Q48" s="5">
        <v>7.0</v>
      </c>
      <c r="R48" s="5">
        <v>2.0</v>
      </c>
      <c r="S48" s="5">
        <v>1.0</v>
      </c>
      <c r="T48" s="5">
        <v>7.0</v>
      </c>
      <c r="U48" s="5">
        <v>1.0</v>
      </c>
      <c r="V48" s="5">
        <f t="shared" si="1"/>
        <v>7</v>
      </c>
      <c r="W48" s="5" t="s">
        <v>514</v>
      </c>
      <c r="X48" s="5" t="s">
        <v>206</v>
      </c>
      <c r="Y48" s="5">
        <v>6.0</v>
      </c>
      <c r="Z48" s="5">
        <v>7.0</v>
      </c>
      <c r="AA48" s="5">
        <v>6.0</v>
      </c>
      <c r="AB48" s="5">
        <v>6.0</v>
      </c>
      <c r="AC48" s="5">
        <v>5.0</v>
      </c>
      <c r="AD48" s="5">
        <v>5.0</v>
      </c>
      <c r="AE48" s="5" t="s">
        <v>515</v>
      </c>
      <c r="AF48" s="5" t="s">
        <v>206</v>
      </c>
      <c r="AG48" s="5">
        <v>7.0</v>
      </c>
      <c r="AH48" s="5">
        <v>7.0</v>
      </c>
      <c r="AI48" s="5">
        <v>7.0</v>
      </c>
      <c r="AJ48" s="5">
        <v>1.0</v>
      </c>
      <c r="AK48" s="5">
        <f t="shared" si="2"/>
        <v>7</v>
      </c>
      <c r="AL48" s="5">
        <v>1.0</v>
      </c>
      <c r="AM48" s="5">
        <f t="shared" si="3"/>
        <v>7</v>
      </c>
      <c r="AN48" s="5">
        <v>1.0</v>
      </c>
      <c r="AO48" s="5">
        <f t="shared" si="4"/>
        <v>7</v>
      </c>
      <c r="AP48" s="5">
        <v>1.0</v>
      </c>
      <c r="AQ48" s="5">
        <f t="shared" si="5"/>
        <v>7</v>
      </c>
      <c r="AR48" s="5" t="s">
        <v>516</v>
      </c>
    </row>
    <row r="49">
      <c r="A49" s="8">
        <f>IFERROR(__xludf.DUMMYFUNCTION("IF(E49="""", """", VALUE(REGEXREPLACE(E49, ""^[Pp]"", """")))"),20.0)</f>
        <v>20</v>
      </c>
      <c r="B49" s="8">
        <v>561.0</v>
      </c>
      <c r="C49" s="7">
        <v>45868.334027777775</v>
      </c>
      <c r="D49" s="5" t="s">
        <v>521</v>
      </c>
      <c r="E49" s="5" t="s">
        <v>496</v>
      </c>
      <c r="F49" s="5" t="s">
        <v>197</v>
      </c>
      <c r="G49" s="5">
        <v>2.0</v>
      </c>
      <c r="H49" s="5">
        <v>2.0</v>
      </c>
      <c r="I49" s="5" t="s">
        <v>199</v>
      </c>
      <c r="J49" s="5">
        <v>3.0</v>
      </c>
      <c r="K49" s="5">
        <v>4.0</v>
      </c>
      <c r="L49" s="5">
        <v>2.0</v>
      </c>
      <c r="M49" s="5">
        <v>4.0</v>
      </c>
      <c r="N49" s="5">
        <v>6.0</v>
      </c>
      <c r="O49" s="5">
        <v>4.0</v>
      </c>
      <c r="P49" s="5">
        <v>6.0</v>
      </c>
      <c r="Q49" s="5">
        <v>2.0</v>
      </c>
      <c r="R49" s="5">
        <v>6.0</v>
      </c>
      <c r="S49" s="5">
        <v>1.0</v>
      </c>
      <c r="T49" s="5">
        <v>4.0</v>
      </c>
      <c r="U49" s="5">
        <v>1.0</v>
      </c>
      <c r="V49" s="5">
        <f t="shared" si="1"/>
        <v>7</v>
      </c>
      <c r="W49" s="5" t="s">
        <v>522</v>
      </c>
      <c r="X49" s="5" t="s">
        <v>206</v>
      </c>
      <c r="Y49" s="5">
        <v>2.0</v>
      </c>
      <c r="Z49" s="5">
        <v>4.0</v>
      </c>
      <c r="AA49" s="5">
        <v>4.0</v>
      </c>
      <c r="AB49" s="5">
        <v>6.0</v>
      </c>
      <c r="AC49" s="5">
        <v>6.0</v>
      </c>
      <c r="AD49" s="5">
        <v>2.0</v>
      </c>
      <c r="AE49" s="5" t="s">
        <v>523</v>
      </c>
      <c r="AF49" s="5" t="s">
        <v>206</v>
      </c>
      <c r="AG49" s="5">
        <v>1.0</v>
      </c>
      <c r="AH49" s="5">
        <v>1.0</v>
      </c>
      <c r="AI49" s="5">
        <v>5.0</v>
      </c>
      <c r="AJ49" s="5">
        <v>7.0</v>
      </c>
      <c r="AK49" s="5">
        <f t="shared" si="2"/>
        <v>1</v>
      </c>
      <c r="AL49" s="5">
        <v>5.0</v>
      </c>
      <c r="AM49" s="5">
        <f t="shared" si="3"/>
        <v>3</v>
      </c>
      <c r="AN49" s="5">
        <v>7.0</v>
      </c>
      <c r="AO49" s="5">
        <f t="shared" si="4"/>
        <v>1</v>
      </c>
      <c r="AP49" s="5">
        <v>7.0</v>
      </c>
      <c r="AQ49" s="5">
        <f t="shared" si="5"/>
        <v>1</v>
      </c>
      <c r="AR49" s="5" t="s">
        <v>524</v>
      </c>
    </row>
    <row r="50">
      <c r="A50" s="8">
        <f>IFERROR(__xludf.DUMMYFUNCTION("IF(E50="""", """", VALUE(REGEXREPLACE(E50, ""^[Pp]"", """")))"),21.0)</f>
        <v>21</v>
      </c>
      <c r="B50" s="8">
        <v>1105.0</v>
      </c>
      <c r="C50" s="7">
        <v>45868.294444444444</v>
      </c>
      <c r="D50" s="5" t="s">
        <v>500</v>
      </c>
      <c r="E50" s="5" t="s">
        <v>501</v>
      </c>
      <c r="F50" s="5" t="s">
        <v>211</v>
      </c>
      <c r="G50" s="5">
        <v>5.0</v>
      </c>
      <c r="H50" s="5">
        <v>6.0</v>
      </c>
      <c r="I50" s="5" t="s">
        <v>199</v>
      </c>
      <c r="J50" s="5">
        <v>6.0</v>
      </c>
      <c r="K50" s="5">
        <v>6.0</v>
      </c>
      <c r="L50" s="5">
        <v>4.0</v>
      </c>
      <c r="M50" s="5">
        <v>5.0</v>
      </c>
      <c r="N50" s="5">
        <v>6.0</v>
      </c>
      <c r="O50" s="5">
        <v>6.0</v>
      </c>
      <c r="P50" s="5">
        <v>6.0</v>
      </c>
      <c r="Q50" s="5">
        <v>6.0</v>
      </c>
      <c r="R50" s="5">
        <v>6.0</v>
      </c>
      <c r="S50" s="5">
        <v>4.0</v>
      </c>
      <c r="T50" s="5">
        <v>6.0</v>
      </c>
      <c r="U50" s="5">
        <v>1.0</v>
      </c>
      <c r="V50" s="5">
        <f t="shared" si="1"/>
        <v>7</v>
      </c>
      <c r="W50" s="5" t="s">
        <v>502</v>
      </c>
      <c r="X50" s="5" t="s">
        <v>206</v>
      </c>
      <c r="Y50" s="5">
        <v>6.0</v>
      </c>
      <c r="Z50" s="5">
        <v>7.0</v>
      </c>
      <c r="AA50" s="5">
        <v>7.0</v>
      </c>
      <c r="AB50" s="5">
        <v>7.0</v>
      </c>
      <c r="AC50" s="5">
        <v>6.0</v>
      </c>
      <c r="AD50" s="5">
        <v>7.0</v>
      </c>
      <c r="AE50" s="5" t="s">
        <v>503</v>
      </c>
      <c r="AF50" s="5" t="s">
        <v>206</v>
      </c>
      <c r="AG50" s="5">
        <v>7.0</v>
      </c>
      <c r="AH50" s="5">
        <v>6.0</v>
      </c>
      <c r="AI50" s="5">
        <v>7.0</v>
      </c>
      <c r="AJ50" s="5">
        <v>1.0</v>
      </c>
      <c r="AK50" s="5">
        <f t="shared" si="2"/>
        <v>7</v>
      </c>
      <c r="AL50" s="5">
        <v>1.0</v>
      </c>
      <c r="AM50" s="5">
        <f t="shared" si="3"/>
        <v>7</v>
      </c>
      <c r="AN50" s="5">
        <v>1.0</v>
      </c>
      <c r="AO50" s="5">
        <f t="shared" si="4"/>
        <v>7</v>
      </c>
      <c r="AP50" s="5">
        <v>1.0</v>
      </c>
      <c r="AQ50" s="5">
        <f t="shared" si="5"/>
        <v>7</v>
      </c>
      <c r="AR50" s="5" t="s">
        <v>504</v>
      </c>
    </row>
    <row r="51">
      <c r="A51" s="8">
        <f>IFERROR(__xludf.DUMMYFUNCTION("IF(E51="""", """", VALUE(REGEXREPLACE(E51, ""^[Pp]"", """")))"),21.0)</f>
        <v>21</v>
      </c>
      <c r="B51" s="8">
        <v>729.0</v>
      </c>
      <c r="C51" s="7">
        <v>45868.30972222222</v>
      </c>
      <c r="D51" s="5" t="s">
        <v>509</v>
      </c>
      <c r="E51" s="5" t="s">
        <v>501</v>
      </c>
      <c r="F51" s="5" t="s">
        <v>263</v>
      </c>
      <c r="G51" s="5">
        <v>6.0</v>
      </c>
      <c r="H51" s="5">
        <v>6.0</v>
      </c>
      <c r="I51" s="5" t="s">
        <v>199</v>
      </c>
      <c r="J51" s="5">
        <v>7.0</v>
      </c>
      <c r="K51" s="5">
        <v>7.0</v>
      </c>
      <c r="L51" s="5">
        <v>6.0</v>
      </c>
      <c r="M51" s="5">
        <v>6.0</v>
      </c>
      <c r="N51" s="5">
        <v>7.0</v>
      </c>
      <c r="O51" s="5">
        <v>7.0</v>
      </c>
      <c r="P51" s="5">
        <v>7.0</v>
      </c>
      <c r="Q51" s="5">
        <v>7.0</v>
      </c>
      <c r="R51" s="5">
        <v>6.0</v>
      </c>
      <c r="S51" s="5">
        <v>6.0</v>
      </c>
      <c r="T51" s="5">
        <v>6.0</v>
      </c>
      <c r="U51" s="5">
        <v>4.0</v>
      </c>
      <c r="V51" s="5">
        <f t="shared" si="1"/>
        <v>4</v>
      </c>
      <c r="W51" s="5" t="s">
        <v>510</v>
      </c>
      <c r="X51" s="5" t="s">
        <v>206</v>
      </c>
      <c r="Y51" s="5">
        <v>6.0</v>
      </c>
      <c r="Z51" s="5">
        <v>7.0</v>
      </c>
      <c r="AA51" s="5">
        <v>7.0</v>
      </c>
      <c r="AB51" s="5">
        <v>7.0</v>
      </c>
      <c r="AC51" s="5">
        <v>7.0</v>
      </c>
      <c r="AD51" s="5">
        <v>7.0</v>
      </c>
      <c r="AE51" s="5" t="s">
        <v>511</v>
      </c>
      <c r="AF51" s="5" t="s">
        <v>206</v>
      </c>
      <c r="AG51" s="5">
        <v>7.0</v>
      </c>
      <c r="AH51" s="5">
        <v>6.0</v>
      </c>
      <c r="AI51" s="5">
        <v>7.0</v>
      </c>
      <c r="AJ51" s="5">
        <v>1.0</v>
      </c>
      <c r="AK51" s="5">
        <f t="shared" si="2"/>
        <v>7</v>
      </c>
      <c r="AL51" s="5">
        <v>1.0</v>
      </c>
      <c r="AM51" s="5">
        <f t="shared" si="3"/>
        <v>7</v>
      </c>
      <c r="AN51" s="5">
        <v>2.0</v>
      </c>
      <c r="AO51" s="5">
        <f t="shared" si="4"/>
        <v>6</v>
      </c>
      <c r="AP51" s="5">
        <v>1.0</v>
      </c>
      <c r="AQ51" s="5">
        <f t="shared" si="5"/>
        <v>7</v>
      </c>
      <c r="AR51" s="5" t="s">
        <v>512</v>
      </c>
    </row>
    <row r="52">
      <c r="A52" s="8">
        <f>IFERROR(__xludf.DUMMYFUNCTION("IF(E52="""", """", VALUE(REGEXREPLACE(E52, ""^[Pp]"", """")))"),21.0)</f>
        <v>21</v>
      </c>
      <c r="B52" s="8">
        <v>612.0</v>
      </c>
      <c r="C52" s="7">
        <v>45868.32361111111</v>
      </c>
      <c r="D52" s="5" t="s">
        <v>517</v>
      </c>
      <c r="E52" s="5" t="s">
        <v>501</v>
      </c>
      <c r="F52" s="5" t="s">
        <v>197</v>
      </c>
      <c r="G52" s="5">
        <v>6.0</v>
      </c>
      <c r="H52" s="5">
        <v>6.0</v>
      </c>
      <c r="I52" s="5" t="s">
        <v>199</v>
      </c>
      <c r="J52" s="5">
        <v>7.0</v>
      </c>
      <c r="K52" s="5">
        <v>7.0</v>
      </c>
      <c r="L52" s="5">
        <v>7.0</v>
      </c>
      <c r="M52" s="5">
        <v>6.0</v>
      </c>
      <c r="N52" s="5">
        <v>7.0</v>
      </c>
      <c r="O52" s="5">
        <v>7.0</v>
      </c>
      <c r="P52" s="5">
        <v>7.0</v>
      </c>
      <c r="Q52" s="5">
        <v>7.0</v>
      </c>
      <c r="R52" s="5">
        <v>6.0</v>
      </c>
      <c r="S52" s="5">
        <v>6.0</v>
      </c>
      <c r="T52" s="5">
        <v>7.0</v>
      </c>
      <c r="U52" s="5">
        <v>2.0</v>
      </c>
      <c r="V52" s="5">
        <f t="shared" si="1"/>
        <v>6</v>
      </c>
      <c r="W52" s="5" t="s">
        <v>518</v>
      </c>
      <c r="X52" s="5" t="s">
        <v>206</v>
      </c>
      <c r="Y52" s="5">
        <v>7.0</v>
      </c>
      <c r="Z52" s="5">
        <v>7.0</v>
      </c>
      <c r="AA52" s="5">
        <v>7.0</v>
      </c>
      <c r="AB52" s="5">
        <v>7.0</v>
      </c>
      <c r="AC52" s="5">
        <v>7.0</v>
      </c>
      <c r="AD52" s="5">
        <v>7.0</v>
      </c>
      <c r="AE52" s="5" t="s">
        <v>519</v>
      </c>
      <c r="AF52" s="5" t="s">
        <v>206</v>
      </c>
      <c r="AG52" s="5">
        <v>7.0</v>
      </c>
      <c r="AH52" s="5">
        <v>6.0</v>
      </c>
      <c r="AI52" s="5">
        <v>7.0</v>
      </c>
      <c r="AJ52" s="5">
        <v>1.0</v>
      </c>
      <c r="AK52" s="5">
        <f t="shared" si="2"/>
        <v>7</v>
      </c>
      <c r="AL52" s="5">
        <v>1.0</v>
      </c>
      <c r="AM52" s="5">
        <f t="shared" si="3"/>
        <v>7</v>
      </c>
      <c r="AN52" s="5">
        <v>1.0</v>
      </c>
      <c r="AO52" s="5">
        <f t="shared" si="4"/>
        <v>7</v>
      </c>
      <c r="AP52" s="5">
        <v>1.0</v>
      </c>
      <c r="AQ52" s="5">
        <f t="shared" si="5"/>
        <v>7</v>
      </c>
      <c r="AR52" s="5" t="s">
        <v>520</v>
      </c>
    </row>
    <row r="53">
      <c r="A53" s="8">
        <f>IFERROR(__xludf.DUMMYFUNCTION("IF(E53="""", """", VALUE(REGEXREPLACE(E53, ""^[Pp]"", """")))"),21.0)</f>
        <v>21</v>
      </c>
      <c r="B53" s="8">
        <v>862.0</v>
      </c>
      <c r="C53" s="7">
        <v>45868.33611111111</v>
      </c>
      <c r="D53" s="5" t="s">
        <v>525</v>
      </c>
      <c r="E53" s="5" t="s">
        <v>501</v>
      </c>
      <c r="F53" s="5" t="s">
        <v>216</v>
      </c>
      <c r="G53" s="5">
        <v>5.0</v>
      </c>
      <c r="H53" s="5">
        <v>6.0</v>
      </c>
      <c r="I53" s="5" t="s">
        <v>199</v>
      </c>
      <c r="J53" s="5">
        <v>7.0</v>
      </c>
      <c r="K53" s="5">
        <v>6.0</v>
      </c>
      <c r="L53" s="5">
        <v>6.0</v>
      </c>
      <c r="M53" s="5">
        <v>5.0</v>
      </c>
      <c r="N53" s="5">
        <v>7.0</v>
      </c>
      <c r="O53" s="5">
        <v>7.0</v>
      </c>
      <c r="P53" s="5">
        <v>7.0</v>
      </c>
      <c r="Q53" s="5">
        <v>7.0</v>
      </c>
      <c r="R53" s="5">
        <v>6.0</v>
      </c>
      <c r="S53" s="5">
        <v>6.0</v>
      </c>
      <c r="T53" s="5">
        <v>7.0</v>
      </c>
      <c r="U53" s="5">
        <v>2.0</v>
      </c>
      <c r="V53" s="5">
        <f t="shared" si="1"/>
        <v>6</v>
      </c>
      <c r="W53" s="5" t="s">
        <v>526</v>
      </c>
      <c r="X53" s="5" t="s">
        <v>206</v>
      </c>
      <c r="Y53" s="5">
        <v>7.0</v>
      </c>
      <c r="Z53" s="5">
        <v>7.0</v>
      </c>
      <c r="AA53" s="5">
        <v>7.0</v>
      </c>
      <c r="AB53" s="5">
        <v>7.0</v>
      </c>
      <c r="AC53" s="5">
        <v>6.0</v>
      </c>
      <c r="AD53" s="5">
        <v>7.0</v>
      </c>
      <c r="AE53" s="5" t="s">
        <v>527</v>
      </c>
      <c r="AF53" s="5" t="s">
        <v>206</v>
      </c>
      <c r="AG53" s="5">
        <v>7.0</v>
      </c>
      <c r="AH53" s="5">
        <v>6.0</v>
      </c>
      <c r="AI53" s="5">
        <v>7.0</v>
      </c>
      <c r="AJ53" s="5">
        <v>1.0</v>
      </c>
      <c r="AK53" s="5">
        <f t="shared" si="2"/>
        <v>7</v>
      </c>
      <c r="AL53" s="5">
        <v>1.0</v>
      </c>
      <c r="AM53" s="5">
        <f t="shared" si="3"/>
        <v>7</v>
      </c>
      <c r="AN53" s="5">
        <v>1.0</v>
      </c>
      <c r="AO53" s="5">
        <f t="shared" si="4"/>
        <v>7</v>
      </c>
      <c r="AP53" s="5">
        <v>1.0</v>
      </c>
      <c r="AQ53" s="5">
        <f t="shared" si="5"/>
        <v>7</v>
      </c>
      <c r="AR53" s="5" t="s">
        <v>528</v>
      </c>
    </row>
    <row r="54">
      <c r="A54" s="8">
        <f>IFERROR(__xludf.DUMMYFUNCTION("IF(E54="""", """", VALUE(REGEXREPLACE(E54, ""^[Pp]"", """")))"),22.0)</f>
        <v>22</v>
      </c>
      <c r="B54" s="8">
        <v>1029.0</v>
      </c>
      <c r="C54" s="7">
        <v>45869.02222222222</v>
      </c>
      <c r="D54" s="5" t="s">
        <v>530</v>
      </c>
      <c r="E54" s="5" t="s">
        <v>531</v>
      </c>
      <c r="F54" s="5" t="s">
        <v>216</v>
      </c>
      <c r="G54" s="5">
        <v>5.0</v>
      </c>
      <c r="H54" s="5">
        <v>3.0</v>
      </c>
      <c r="I54" s="5" t="s">
        <v>199</v>
      </c>
      <c r="J54" s="5">
        <v>2.0</v>
      </c>
      <c r="K54" s="5">
        <v>5.0</v>
      </c>
      <c r="L54" s="5">
        <v>5.0</v>
      </c>
      <c r="M54" s="5">
        <v>5.0</v>
      </c>
      <c r="N54" s="5">
        <v>6.0</v>
      </c>
      <c r="O54" s="5">
        <v>6.0</v>
      </c>
      <c r="P54" s="5">
        <v>6.0</v>
      </c>
      <c r="Q54" s="5">
        <v>2.0</v>
      </c>
      <c r="R54" s="5">
        <v>3.0</v>
      </c>
      <c r="S54" s="5">
        <v>2.0</v>
      </c>
      <c r="T54" s="5">
        <v>6.0</v>
      </c>
      <c r="U54" s="5">
        <v>6.0</v>
      </c>
      <c r="V54" s="5">
        <f t="shared" si="1"/>
        <v>2</v>
      </c>
      <c r="W54" s="5" t="s">
        <v>532</v>
      </c>
      <c r="X54" s="5" t="s">
        <v>206</v>
      </c>
      <c r="Y54" s="5">
        <v>6.0</v>
      </c>
      <c r="Z54" s="5">
        <v>5.0</v>
      </c>
      <c r="AA54" s="5">
        <v>5.0</v>
      </c>
      <c r="AB54" s="5">
        <v>5.0</v>
      </c>
      <c r="AC54" s="5">
        <v>6.0</v>
      </c>
      <c r="AD54" s="5">
        <v>2.0</v>
      </c>
      <c r="AE54" s="5" t="s">
        <v>533</v>
      </c>
      <c r="AF54" s="5" t="s">
        <v>206</v>
      </c>
      <c r="AG54" s="5">
        <v>2.0</v>
      </c>
      <c r="AH54" s="5">
        <v>7.0</v>
      </c>
      <c r="AI54" s="5">
        <v>5.0</v>
      </c>
      <c r="AJ54" s="5">
        <v>3.0</v>
      </c>
      <c r="AK54" s="5">
        <f t="shared" si="2"/>
        <v>5</v>
      </c>
      <c r="AL54" s="5">
        <v>1.0</v>
      </c>
      <c r="AM54" s="5">
        <f t="shared" si="3"/>
        <v>7</v>
      </c>
      <c r="AN54" s="5">
        <v>1.0</v>
      </c>
      <c r="AO54" s="5">
        <f t="shared" si="4"/>
        <v>7</v>
      </c>
      <c r="AP54" s="5">
        <v>1.0</v>
      </c>
      <c r="AQ54" s="5">
        <f t="shared" si="5"/>
        <v>7</v>
      </c>
      <c r="AR54" s="5" t="s">
        <v>534</v>
      </c>
    </row>
    <row r="55">
      <c r="A55" s="8">
        <f>IFERROR(__xludf.DUMMYFUNCTION("IF(E55="""", """", VALUE(REGEXREPLACE(E55, ""^[Pp]"", """")))"),22.0)</f>
        <v>22</v>
      </c>
      <c r="B55" s="8">
        <v>497.0</v>
      </c>
      <c r="C55" s="7">
        <v>45869.041666666664</v>
      </c>
      <c r="D55" s="5" t="s">
        <v>540</v>
      </c>
      <c r="E55" s="5" t="s">
        <v>531</v>
      </c>
      <c r="F55" s="5" t="s">
        <v>197</v>
      </c>
      <c r="G55" s="5">
        <v>6.0</v>
      </c>
      <c r="H55" s="5">
        <v>2.0</v>
      </c>
      <c r="I55" s="5" t="s">
        <v>199</v>
      </c>
      <c r="J55" s="5">
        <v>3.0</v>
      </c>
      <c r="K55" s="5">
        <v>5.0</v>
      </c>
      <c r="L55" s="5">
        <v>6.0</v>
      </c>
      <c r="M55" s="5">
        <v>3.0</v>
      </c>
      <c r="N55" s="5">
        <v>5.0</v>
      </c>
      <c r="O55" s="5">
        <v>6.0</v>
      </c>
      <c r="P55" s="5">
        <v>5.0</v>
      </c>
      <c r="Q55" s="5">
        <v>2.0</v>
      </c>
      <c r="R55" s="5">
        <v>2.0</v>
      </c>
      <c r="S55" s="5">
        <v>2.0</v>
      </c>
      <c r="T55" s="5">
        <v>5.0</v>
      </c>
      <c r="U55" s="5">
        <v>5.0</v>
      </c>
      <c r="V55" s="5">
        <f t="shared" si="1"/>
        <v>3</v>
      </c>
      <c r="W55" s="5" t="s">
        <v>541</v>
      </c>
      <c r="X55" s="5" t="s">
        <v>206</v>
      </c>
      <c r="Y55" s="5">
        <v>5.0</v>
      </c>
      <c r="Z55" s="5">
        <v>6.0</v>
      </c>
      <c r="AA55" s="5">
        <v>5.0</v>
      </c>
      <c r="AB55" s="5">
        <v>3.0</v>
      </c>
      <c r="AC55" s="5">
        <v>5.0</v>
      </c>
      <c r="AD55" s="5">
        <v>6.0</v>
      </c>
      <c r="AE55" s="5" t="s">
        <v>542</v>
      </c>
      <c r="AG55" s="5">
        <v>5.0</v>
      </c>
      <c r="AH55" s="5">
        <v>2.0</v>
      </c>
      <c r="AI55" s="5">
        <v>6.0</v>
      </c>
      <c r="AJ55" s="5">
        <v>2.0</v>
      </c>
      <c r="AK55" s="5">
        <f t="shared" si="2"/>
        <v>6</v>
      </c>
      <c r="AL55" s="5">
        <v>2.0</v>
      </c>
      <c r="AM55" s="5">
        <f t="shared" si="3"/>
        <v>6</v>
      </c>
      <c r="AN55" s="5">
        <v>5.0</v>
      </c>
      <c r="AO55" s="5">
        <f t="shared" si="4"/>
        <v>3</v>
      </c>
      <c r="AP55" s="5">
        <v>5.0</v>
      </c>
      <c r="AQ55" s="5">
        <f t="shared" si="5"/>
        <v>3</v>
      </c>
      <c r="AR55" s="5" t="s">
        <v>543</v>
      </c>
    </row>
    <row r="56">
      <c r="A56" s="8">
        <f>IFERROR(__xludf.DUMMYFUNCTION("IF(E56="""", """", VALUE(REGEXREPLACE(E56, ""^[Pp]"", """")))"),22.0)</f>
        <v>22</v>
      </c>
      <c r="B56" s="8">
        <v>554.0</v>
      </c>
      <c r="C56" s="7">
        <v>45869.052777777775</v>
      </c>
      <c r="D56" s="5" t="s">
        <v>548</v>
      </c>
      <c r="E56" s="5" t="s">
        <v>531</v>
      </c>
      <c r="F56" s="5" t="s">
        <v>263</v>
      </c>
      <c r="G56" s="5">
        <v>5.0</v>
      </c>
      <c r="H56" s="5">
        <v>2.0</v>
      </c>
      <c r="I56" s="5" t="s">
        <v>199</v>
      </c>
      <c r="J56" s="5">
        <v>4.0</v>
      </c>
      <c r="K56" s="5">
        <v>3.0</v>
      </c>
      <c r="L56" s="5">
        <v>4.0</v>
      </c>
      <c r="M56" s="5">
        <v>3.0</v>
      </c>
      <c r="N56" s="5">
        <v>5.0</v>
      </c>
      <c r="O56" s="5">
        <v>5.0</v>
      </c>
      <c r="P56" s="5">
        <v>6.0</v>
      </c>
      <c r="Q56" s="5">
        <v>3.0</v>
      </c>
      <c r="R56" s="5">
        <v>3.0</v>
      </c>
      <c r="S56" s="5">
        <v>4.0</v>
      </c>
      <c r="T56" s="5">
        <v>5.0</v>
      </c>
      <c r="U56" s="5">
        <v>5.0</v>
      </c>
      <c r="V56" s="5">
        <f t="shared" si="1"/>
        <v>3</v>
      </c>
      <c r="W56" s="5" t="s">
        <v>549</v>
      </c>
      <c r="X56" s="5" t="s">
        <v>206</v>
      </c>
      <c r="Y56" s="5">
        <v>3.0</v>
      </c>
      <c r="Z56" s="5">
        <v>5.0</v>
      </c>
      <c r="AA56" s="5">
        <v>3.0</v>
      </c>
      <c r="AB56" s="5">
        <v>3.0</v>
      </c>
      <c r="AC56" s="5">
        <v>3.0</v>
      </c>
      <c r="AD56" s="5">
        <v>3.0</v>
      </c>
      <c r="AE56" s="5" t="s">
        <v>550</v>
      </c>
      <c r="AG56" s="5">
        <v>5.0</v>
      </c>
      <c r="AH56" s="5">
        <v>2.0</v>
      </c>
      <c r="AI56" s="5">
        <v>3.0</v>
      </c>
      <c r="AJ56" s="5">
        <v>2.0</v>
      </c>
      <c r="AK56" s="5">
        <f t="shared" si="2"/>
        <v>6</v>
      </c>
      <c r="AL56" s="5">
        <v>3.0</v>
      </c>
      <c r="AM56" s="5">
        <f t="shared" si="3"/>
        <v>5</v>
      </c>
      <c r="AN56" s="5">
        <v>5.0</v>
      </c>
      <c r="AO56" s="5">
        <f t="shared" si="4"/>
        <v>3</v>
      </c>
      <c r="AP56" s="5">
        <v>3.0</v>
      </c>
      <c r="AQ56" s="5">
        <f t="shared" si="5"/>
        <v>5</v>
      </c>
      <c r="AR56" s="5" t="s">
        <v>551</v>
      </c>
    </row>
    <row r="57">
      <c r="A57" s="8">
        <f>IFERROR(__xludf.DUMMYFUNCTION("IF(E57="""", """", VALUE(REGEXREPLACE(E57, ""^[Pp]"", """")))"),22.0)</f>
        <v>22</v>
      </c>
      <c r="B57" s="8">
        <v>680.0</v>
      </c>
      <c r="C57" s="7">
        <v>45869.06458333333</v>
      </c>
      <c r="D57" s="5" t="s">
        <v>556</v>
      </c>
      <c r="E57" s="5" t="s">
        <v>531</v>
      </c>
      <c r="F57" s="5" t="s">
        <v>211</v>
      </c>
      <c r="G57" s="5">
        <v>3.0</v>
      </c>
      <c r="H57" s="5">
        <v>3.0</v>
      </c>
      <c r="I57" s="5" t="s">
        <v>199</v>
      </c>
      <c r="J57" s="5">
        <v>3.0</v>
      </c>
      <c r="K57" s="5">
        <v>5.0</v>
      </c>
      <c r="L57" s="5">
        <v>5.0</v>
      </c>
      <c r="M57" s="5">
        <v>3.0</v>
      </c>
      <c r="N57" s="5">
        <v>5.0</v>
      </c>
      <c r="O57" s="5">
        <v>6.0</v>
      </c>
      <c r="P57" s="5">
        <v>5.0</v>
      </c>
      <c r="Q57" s="5">
        <v>6.0</v>
      </c>
      <c r="R57" s="5">
        <v>2.0</v>
      </c>
      <c r="S57" s="5">
        <v>5.0</v>
      </c>
      <c r="T57" s="5">
        <v>6.0</v>
      </c>
      <c r="U57" s="5">
        <v>5.0</v>
      </c>
      <c r="V57" s="5">
        <f t="shared" si="1"/>
        <v>3</v>
      </c>
      <c r="W57" s="5" t="s">
        <v>557</v>
      </c>
      <c r="X57" s="5" t="s">
        <v>206</v>
      </c>
      <c r="Y57" s="5">
        <v>4.0</v>
      </c>
      <c r="Z57" s="5">
        <v>5.0</v>
      </c>
      <c r="AA57" s="5">
        <v>5.0</v>
      </c>
      <c r="AB57" s="5">
        <v>6.0</v>
      </c>
      <c r="AC57" s="5">
        <v>5.0</v>
      </c>
      <c r="AD57" s="5">
        <v>5.0</v>
      </c>
      <c r="AE57" s="5" t="s">
        <v>558</v>
      </c>
      <c r="AF57" s="5" t="s">
        <v>206</v>
      </c>
      <c r="AG57" s="5">
        <v>3.0</v>
      </c>
      <c r="AH57" s="5">
        <v>5.0</v>
      </c>
      <c r="AI57" s="5">
        <v>5.0</v>
      </c>
      <c r="AJ57" s="5">
        <v>1.0</v>
      </c>
      <c r="AK57" s="5">
        <f t="shared" si="2"/>
        <v>7</v>
      </c>
      <c r="AL57" s="5">
        <v>1.0</v>
      </c>
      <c r="AM57" s="5">
        <f t="shared" si="3"/>
        <v>7</v>
      </c>
      <c r="AN57" s="5">
        <v>2.0</v>
      </c>
      <c r="AO57" s="5">
        <f t="shared" si="4"/>
        <v>6</v>
      </c>
      <c r="AP57" s="5">
        <v>1.0</v>
      </c>
      <c r="AQ57" s="5">
        <f t="shared" si="5"/>
        <v>7</v>
      </c>
      <c r="AR57" s="5" t="s">
        <v>559</v>
      </c>
    </row>
    <row r="58">
      <c r="A58" s="8">
        <f>IFERROR(__xludf.DUMMYFUNCTION("IF(E58="""", """", VALUE(REGEXREPLACE(E58, ""^[Pp]"", """")))"),23.0)</f>
        <v>23</v>
      </c>
      <c r="B58" s="8">
        <v>1024.0</v>
      </c>
      <c r="C58" s="7">
        <v>45869.092361111114</v>
      </c>
      <c r="D58" s="5" t="s">
        <v>572</v>
      </c>
      <c r="E58" s="5" t="s">
        <v>573</v>
      </c>
      <c r="F58" s="5" t="s">
        <v>211</v>
      </c>
      <c r="G58" s="5">
        <v>6.0</v>
      </c>
      <c r="H58" s="5">
        <v>5.0</v>
      </c>
      <c r="I58" s="5" t="s">
        <v>199</v>
      </c>
      <c r="J58" s="5">
        <v>4.0</v>
      </c>
      <c r="K58" s="5">
        <v>7.0</v>
      </c>
      <c r="L58" s="5">
        <v>6.0</v>
      </c>
      <c r="M58" s="5">
        <v>6.0</v>
      </c>
      <c r="N58" s="5">
        <v>7.0</v>
      </c>
      <c r="O58" s="5">
        <v>7.0</v>
      </c>
      <c r="P58" s="5">
        <v>5.0</v>
      </c>
      <c r="Q58" s="5">
        <v>6.0</v>
      </c>
      <c r="R58" s="5">
        <v>4.0</v>
      </c>
      <c r="S58" s="5">
        <v>3.0</v>
      </c>
      <c r="T58" s="5">
        <v>7.0</v>
      </c>
      <c r="U58" s="5">
        <v>5.0</v>
      </c>
      <c r="V58" s="5">
        <f t="shared" si="1"/>
        <v>3</v>
      </c>
      <c r="W58" s="5" t="s">
        <v>574</v>
      </c>
      <c r="X58" s="5" t="s">
        <v>206</v>
      </c>
      <c r="Y58" s="5">
        <v>3.0</v>
      </c>
      <c r="Z58" s="5">
        <v>7.0</v>
      </c>
      <c r="AA58" s="5">
        <v>7.0</v>
      </c>
      <c r="AB58" s="5">
        <v>3.0</v>
      </c>
      <c r="AC58" s="5">
        <v>6.0</v>
      </c>
      <c r="AD58" s="5">
        <v>7.0</v>
      </c>
      <c r="AE58" s="5" t="s">
        <v>575</v>
      </c>
      <c r="AF58" s="5" t="s">
        <v>206</v>
      </c>
      <c r="AG58" s="5">
        <v>5.0</v>
      </c>
      <c r="AH58" s="5">
        <v>5.0</v>
      </c>
      <c r="AI58" s="5">
        <v>7.0</v>
      </c>
      <c r="AJ58" s="5">
        <v>1.0</v>
      </c>
      <c r="AK58" s="5">
        <f t="shared" si="2"/>
        <v>7</v>
      </c>
      <c r="AL58" s="5">
        <v>1.0</v>
      </c>
      <c r="AM58" s="5">
        <f t="shared" si="3"/>
        <v>7</v>
      </c>
      <c r="AN58" s="5">
        <v>1.0</v>
      </c>
      <c r="AO58" s="5">
        <f t="shared" si="4"/>
        <v>7</v>
      </c>
      <c r="AP58" s="5">
        <v>1.0</v>
      </c>
      <c r="AQ58" s="5">
        <f t="shared" si="5"/>
        <v>7</v>
      </c>
      <c r="AR58" s="5" t="s">
        <v>576</v>
      </c>
    </row>
    <row r="59">
      <c r="A59" s="8">
        <f>IFERROR(__xludf.DUMMYFUNCTION("IF(E59="""", """", VALUE(REGEXREPLACE(E59, ""^[Pp]"", """")))"),23.0)</f>
        <v>23</v>
      </c>
      <c r="B59" s="8">
        <v>646.0</v>
      </c>
      <c r="C59" s="7">
        <v>45869.10486111111</v>
      </c>
      <c r="D59" s="5" t="s">
        <v>577</v>
      </c>
      <c r="E59" s="5" t="s">
        <v>573</v>
      </c>
      <c r="F59" s="5" t="s">
        <v>263</v>
      </c>
      <c r="G59" s="5">
        <v>7.0</v>
      </c>
      <c r="H59" s="5">
        <v>6.0</v>
      </c>
      <c r="I59" s="5" t="s">
        <v>199</v>
      </c>
      <c r="J59" s="5">
        <v>6.0</v>
      </c>
      <c r="K59" s="5">
        <v>7.0</v>
      </c>
      <c r="L59" s="5">
        <v>7.0</v>
      </c>
      <c r="M59" s="5">
        <v>3.0</v>
      </c>
      <c r="N59" s="5">
        <v>7.0</v>
      </c>
      <c r="O59" s="5">
        <v>7.0</v>
      </c>
      <c r="P59" s="5">
        <v>7.0</v>
      </c>
      <c r="Q59" s="5">
        <v>6.0</v>
      </c>
      <c r="R59" s="5">
        <v>6.0</v>
      </c>
      <c r="S59" s="5">
        <v>6.0</v>
      </c>
      <c r="T59" s="5">
        <v>7.0</v>
      </c>
      <c r="U59" s="5">
        <v>3.0</v>
      </c>
      <c r="V59" s="5">
        <f t="shared" si="1"/>
        <v>5</v>
      </c>
      <c r="W59" s="5" t="s">
        <v>578</v>
      </c>
      <c r="X59" s="5" t="s">
        <v>206</v>
      </c>
      <c r="Y59" s="5">
        <v>5.0</v>
      </c>
      <c r="Z59" s="5">
        <v>7.0</v>
      </c>
      <c r="AA59" s="5">
        <v>7.0</v>
      </c>
      <c r="AB59" s="5">
        <v>7.0</v>
      </c>
      <c r="AC59" s="5">
        <v>7.0</v>
      </c>
      <c r="AD59" s="5">
        <v>7.0</v>
      </c>
      <c r="AE59" s="5" t="s">
        <v>579</v>
      </c>
      <c r="AF59" s="5" t="s">
        <v>206</v>
      </c>
      <c r="AG59" s="5">
        <v>7.0</v>
      </c>
      <c r="AH59" s="5">
        <v>3.0</v>
      </c>
      <c r="AI59" s="5">
        <v>7.0</v>
      </c>
      <c r="AJ59" s="5">
        <v>5.0</v>
      </c>
      <c r="AK59" s="5">
        <f t="shared" si="2"/>
        <v>3</v>
      </c>
      <c r="AL59" s="5">
        <v>6.0</v>
      </c>
      <c r="AM59" s="5">
        <f t="shared" si="3"/>
        <v>2</v>
      </c>
      <c r="AN59" s="5">
        <v>1.0</v>
      </c>
      <c r="AO59" s="5">
        <f t="shared" si="4"/>
        <v>7</v>
      </c>
      <c r="AP59" s="5">
        <v>1.0</v>
      </c>
      <c r="AQ59" s="5">
        <f t="shared" si="5"/>
        <v>7</v>
      </c>
      <c r="AR59" s="5" t="s">
        <v>580</v>
      </c>
    </row>
    <row r="60">
      <c r="A60" s="8">
        <f>IFERROR(__xludf.DUMMYFUNCTION("IF(E60="""", """", VALUE(REGEXREPLACE(E60, ""^[Pp]"", """")))"),23.0)</f>
        <v>23</v>
      </c>
      <c r="B60" s="8">
        <v>484.0</v>
      </c>
      <c r="C60" s="7">
        <v>45869.114583333336</v>
      </c>
      <c r="D60" s="5" t="s">
        <v>586</v>
      </c>
      <c r="E60" s="5" t="s">
        <v>573</v>
      </c>
      <c r="F60" s="5" t="s">
        <v>197</v>
      </c>
      <c r="G60" s="5">
        <v>7.0</v>
      </c>
      <c r="H60" s="5">
        <v>6.0</v>
      </c>
      <c r="I60" s="5" t="s">
        <v>199</v>
      </c>
      <c r="J60" s="5">
        <v>6.0</v>
      </c>
      <c r="K60" s="5">
        <v>7.0</v>
      </c>
      <c r="L60" s="5">
        <v>7.0</v>
      </c>
      <c r="M60" s="5">
        <v>6.0</v>
      </c>
      <c r="N60" s="5">
        <v>7.0</v>
      </c>
      <c r="O60" s="5">
        <v>7.0</v>
      </c>
      <c r="P60" s="5">
        <v>7.0</v>
      </c>
      <c r="Q60" s="5">
        <v>7.0</v>
      </c>
      <c r="R60" s="5">
        <v>3.0</v>
      </c>
      <c r="S60" s="5">
        <v>3.0</v>
      </c>
      <c r="T60" s="5">
        <v>7.0</v>
      </c>
      <c r="U60" s="5">
        <v>3.0</v>
      </c>
      <c r="V60" s="5">
        <f t="shared" si="1"/>
        <v>5</v>
      </c>
      <c r="W60" s="5" t="s">
        <v>587</v>
      </c>
      <c r="X60" s="5" t="s">
        <v>206</v>
      </c>
      <c r="Y60" s="5">
        <v>6.0</v>
      </c>
      <c r="Z60" s="5">
        <v>7.0</v>
      </c>
      <c r="AA60" s="5">
        <v>7.0</v>
      </c>
      <c r="AB60" s="5">
        <v>7.0</v>
      </c>
      <c r="AC60" s="5">
        <v>7.0</v>
      </c>
      <c r="AD60" s="5">
        <v>7.0</v>
      </c>
      <c r="AE60" s="5" t="s">
        <v>588</v>
      </c>
      <c r="AF60" s="5" t="s">
        <v>206</v>
      </c>
      <c r="AG60" s="5">
        <v>7.0</v>
      </c>
      <c r="AH60" s="5">
        <v>7.0</v>
      </c>
      <c r="AI60" s="5">
        <v>7.0</v>
      </c>
      <c r="AJ60" s="5">
        <v>7.0</v>
      </c>
      <c r="AK60" s="5">
        <f t="shared" si="2"/>
        <v>1</v>
      </c>
      <c r="AL60" s="5">
        <v>7.0</v>
      </c>
      <c r="AM60" s="5">
        <f t="shared" si="3"/>
        <v>1</v>
      </c>
      <c r="AN60" s="5">
        <v>5.0</v>
      </c>
      <c r="AO60" s="5">
        <f t="shared" si="4"/>
        <v>3</v>
      </c>
      <c r="AP60" s="5">
        <v>2.0</v>
      </c>
      <c r="AQ60" s="5">
        <f t="shared" si="5"/>
        <v>6</v>
      </c>
      <c r="AR60" s="5" t="s">
        <v>589</v>
      </c>
    </row>
    <row r="61">
      <c r="A61" s="8">
        <f>IFERROR(__xludf.DUMMYFUNCTION("IF(E61="""", """", VALUE(REGEXREPLACE(E61, ""^[Pp]"", """")))"),23.0)</f>
        <v>23</v>
      </c>
      <c r="B61" s="8">
        <v>768.0</v>
      </c>
      <c r="C61" s="7">
        <v>45869.12569444445</v>
      </c>
      <c r="D61" s="5" t="s">
        <v>590</v>
      </c>
      <c r="E61" s="5" t="s">
        <v>573</v>
      </c>
      <c r="F61" s="5" t="s">
        <v>216</v>
      </c>
      <c r="G61" s="5">
        <v>7.0</v>
      </c>
      <c r="H61" s="5">
        <v>5.0</v>
      </c>
      <c r="I61" s="5" t="s">
        <v>199</v>
      </c>
      <c r="J61" s="5">
        <v>5.0</v>
      </c>
      <c r="K61" s="5">
        <v>7.0</v>
      </c>
      <c r="L61" s="5">
        <v>6.0</v>
      </c>
      <c r="M61" s="5">
        <v>4.0</v>
      </c>
      <c r="N61" s="5">
        <v>5.0</v>
      </c>
      <c r="O61" s="5">
        <v>5.0</v>
      </c>
      <c r="P61" s="5">
        <v>4.0</v>
      </c>
      <c r="Q61" s="5">
        <v>5.0</v>
      </c>
      <c r="R61" s="5">
        <v>5.0</v>
      </c>
      <c r="S61" s="5">
        <v>5.0</v>
      </c>
      <c r="T61" s="5">
        <v>5.0</v>
      </c>
      <c r="U61" s="5">
        <v>5.0</v>
      </c>
      <c r="V61" s="5">
        <f t="shared" si="1"/>
        <v>3</v>
      </c>
      <c r="W61" s="5" t="s">
        <v>591</v>
      </c>
      <c r="X61" s="5" t="s">
        <v>206</v>
      </c>
      <c r="Y61" s="5">
        <v>6.0</v>
      </c>
      <c r="Z61" s="5">
        <v>7.0</v>
      </c>
      <c r="AA61" s="5">
        <v>7.0</v>
      </c>
      <c r="AB61" s="5">
        <v>5.0</v>
      </c>
      <c r="AC61" s="5">
        <v>6.0</v>
      </c>
      <c r="AD61" s="5">
        <v>7.0</v>
      </c>
      <c r="AE61" s="5" t="s">
        <v>592</v>
      </c>
      <c r="AF61" s="5" t="s">
        <v>206</v>
      </c>
      <c r="AG61" s="5">
        <v>7.0</v>
      </c>
      <c r="AH61" s="5">
        <v>5.0</v>
      </c>
      <c r="AI61" s="5">
        <v>7.0</v>
      </c>
      <c r="AJ61" s="5">
        <v>1.0</v>
      </c>
      <c r="AK61" s="5">
        <f t="shared" si="2"/>
        <v>7</v>
      </c>
      <c r="AL61" s="5">
        <v>1.0</v>
      </c>
      <c r="AM61" s="5">
        <f t="shared" si="3"/>
        <v>7</v>
      </c>
      <c r="AN61" s="5">
        <v>1.0</v>
      </c>
      <c r="AO61" s="5">
        <f t="shared" si="4"/>
        <v>7</v>
      </c>
      <c r="AP61" s="5">
        <v>1.0</v>
      </c>
      <c r="AQ61" s="5">
        <f t="shared" si="5"/>
        <v>7</v>
      </c>
      <c r="AR61" s="5" t="s">
        <v>593</v>
      </c>
    </row>
    <row r="62">
      <c r="A62" s="8">
        <f>IFERROR(__xludf.DUMMYFUNCTION("IF(E62="""", """", VALUE(REGEXREPLACE(E62, ""^[Pp]"", """")))"),24.0)</f>
        <v>24</v>
      </c>
      <c r="B62" s="8">
        <v>1424.0</v>
      </c>
      <c r="C62" s="7">
        <v>45869.10902777778</v>
      </c>
      <c r="D62" s="5" t="s">
        <v>581</v>
      </c>
      <c r="E62" s="5" t="s">
        <v>582</v>
      </c>
      <c r="F62" s="5" t="s">
        <v>197</v>
      </c>
      <c r="G62" s="5">
        <v>6.0</v>
      </c>
      <c r="H62" s="5">
        <v>6.0</v>
      </c>
      <c r="I62" s="5" t="s">
        <v>199</v>
      </c>
      <c r="J62" s="5">
        <v>7.0</v>
      </c>
      <c r="K62" s="5">
        <v>7.0</v>
      </c>
      <c r="L62" s="5">
        <v>5.0</v>
      </c>
      <c r="M62" s="5">
        <v>6.0</v>
      </c>
      <c r="N62" s="5">
        <v>7.0</v>
      </c>
      <c r="O62" s="5">
        <v>6.0</v>
      </c>
      <c r="P62" s="5">
        <v>6.0</v>
      </c>
      <c r="Q62" s="5">
        <v>7.0</v>
      </c>
      <c r="R62" s="5">
        <v>6.0</v>
      </c>
      <c r="S62" s="5">
        <v>5.0</v>
      </c>
      <c r="T62" s="5">
        <v>7.0</v>
      </c>
      <c r="U62" s="5">
        <v>6.0</v>
      </c>
      <c r="V62" s="5">
        <f t="shared" si="1"/>
        <v>2</v>
      </c>
      <c r="W62" s="5" t="s">
        <v>583</v>
      </c>
      <c r="X62" s="5" t="s">
        <v>206</v>
      </c>
      <c r="Y62" s="5">
        <v>6.0</v>
      </c>
      <c r="Z62" s="5">
        <v>6.0</v>
      </c>
      <c r="AA62" s="5">
        <v>7.0</v>
      </c>
      <c r="AB62" s="5">
        <v>6.0</v>
      </c>
      <c r="AC62" s="5">
        <v>7.0</v>
      </c>
      <c r="AD62" s="5">
        <v>7.0</v>
      </c>
      <c r="AE62" s="11" t="s">
        <v>584</v>
      </c>
      <c r="AF62" s="5" t="s">
        <v>206</v>
      </c>
      <c r="AG62" s="5">
        <v>6.0</v>
      </c>
      <c r="AH62" s="5">
        <v>6.0</v>
      </c>
      <c r="AI62" s="5">
        <v>7.0</v>
      </c>
      <c r="AJ62" s="5">
        <v>1.0</v>
      </c>
      <c r="AK62" s="5">
        <f t="shared" si="2"/>
        <v>7</v>
      </c>
      <c r="AL62" s="5">
        <v>1.0</v>
      </c>
      <c r="AM62" s="5">
        <f t="shared" si="3"/>
        <v>7</v>
      </c>
      <c r="AN62" s="5">
        <v>1.0</v>
      </c>
      <c r="AO62" s="5">
        <f t="shared" si="4"/>
        <v>7</v>
      </c>
      <c r="AP62" s="5">
        <v>1.0</v>
      </c>
      <c r="AQ62" s="5">
        <f t="shared" si="5"/>
        <v>7</v>
      </c>
      <c r="AR62" s="5" t="s">
        <v>585</v>
      </c>
    </row>
    <row r="63">
      <c r="A63" s="8">
        <f>IFERROR(__xludf.DUMMYFUNCTION("IF(E63="""", """", VALUE(REGEXREPLACE(E63, ""^[Pp]"", """")))"),24.0)</f>
        <v>24</v>
      </c>
      <c r="B63" s="8">
        <v>1117.0</v>
      </c>
      <c r="C63" s="7">
        <v>45869.17638888889</v>
      </c>
      <c r="D63" s="5" t="s">
        <v>596</v>
      </c>
      <c r="E63" s="5" t="s">
        <v>582</v>
      </c>
      <c r="F63" s="5" t="s">
        <v>211</v>
      </c>
      <c r="G63" s="5">
        <v>6.0</v>
      </c>
      <c r="H63" s="5">
        <v>5.0</v>
      </c>
      <c r="I63" s="5" t="s">
        <v>199</v>
      </c>
      <c r="J63" s="5">
        <v>7.0</v>
      </c>
      <c r="K63" s="5">
        <v>7.0</v>
      </c>
      <c r="L63" s="5">
        <v>5.0</v>
      </c>
      <c r="M63" s="5">
        <v>5.0</v>
      </c>
      <c r="N63" s="5">
        <v>6.0</v>
      </c>
      <c r="O63" s="5">
        <v>6.0</v>
      </c>
      <c r="P63" s="5">
        <v>6.0</v>
      </c>
      <c r="Q63" s="5">
        <v>7.0</v>
      </c>
      <c r="R63" s="5">
        <v>5.0</v>
      </c>
      <c r="S63" s="5">
        <v>4.0</v>
      </c>
      <c r="T63" s="5">
        <v>6.0</v>
      </c>
      <c r="U63" s="5">
        <v>4.0</v>
      </c>
      <c r="V63" s="5">
        <f t="shared" si="1"/>
        <v>4</v>
      </c>
      <c r="W63" s="5" t="s">
        <v>597</v>
      </c>
      <c r="X63" s="5" t="s">
        <v>206</v>
      </c>
      <c r="Y63" s="5">
        <v>6.0</v>
      </c>
      <c r="Z63" s="5">
        <v>7.0</v>
      </c>
      <c r="AA63" s="5">
        <v>7.0</v>
      </c>
      <c r="AB63" s="5">
        <v>7.0</v>
      </c>
      <c r="AC63" s="5">
        <v>7.0</v>
      </c>
      <c r="AD63" s="5">
        <v>7.0</v>
      </c>
      <c r="AE63" s="5" t="s">
        <v>598</v>
      </c>
      <c r="AF63" s="5" t="s">
        <v>206</v>
      </c>
      <c r="AG63" s="5">
        <v>6.0</v>
      </c>
      <c r="AH63" s="5">
        <v>6.0</v>
      </c>
      <c r="AI63" s="5">
        <v>7.0</v>
      </c>
      <c r="AJ63" s="5">
        <v>1.0</v>
      </c>
      <c r="AK63" s="5">
        <f t="shared" si="2"/>
        <v>7</v>
      </c>
      <c r="AL63" s="5">
        <v>1.0</v>
      </c>
      <c r="AM63" s="5">
        <f t="shared" si="3"/>
        <v>7</v>
      </c>
      <c r="AN63" s="5">
        <v>1.0</v>
      </c>
      <c r="AO63" s="5">
        <f t="shared" si="4"/>
        <v>7</v>
      </c>
      <c r="AP63" s="5">
        <v>1.0</v>
      </c>
      <c r="AQ63" s="5">
        <f t="shared" si="5"/>
        <v>7</v>
      </c>
      <c r="AR63" s="5" t="s">
        <v>599</v>
      </c>
    </row>
    <row r="64">
      <c r="A64" s="8">
        <f>IFERROR(__xludf.DUMMYFUNCTION("IF(E64="""", """", VALUE(REGEXREPLACE(E64, ""^[Pp]"", """")))"),24.0)</f>
        <v>24</v>
      </c>
      <c r="B64" s="8">
        <v>808.0</v>
      </c>
      <c r="C64" s="7">
        <v>45869.19236111111</v>
      </c>
      <c r="D64" s="5" t="s">
        <v>612</v>
      </c>
      <c r="E64" s="5" t="s">
        <v>582</v>
      </c>
      <c r="F64" s="5" t="s">
        <v>263</v>
      </c>
      <c r="G64" s="5">
        <v>7.0</v>
      </c>
      <c r="H64" s="5">
        <v>5.0</v>
      </c>
      <c r="I64" s="5" t="s">
        <v>199</v>
      </c>
      <c r="J64" s="5">
        <v>7.0</v>
      </c>
      <c r="K64" s="5">
        <v>7.0</v>
      </c>
      <c r="L64" s="5">
        <v>5.0</v>
      </c>
      <c r="M64" s="5">
        <v>5.0</v>
      </c>
      <c r="N64" s="5">
        <v>6.0</v>
      </c>
      <c r="O64" s="5">
        <v>6.0</v>
      </c>
      <c r="P64" s="5">
        <v>5.0</v>
      </c>
      <c r="Q64" s="5">
        <v>6.0</v>
      </c>
      <c r="R64" s="5">
        <v>5.0</v>
      </c>
      <c r="S64" s="5">
        <v>2.0</v>
      </c>
      <c r="T64" s="5">
        <v>6.0</v>
      </c>
      <c r="U64" s="5">
        <v>5.0</v>
      </c>
      <c r="V64" s="5">
        <f t="shared" si="1"/>
        <v>3</v>
      </c>
      <c r="W64" s="5" t="s">
        <v>613</v>
      </c>
      <c r="X64" s="5" t="s">
        <v>206</v>
      </c>
      <c r="Y64" s="5">
        <v>7.0</v>
      </c>
      <c r="Z64" s="5">
        <v>7.0</v>
      </c>
      <c r="AA64" s="5">
        <v>7.0</v>
      </c>
      <c r="AB64" s="5">
        <v>7.0</v>
      </c>
      <c r="AC64" s="5">
        <v>7.0</v>
      </c>
      <c r="AD64" s="5">
        <v>7.0</v>
      </c>
      <c r="AE64" s="5" t="s">
        <v>614</v>
      </c>
      <c r="AF64" s="5" t="s">
        <v>206</v>
      </c>
      <c r="AG64" s="5">
        <v>7.0</v>
      </c>
      <c r="AH64" s="5">
        <v>6.0</v>
      </c>
      <c r="AI64" s="5">
        <v>7.0</v>
      </c>
      <c r="AJ64" s="5">
        <v>1.0</v>
      </c>
      <c r="AK64" s="5">
        <f t="shared" si="2"/>
        <v>7</v>
      </c>
      <c r="AL64" s="5">
        <v>1.0</v>
      </c>
      <c r="AM64" s="5">
        <f t="shared" si="3"/>
        <v>7</v>
      </c>
      <c r="AN64" s="5">
        <v>1.0</v>
      </c>
      <c r="AO64" s="5">
        <f t="shared" si="4"/>
        <v>7</v>
      </c>
      <c r="AP64" s="5">
        <v>1.0</v>
      </c>
      <c r="AQ64" s="5">
        <f t="shared" si="5"/>
        <v>7</v>
      </c>
      <c r="AR64" s="5" t="s">
        <v>615</v>
      </c>
    </row>
    <row r="65">
      <c r="A65" s="8">
        <f>IFERROR(__xludf.DUMMYFUNCTION("IF(E65="""", """", VALUE(REGEXREPLACE(E65, ""^[Pp]"", """")))"),24.0)</f>
        <v>24</v>
      </c>
      <c r="B65" s="8">
        <v>677.0</v>
      </c>
      <c r="C65" s="7">
        <v>45869.20416666667</v>
      </c>
      <c r="D65" s="5" t="s">
        <v>620</v>
      </c>
      <c r="E65" s="5" t="s">
        <v>582</v>
      </c>
      <c r="F65" s="5" t="s">
        <v>216</v>
      </c>
      <c r="G65" s="5">
        <v>7.0</v>
      </c>
      <c r="H65" s="5">
        <v>4.0</v>
      </c>
      <c r="I65" s="5" t="s">
        <v>199</v>
      </c>
      <c r="J65" s="5">
        <v>7.0</v>
      </c>
      <c r="K65" s="5">
        <v>7.0</v>
      </c>
      <c r="L65" s="5">
        <v>3.0</v>
      </c>
      <c r="M65" s="5">
        <v>6.0</v>
      </c>
      <c r="N65" s="5">
        <v>6.0</v>
      </c>
      <c r="O65" s="5">
        <v>6.0</v>
      </c>
      <c r="P65" s="5">
        <v>6.0</v>
      </c>
      <c r="Q65" s="5">
        <v>6.0</v>
      </c>
      <c r="R65" s="5">
        <v>3.0</v>
      </c>
      <c r="S65" s="5">
        <v>1.0</v>
      </c>
      <c r="T65" s="5">
        <v>6.0</v>
      </c>
      <c r="U65" s="5">
        <v>4.0</v>
      </c>
      <c r="V65" s="5">
        <f t="shared" si="1"/>
        <v>4</v>
      </c>
      <c r="W65" s="5" t="s">
        <v>621</v>
      </c>
      <c r="X65" s="5" t="s">
        <v>206</v>
      </c>
      <c r="Y65" s="5">
        <v>6.0</v>
      </c>
      <c r="Z65" s="5">
        <v>6.0</v>
      </c>
      <c r="AA65" s="5">
        <v>7.0</v>
      </c>
      <c r="AB65" s="5">
        <v>6.0</v>
      </c>
      <c r="AC65" s="5">
        <v>7.0</v>
      </c>
      <c r="AD65" s="5">
        <v>7.0</v>
      </c>
      <c r="AE65" s="5" t="s">
        <v>622</v>
      </c>
      <c r="AF65" s="5" t="s">
        <v>206</v>
      </c>
      <c r="AG65" s="5">
        <v>7.0</v>
      </c>
      <c r="AH65" s="5">
        <v>7.0</v>
      </c>
      <c r="AI65" s="5">
        <v>7.0</v>
      </c>
      <c r="AJ65" s="5">
        <v>1.0</v>
      </c>
      <c r="AK65" s="5">
        <f t="shared" si="2"/>
        <v>7</v>
      </c>
      <c r="AL65" s="5">
        <v>1.0</v>
      </c>
      <c r="AM65" s="5">
        <f t="shared" si="3"/>
        <v>7</v>
      </c>
      <c r="AN65" s="5">
        <v>1.0</v>
      </c>
      <c r="AO65" s="5">
        <f t="shared" si="4"/>
        <v>7</v>
      </c>
      <c r="AP65" s="5">
        <v>1.0</v>
      </c>
      <c r="AQ65" s="5">
        <f t="shared" si="5"/>
        <v>7</v>
      </c>
      <c r="AR65" s="5" t="s">
        <v>623</v>
      </c>
    </row>
    <row r="66">
      <c r="A66" s="8">
        <f>IFERROR(__xludf.DUMMYFUNCTION("IF(E66="""", """", VALUE(REGEXREPLACE(E66, ""^[Pp]"", """")))"),25.0)</f>
        <v>25</v>
      </c>
      <c r="B66" s="8">
        <v>644.0</v>
      </c>
      <c r="C66" s="7">
        <v>45869.165972222225</v>
      </c>
      <c r="D66" s="5" t="s">
        <v>594</v>
      </c>
      <c r="E66" s="5" t="s">
        <v>595</v>
      </c>
      <c r="F66" s="5" t="s">
        <v>216</v>
      </c>
      <c r="G66" s="5">
        <v>6.0</v>
      </c>
      <c r="H66" s="5">
        <v>5.0</v>
      </c>
      <c r="I66" s="5" t="s">
        <v>199</v>
      </c>
      <c r="J66" s="5">
        <v>6.0</v>
      </c>
      <c r="K66" s="5">
        <v>4.0</v>
      </c>
      <c r="L66" s="5">
        <v>6.0</v>
      </c>
      <c r="M66" s="5">
        <v>5.0</v>
      </c>
      <c r="N66" s="5">
        <v>5.0</v>
      </c>
      <c r="O66" s="5">
        <v>4.0</v>
      </c>
      <c r="P66" s="5">
        <v>5.0</v>
      </c>
      <c r="Q66" s="5">
        <v>5.0</v>
      </c>
      <c r="R66" s="5">
        <v>5.0</v>
      </c>
      <c r="S66" s="5">
        <v>3.0</v>
      </c>
      <c r="T66" s="5">
        <v>5.0</v>
      </c>
      <c r="U66" s="5">
        <v>4.0</v>
      </c>
      <c r="V66" s="5">
        <f t="shared" si="1"/>
        <v>4</v>
      </c>
      <c r="W66" s="5" t="s">
        <v>413</v>
      </c>
      <c r="X66" s="5" t="s">
        <v>206</v>
      </c>
      <c r="Y66" s="5">
        <v>5.0</v>
      </c>
      <c r="Z66" s="5">
        <v>3.0</v>
      </c>
      <c r="AA66" s="5">
        <v>4.0</v>
      </c>
      <c r="AB66" s="5">
        <v>3.0</v>
      </c>
      <c r="AC66" s="5">
        <v>3.0</v>
      </c>
      <c r="AD66" s="5">
        <v>3.0</v>
      </c>
      <c r="AE66" s="5" t="s">
        <v>413</v>
      </c>
      <c r="AF66" s="5" t="s">
        <v>206</v>
      </c>
      <c r="AG66" s="5">
        <v>5.0</v>
      </c>
      <c r="AH66" s="5">
        <v>6.0</v>
      </c>
      <c r="AI66" s="5">
        <v>5.0</v>
      </c>
      <c r="AJ66" s="5">
        <v>3.0</v>
      </c>
      <c r="AK66" s="5">
        <f t="shared" si="2"/>
        <v>5</v>
      </c>
      <c r="AL66" s="5">
        <v>3.0</v>
      </c>
      <c r="AM66" s="5">
        <f t="shared" si="3"/>
        <v>5</v>
      </c>
      <c r="AN66" s="5">
        <v>3.0</v>
      </c>
      <c r="AO66" s="5">
        <f t="shared" si="4"/>
        <v>5</v>
      </c>
      <c r="AP66" s="5">
        <v>3.0</v>
      </c>
      <c r="AQ66" s="5">
        <f t="shared" si="5"/>
        <v>5</v>
      </c>
      <c r="AR66" s="5" t="s">
        <v>413</v>
      </c>
    </row>
    <row r="67">
      <c r="A67" s="8">
        <f>IFERROR(__xludf.DUMMYFUNCTION("IF(E67="""", """", VALUE(REGEXREPLACE(E67, ""^[Pp]"", """")))"),25.0)</f>
        <v>25</v>
      </c>
      <c r="B67" s="8">
        <v>447.0</v>
      </c>
      <c r="C67" s="7">
        <v>45869.18194444444</v>
      </c>
      <c r="D67" s="5" t="s">
        <v>600</v>
      </c>
      <c r="E67" s="5" t="s">
        <v>595</v>
      </c>
      <c r="F67" s="5" t="s">
        <v>263</v>
      </c>
      <c r="G67" s="5">
        <v>6.0</v>
      </c>
      <c r="H67" s="5">
        <v>5.0</v>
      </c>
      <c r="I67" s="5" t="s">
        <v>199</v>
      </c>
      <c r="J67" s="5">
        <v>6.0</v>
      </c>
      <c r="K67" s="5">
        <v>5.0</v>
      </c>
      <c r="L67" s="5">
        <v>6.0</v>
      </c>
      <c r="M67" s="5">
        <v>6.0</v>
      </c>
      <c r="N67" s="5">
        <v>6.0</v>
      </c>
      <c r="O67" s="5">
        <v>6.0</v>
      </c>
      <c r="P67" s="5">
        <v>6.0</v>
      </c>
      <c r="Q67" s="5">
        <v>6.0</v>
      </c>
      <c r="R67" s="5">
        <v>6.0</v>
      </c>
      <c r="S67" s="5">
        <v>3.0</v>
      </c>
      <c r="T67" s="5">
        <v>6.0</v>
      </c>
      <c r="U67" s="5">
        <v>5.0</v>
      </c>
      <c r="V67" s="5">
        <f t="shared" si="1"/>
        <v>3</v>
      </c>
      <c r="W67" s="5" t="s">
        <v>413</v>
      </c>
      <c r="X67" s="5" t="s">
        <v>206</v>
      </c>
      <c r="Y67" s="5">
        <v>6.0</v>
      </c>
      <c r="Z67" s="5">
        <v>6.0</v>
      </c>
      <c r="AA67" s="5">
        <v>6.0</v>
      </c>
      <c r="AB67" s="5">
        <v>6.0</v>
      </c>
      <c r="AC67" s="5">
        <v>6.0</v>
      </c>
      <c r="AD67" s="5">
        <v>5.0</v>
      </c>
      <c r="AE67" s="5" t="s">
        <v>413</v>
      </c>
      <c r="AF67" s="5" t="s">
        <v>206</v>
      </c>
      <c r="AG67" s="5">
        <v>6.0</v>
      </c>
      <c r="AH67" s="5">
        <v>6.0</v>
      </c>
      <c r="AI67" s="5">
        <v>5.0</v>
      </c>
      <c r="AJ67" s="5">
        <v>3.0</v>
      </c>
      <c r="AK67" s="5">
        <f t="shared" si="2"/>
        <v>5</v>
      </c>
      <c r="AL67" s="5">
        <v>2.0</v>
      </c>
      <c r="AM67" s="5">
        <f t="shared" si="3"/>
        <v>6</v>
      </c>
      <c r="AN67" s="5">
        <v>3.0</v>
      </c>
      <c r="AO67" s="5">
        <f t="shared" si="4"/>
        <v>5</v>
      </c>
      <c r="AP67" s="5">
        <v>2.0</v>
      </c>
      <c r="AQ67" s="5">
        <f t="shared" si="5"/>
        <v>6</v>
      </c>
      <c r="AR67" s="5" t="s">
        <v>413</v>
      </c>
    </row>
    <row r="68">
      <c r="A68" s="8">
        <f>IFERROR(__xludf.DUMMYFUNCTION("IF(E68="""", """", VALUE(REGEXREPLACE(E68, ""^[Pp]"", """")))"),25.0)</f>
        <v>25</v>
      </c>
      <c r="B68" s="8">
        <v>300.0</v>
      </c>
      <c r="C68" s="7">
        <v>45869.19097222222</v>
      </c>
      <c r="D68" s="5" t="s">
        <v>611</v>
      </c>
      <c r="E68" s="5" t="s">
        <v>595</v>
      </c>
      <c r="F68" s="5" t="s">
        <v>211</v>
      </c>
      <c r="G68" s="5">
        <v>5.0</v>
      </c>
      <c r="H68" s="5">
        <v>6.0</v>
      </c>
      <c r="I68" s="5" t="s">
        <v>199</v>
      </c>
      <c r="J68" s="5">
        <v>6.0</v>
      </c>
      <c r="K68" s="5">
        <v>6.0</v>
      </c>
      <c r="L68" s="5">
        <v>6.0</v>
      </c>
      <c r="M68" s="5">
        <v>6.0</v>
      </c>
      <c r="N68" s="5">
        <v>6.0</v>
      </c>
      <c r="O68" s="5">
        <v>6.0</v>
      </c>
      <c r="P68" s="5">
        <v>6.0</v>
      </c>
      <c r="Q68" s="5">
        <v>6.0</v>
      </c>
      <c r="R68" s="5">
        <v>6.0</v>
      </c>
      <c r="S68" s="5">
        <v>3.0</v>
      </c>
      <c r="T68" s="5">
        <v>6.0</v>
      </c>
      <c r="U68" s="5">
        <v>5.0</v>
      </c>
      <c r="V68" s="5">
        <f t="shared" si="1"/>
        <v>3</v>
      </c>
      <c r="W68" s="5" t="s">
        <v>413</v>
      </c>
      <c r="X68" s="5" t="s">
        <v>206</v>
      </c>
      <c r="Y68" s="5">
        <v>6.0</v>
      </c>
      <c r="Z68" s="5">
        <v>6.0</v>
      </c>
      <c r="AA68" s="5">
        <v>6.0</v>
      </c>
      <c r="AB68" s="5">
        <v>6.0</v>
      </c>
      <c r="AC68" s="5">
        <v>6.0</v>
      </c>
      <c r="AD68" s="5">
        <v>6.0</v>
      </c>
      <c r="AE68" s="5" t="s">
        <v>413</v>
      </c>
      <c r="AF68" s="5" t="s">
        <v>206</v>
      </c>
      <c r="AG68" s="5">
        <v>6.0</v>
      </c>
      <c r="AH68" s="5">
        <v>6.0</v>
      </c>
      <c r="AI68" s="5">
        <v>5.0</v>
      </c>
      <c r="AJ68" s="5">
        <v>2.0</v>
      </c>
      <c r="AK68" s="5">
        <f t="shared" si="2"/>
        <v>6</v>
      </c>
      <c r="AL68" s="5">
        <v>2.0</v>
      </c>
      <c r="AM68" s="5">
        <f t="shared" si="3"/>
        <v>6</v>
      </c>
      <c r="AN68" s="5">
        <v>2.0</v>
      </c>
      <c r="AO68" s="5">
        <f t="shared" si="4"/>
        <v>6</v>
      </c>
      <c r="AP68" s="5">
        <v>2.0</v>
      </c>
      <c r="AQ68" s="5">
        <f t="shared" si="5"/>
        <v>6</v>
      </c>
      <c r="AR68" s="5" t="s">
        <v>413</v>
      </c>
    </row>
    <row r="69">
      <c r="A69" s="8">
        <f>IFERROR(__xludf.DUMMYFUNCTION("IF(E69="""", """", VALUE(REGEXREPLACE(E69, ""^[Pp]"", """")))"),25.0)</f>
        <v>25</v>
      </c>
      <c r="B69" s="8">
        <v>417.0</v>
      </c>
      <c r="C69" s="7">
        <v>45869.21388888889</v>
      </c>
      <c r="D69" s="5" t="s">
        <v>628</v>
      </c>
      <c r="E69" s="5" t="s">
        <v>595</v>
      </c>
      <c r="F69" s="5" t="s">
        <v>197</v>
      </c>
      <c r="G69" s="5">
        <v>6.0</v>
      </c>
      <c r="H69" s="5">
        <v>6.0</v>
      </c>
      <c r="I69" s="5" t="s">
        <v>199</v>
      </c>
      <c r="J69" s="5">
        <v>5.0</v>
      </c>
      <c r="K69" s="5">
        <v>5.0</v>
      </c>
      <c r="L69" s="5">
        <v>3.0</v>
      </c>
      <c r="M69" s="5">
        <v>6.0</v>
      </c>
      <c r="N69" s="5">
        <v>6.0</v>
      </c>
      <c r="O69" s="5">
        <v>6.0</v>
      </c>
      <c r="P69" s="5">
        <v>3.0</v>
      </c>
      <c r="Q69" s="5">
        <v>6.0</v>
      </c>
      <c r="R69" s="5">
        <v>6.0</v>
      </c>
      <c r="S69" s="5">
        <v>3.0</v>
      </c>
      <c r="T69" s="5">
        <v>5.0</v>
      </c>
      <c r="U69" s="5">
        <v>3.0</v>
      </c>
      <c r="V69" s="5">
        <f t="shared" si="1"/>
        <v>5</v>
      </c>
      <c r="W69" s="5" t="s">
        <v>413</v>
      </c>
      <c r="X69" s="5" t="s">
        <v>206</v>
      </c>
      <c r="Y69" s="5">
        <v>6.0</v>
      </c>
      <c r="Z69" s="5">
        <v>6.0</v>
      </c>
      <c r="AA69" s="5">
        <v>6.0</v>
      </c>
      <c r="AB69" s="5">
        <v>6.0</v>
      </c>
      <c r="AC69" s="5">
        <v>6.0</v>
      </c>
      <c r="AD69" s="5">
        <v>6.0</v>
      </c>
      <c r="AE69" s="5" t="s">
        <v>413</v>
      </c>
      <c r="AF69" s="5" t="s">
        <v>206</v>
      </c>
      <c r="AG69" s="5">
        <v>6.0</v>
      </c>
      <c r="AH69" s="5">
        <v>5.0</v>
      </c>
      <c r="AI69" s="5">
        <v>5.0</v>
      </c>
      <c r="AJ69" s="5">
        <v>3.0</v>
      </c>
      <c r="AK69" s="5">
        <f t="shared" si="2"/>
        <v>5</v>
      </c>
      <c r="AL69" s="5">
        <v>3.0</v>
      </c>
      <c r="AM69" s="5">
        <f t="shared" si="3"/>
        <v>5</v>
      </c>
      <c r="AN69" s="5">
        <v>5.0</v>
      </c>
      <c r="AO69" s="5">
        <f t="shared" si="4"/>
        <v>3</v>
      </c>
      <c r="AP69" s="5">
        <v>4.0</v>
      </c>
      <c r="AQ69" s="5">
        <f t="shared" si="5"/>
        <v>4</v>
      </c>
      <c r="AR69" s="5" t="s">
        <v>413</v>
      </c>
    </row>
    <row r="70">
      <c r="A70" s="8">
        <f>IFERROR(__xludf.DUMMYFUNCTION("IF(E70="""", """", VALUE(REGEXREPLACE(E70, ""^[Pp]"", """")))"),26.0)</f>
        <v>26</v>
      </c>
      <c r="B70" s="8">
        <v>1215.0</v>
      </c>
      <c r="C70" s="7">
        <v>45869.18402777778</v>
      </c>
      <c r="D70" s="5" t="s">
        <v>601</v>
      </c>
      <c r="E70" s="5" t="s">
        <v>602</v>
      </c>
      <c r="F70" s="5" t="s">
        <v>197</v>
      </c>
      <c r="G70" s="5">
        <v>6.0</v>
      </c>
      <c r="H70" s="5">
        <v>5.0</v>
      </c>
      <c r="I70" s="5" t="s">
        <v>199</v>
      </c>
      <c r="J70" s="5">
        <v>6.0</v>
      </c>
      <c r="K70" s="5">
        <v>6.0</v>
      </c>
      <c r="L70" s="5">
        <v>7.0</v>
      </c>
      <c r="M70" s="5">
        <v>5.0</v>
      </c>
      <c r="N70" s="5">
        <v>5.0</v>
      </c>
      <c r="O70" s="5">
        <v>6.0</v>
      </c>
      <c r="P70" s="5">
        <v>6.0</v>
      </c>
      <c r="Q70" s="5">
        <v>7.0</v>
      </c>
      <c r="R70" s="5">
        <v>5.0</v>
      </c>
      <c r="S70" s="5">
        <v>6.0</v>
      </c>
      <c r="T70" s="5">
        <v>6.0</v>
      </c>
      <c r="U70" s="5">
        <v>5.0</v>
      </c>
      <c r="V70" s="5">
        <f t="shared" si="1"/>
        <v>3</v>
      </c>
      <c r="W70" s="5" t="s">
        <v>603</v>
      </c>
      <c r="X70" s="5" t="s">
        <v>206</v>
      </c>
      <c r="Y70" s="5">
        <v>6.0</v>
      </c>
      <c r="Z70" s="5">
        <v>6.0</v>
      </c>
      <c r="AA70" s="5">
        <v>6.0</v>
      </c>
      <c r="AB70" s="5">
        <v>7.0</v>
      </c>
      <c r="AC70" s="5">
        <v>6.0</v>
      </c>
      <c r="AD70" s="5">
        <v>6.0</v>
      </c>
      <c r="AE70" s="5" t="s">
        <v>604</v>
      </c>
      <c r="AF70" s="5" t="s">
        <v>206</v>
      </c>
      <c r="AG70" s="5">
        <v>6.0</v>
      </c>
      <c r="AH70" s="5">
        <v>6.0</v>
      </c>
      <c r="AI70" s="5">
        <v>7.0</v>
      </c>
      <c r="AJ70" s="5">
        <v>1.0</v>
      </c>
      <c r="AK70" s="5">
        <f t="shared" si="2"/>
        <v>7</v>
      </c>
      <c r="AL70" s="5">
        <v>1.0</v>
      </c>
      <c r="AM70" s="5">
        <f t="shared" si="3"/>
        <v>7</v>
      </c>
      <c r="AN70" s="5">
        <v>1.0</v>
      </c>
      <c r="AO70" s="5">
        <f t="shared" si="4"/>
        <v>7</v>
      </c>
      <c r="AP70" s="5">
        <v>1.0</v>
      </c>
      <c r="AQ70" s="5">
        <f t="shared" si="5"/>
        <v>7</v>
      </c>
      <c r="AR70" s="5" t="s">
        <v>605</v>
      </c>
    </row>
    <row r="71">
      <c r="A71" s="8">
        <f>IFERROR(__xludf.DUMMYFUNCTION("IF(E71="""", """", VALUE(REGEXREPLACE(E71, ""^[Pp]"", """")))"),26.0)</f>
        <v>26</v>
      </c>
      <c r="B71" s="8">
        <v>1307.0</v>
      </c>
      <c r="C71" s="7">
        <v>45869.20347222222</v>
      </c>
      <c r="D71" s="5" t="s">
        <v>616</v>
      </c>
      <c r="E71" s="5" t="s">
        <v>602</v>
      </c>
      <c r="F71" s="5" t="s">
        <v>211</v>
      </c>
      <c r="G71" s="5">
        <v>3.0</v>
      </c>
      <c r="H71" s="5">
        <v>3.0</v>
      </c>
      <c r="I71" s="5" t="s">
        <v>199</v>
      </c>
      <c r="J71" s="5">
        <v>6.0</v>
      </c>
      <c r="K71" s="5">
        <v>5.0</v>
      </c>
      <c r="L71" s="5">
        <v>3.0</v>
      </c>
      <c r="M71" s="5">
        <v>3.0</v>
      </c>
      <c r="N71" s="5">
        <v>3.0</v>
      </c>
      <c r="O71" s="5">
        <v>5.0</v>
      </c>
      <c r="P71" s="5">
        <v>5.0</v>
      </c>
      <c r="Q71" s="5">
        <v>6.0</v>
      </c>
      <c r="R71" s="5">
        <v>3.0</v>
      </c>
      <c r="S71" s="5">
        <v>3.0</v>
      </c>
      <c r="T71" s="5">
        <v>5.0</v>
      </c>
      <c r="U71" s="5">
        <v>6.0</v>
      </c>
      <c r="V71" s="5">
        <f t="shared" si="1"/>
        <v>2</v>
      </c>
      <c r="W71" s="5" t="s">
        <v>617</v>
      </c>
      <c r="X71" s="5" t="s">
        <v>206</v>
      </c>
      <c r="Y71" s="5">
        <v>6.0</v>
      </c>
      <c r="Z71" s="5">
        <v>5.0</v>
      </c>
      <c r="AA71" s="5">
        <v>3.0</v>
      </c>
      <c r="AB71" s="5">
        <v>3.0</v>
      </c>
      <c r="AC71" s="5">
        <v>3.0</v>
      </c>
      <c r="AD71" s="5">
        <v>3.0</v>
      </c>
      <c r="AE71" s="5" t="s">
        <v>618</v>
      </c>
      <c r="AF71" s="5" t="s">
        <v>206</v>
      </c>
      <c r="AG71" s="5">
        <v>5.0</v>
      </c>
      <c r="AH71" s="5">
        <v>6.0</v>
      </c>
      <c r="AI71" s="5">
        <v>5.0</v>
      </c>
      <c r="AJ71" s="5">
        <v>1.0</v>
      </c>
      <c r="AK71" s="5">
        <f t="shared" si="2"/>
        <v>7</v>
      </c>
      <c r="AL71" s="5">
        <v>1.0</v>
      </c>
      <c r="AM71" s="5">
        <f t="shared" si="3"/>
        <v>7</v>
      </c>
      <c r="AN71" s="5">
        <v>1.0</v>
      </c>
      <c r="AO71" s="5">
        <f t="shared" si="4"/>
        <v>7</v>
      </c>
      <c r="AP71" s="5">
        <v>1.0</v>
      </c>
      <c r="AQ71" s="5">
        <f t="shared" si="5"/>
        <v>7</v>
      </c>
      <c r="AR71" s="5" t="s">
        <v>619</v>
      </c>
    </row>
    <row r="72">
      <c r="A72" s="8">
        <f>IFERROR(__xludf.DUMMYFUNCTION("IF(E72="""", """", VALUE(REGEXREPLACE(E72, ""^[Pp]"", """")))"),26.0)</f>
        <v>26</v>
      </c>
      <c r="B72" s="8">
        <v>1053.0</v>
      </c>
      <c r="C72" s="7">
        <v>45869.217361111114</v>
      </c>
      <c r="D72" s="5" t="s">
        <v>629</v>
      </c>
      <c r="E72" s="5" t="s">
        <v>602</v>
      </c>
      <c r="F72" s="5" t="s">
        <v>216</v>
      </c>
      <c r="G72" s="5">
        <v>3.0</v>
      </c>
      <c r="H72" s="5">
        <v>2.0</v>
      </c>
      <c r="I72" s="5" t="s">
        <v>199</v>
      </c>
      <c r="J72" s="5">
        <v>6.0</v>
      </c>
      <c r="K72" s="5">
        <v>5.0</v>
      </c>
      <c r="L72" s="5">
        <v>2.0</v>
      </c>
      <c r="M72" s="5">
        <v>2.0</v>
      </c>
      <c r="N72" s="5">
        <v>5.0</v>
      </c>
      <c r="O72" s="5">
        <v>5.0</v>
      </c>
      <c r="P72" s="5">
        <v>5.0</v>
      </c>
      <c r="Q72" s="5">
        <v>6.0</v>
      </c>
      <c r="R72" s="5">
        <v>2.0</v>
      </c>
      <c r="S72" s="5">
        <v>2.0</v>
      </c>
      <c r="T72" s="5">
        <v>3.0</v>
      </c>
      <c r="U72" s="5">
        <v>6.0</v>
      </c>
      <c r="V72" s="5">
        <f t="shared" si="1"/>
        <v>2</v>
      </c>
      <c r="W72" s="5" t="s">
        <v>630</v>
      </c>
      <c r="X72" s="5" t="s">
        <v>206</v>
      </c>
      <c r="Y72" s="5">
        <v>5.0</v>
      </c>
      <c r="Z72" s="5">
        <v>3.0</v>
      </c>
      <c r="AA72" s="5">
        <v>3.0</v>
      </c>
      <c r="AB72" s="5">
        <v>2.0</v>
      </c>
      <c r="AC72" s="5">
        <v>2.0</v>
      </c>
      <c r="AD72" s="5">
        <v>2.0</v>
      </c>
      <c r="AE72" s="5" t="s">
        <v>631</v>
      </c>
      <c r="AF72" s="5" t="s">
        <v>206</v>
      </c>
      <c r="AG72" s="5">
        <v>5.0</v>
      </c>
      <c r="AH72" s="5">
        <v>6.0</v>
      </c>
      <c r="AI72" s="5">
        <v>3.0</v>
      </c>
      <c r="AJ72" s="5">
        <v>1.0</v>
      </c>
      <c r="AK72" s="5">
        <f t="shared" si="2"/>
        <v>7</v>
      </c>
      <c r="AL72" s="5">
        <v>1.0</v>
      </c>
      <c r="AM72" s="5">
        <f t="shared" si="3"/>
        <v>7</v>
      </c>
      <c r="AN72" s="5">
        <v>1.0</v>
      </c>
      <c r="AO72" s="5">
        <f t="shared" si="4"/>
        <v>7</v>
      </c>
      <c r="AP72" s="5">
        <v>1.0</v>
      </c>
      <c r="AQ72" s="5">
        <f t="shared" si="5"/>
        <v>7</v>
      </c>
      <c r="AR72" s="5" t="s">
        <v>632</v>
      </c>
    </row>
    <row r="73">
      <c r="A73" s="8">
        <f>IFERROR(__xludf.DUMMYFUNCTION("IF(E73="""", """", VALUE(REGEXREPLACE(E73, ""^[Pp]"", """")))"),26.0)</f>
        <v>26</v>
      </c>
      <c r="B73" s="8">
        <v>824.0</v>
      </c>
      <c r="C73" s="7">
        <v>45869.23263888889</v>
      </c>
      <c r="D73" s="5" t="s">
        <v>646</v>
      </c>
      <c r="E73" s="5" t="s">
        <v>602</v>
      </c>
      <c r="F73" s="5" t="s">
        <v>263</v>
      </c>
      <c r="G73" s="5">
        <v>6.0</v>
      </c>
      <c r="H73" s="5">
        <v>5.0</v>
      </c>
      <c r="I73" s="5" t="s">
        <v>199</v>
      </c>
      <c r="J73" s="5">
        <v>6.0</v>
      </c>
      <c r="K73" s="5">
        <v>5.0</v>
      </c>
      <c r="L73" s="5">
        <v>6.0</v>
      </c>
      <c r="M73" s="5">
        <v>2.0</v>
      </c>
      <c r="N73" s="5">
        <v>3.0</v>
      </c>
      <c r="O73" s="5">
        <v>5.0</v>
      </c>
      <c r="P73" s="5">
        <v>5.0</v>
      </c>
      <c r="Q73" s="5">
        <v>6.0</v>
      </c>
      <c r="R73" s="5">
        <v>2.0</v>
      </c>
      <c r="S73" s="5">
        <v>5.0</v>
      </c>
      <c r="T73" s="5">
        <v>5.0</v>
      </c>
      <c r="U73" s="5">
        <v>6.0</v>
      </c>
      <c r="V73" s="5">
        <f t="shared" si="1"/>
        <v>2</v>
      </c>
      <c r="W73" s="5" t="s">
        <v>647</v>
      </c>
      <c r="X73" s="5" t="s">
        <v>206</v>
      </c>
      <c r="Y73" s="5">
        <v>6.0</v>
      </c>
      <c r="Z73" s="5">
        <v>6.0</v>
      </c>
      <c r="AA73" s="5">
        <v>6.0</v>
      </c>
      <c r="AB73" s="5">
        <v>5.0</v>
      </c>
      <c r="AC73" s="5">
        <v>6.0</v>
      </c>
      <c r="AD73" s="5">
        <v>6.0</v>
      </c>
      <c r="AE73" s="5" t="s">
        <v>648</v>
      </c>
      <c r="AF73" s="5" t="s">
        <v>206</v>
      </c>
      <c r="AG73" s="5">
        <v>6.0</v>
      </c>
      <c r="AH73" s="5">
        <v>6.0</v>
      </c>
      <c r="AI73" s="5">
        <v>6.0</v>
      </c>
      <c r="AJ73" s="5">
        <v>1.0</v>
      </c>
      <c r="AK73" s="5">
        <f t="shared" si="2"/>
        <v>7</v>
      </c>
      <c r="AL73" s="5">
        <v>1.0</v>
      </c>
      <c r="AM73" s="5">
        <f t="shared" si="3"/>
        <v>7</v>
      </c>
      <c r="AN73" s="5">
        <v>1.0</v>
      </c>
      <c r="AO73" s="5">
        <f t="shared" si="4"/>
        <v>7</v>
      </c>
      <c r="AP73" s="5">
        <v>1.0</v>
      </c>
      <c r="AQ73" s="5">
        <f t="shared" si="5"/>
        <v>7</v>
      </c>
      <c r="AR73" s="5" t="s">
        <v>649</v>
      </c>
    </row>
    <row r="74">
      <c r="A74" s="8">
        <f>IFERROR(__xludf.DUMMYFUNCTION("IF(E74="""", """", VALUE(REGEXREPLACE(E74, ""^[Pp]"", """")))"),27.0)</f>
        <v>27</v>
      </c>
      <c r="B74" s="8">
        <v>973.0</v>
      </c>
      <c r="C74" s="7">
        <v>45869.18819444445</v>
      </c>
      <c r="D74" s="5" t="s">
        <v>606</v>
      </c>
      <c r="E74" s="5" t="s">
        <v>607</v>
      </c>
      <c r="F74" s="5" t="s">
        <v>211</v>
      </c>
      <c r="G74" s="5">
        <v>2.0</v>
      </c>
      <c r="H74" s="5">
        <v>1.0</v>
      </c>
      <c r="I74" s="5" t="s">
        <v>199</v>
      </c>
      <c r="J74" s="5">
        <v>1.0</v>
      </c>
      <c r="K74" s="5">
        <v>1.0</v>
      </c>
      <c r="L74" s="5">
        <v>1.0</v>
      </c>
      <c r="M74" s="5">
        <v>2.0</v>
      </c>
      <c r="N74" s="5">
        <v>1.0</v>
      </c>
      <c r="O74" s="5">
        <v>5.0</v>
      </c>
      <c r="P74" s="5">
        <v>4.0</v>
      </c>
      <c r="Q74" s="5">
        <v>3.0</v>
      </c>
      <c r="R74" s="5">
        <v>1.0</v>
      </c>
      <c r="S74" s="5">
        <v>1.0</v>
      </c>
      <c r="T74" s="5">
        <v>1.0</v>
      </c>
      <c r="U74" s="5">
        <v>7.0</v>
      </c>
      <c r="V74" s="5">
        <f t="shared" si="1"/>
        <v>1</v>
      </c>
      <c r="W74" s="5" t="s">
        <v>608</v>
      </c>
      <c r="X74" s="5" t="s">
        <v>206</v>
      </c>
      <c r="Y74" s="5">
        <v>2.0</v>
      </c>
      <c r="Z74" s="5">
        <v>4.0</v>
      </c>
      <c r="AA74" s="5">
        <v>2.0</v>
      </c>
      <c r="AB74" s="5">
        <v>6.0</v>
      </c>
      <c r="AC74" s="5">
        <v>6.0</v>
      </c>
      <c r="AD74" s="5">
        <v>4.0</v>
      </c>
      <c r="AE74" s="5" t="s">
        <v>609</v>
      </c>
      <c r="AF74" s="5" t="s">
        <v>206</v>
      </c>
      <c r="AG74" s="5">
        <v>1.0</v>
      </c>
      <c r="AH74" s="5">
        <v>5.0</v>
      </c>
      <c r="AI74" s="5">
        <v>6.0</v>
      </c>
      <c r="AJ74" s="5">
        <v>1.0</v>
      </c>
      <c r="AK74" s="5">
        <f t="shared" si="2"/>
        <v>7</v>
      </c>
      <c r="AL74" s="5">
        <v>1.0</v>
      </c>
      <c r="AM74" s="5">
        <f t="shared" si="3"/>
        <v>7</v>
      </c>
      <c r="AN74" s="5">
        <v>2.0</v>
      </c>
      <c r="AO74" s="5">
        <f t="shared" si="4"/>
        <v>6</v>
      </c>
      <c r="AP74" s="5">
        <v>1.0</v>
      </c>
      <c r="AQ74" s="5">
        <f t="shared" si="5"/>
        <v>7</v>
      </c>
      <c r="AR74" s="5" t="s">
        <v>610</v>
      </c>
    </row>
    <row r="75">
      <c r="A75" s="8">
        <f>IFERROR(__xludf.DUMMYFUNCTION("IF(E75="""", """", VALUE(REGEXREPLACE(E75, ""^[Pp]"", """")))"),27.0)</f>
        <v>27</v>
      </c>
      <c r="B75" s="8">
        <v>726.0</v>
      </c>
      <c r="C75" s="7">
        <v>45869.20763888889</v>
      </c>
      <c r="D75" s="5" t="s">
        <v>624</v>
      </c>
      <c r="E75" s="5" t="s">
        <v>607</v>
      </c>
      <c r="F75" s="5" t="s">
        <v>263</v>
      </c>
      <c r="G75" s="5">
        <v>5.0</v>
      </c>
      <c r="H75" s="5">
        <v>5.0</v>
      </c>
      <c r="I75" s="5" t="s">
        <v>199</v>
      </c>
      <c r="J75" s="5">
        <v>2.0</v>
      </c>
      <c r="K75" s="5">
        <v>5.0</v>
      </c>
      <c r="L75" s="5">
        <v>4.0</v>
      </c>
      <c r="M75" s="5">
        <v>5.0</v>
      </c>
      <c r="N75" s="5">
        <v>5.0</v>
      </c>
      <c r="O75" s="5">
        <v>5.0</v>
      </c>
      <c r="P75" s="5">
        <v>5.0</v>
      </c>
      <c r="Q75" s="5">
        <v>2.0</v>
      </c>
      <c r="R75" s="5">
        <v>5.0</v>
      </c>
      <c r="S75" s="5">
        <v>5.0</v>
      </c>
      <c r="T75" s="5">
        <v>5.0</v>
      </c>
      <c r="U75" s="5">
        <v>7.0</v>
      </c>
      <c r="V75" s="5">
        <f t="shared" si="1"/>
        <v>1</v>
      </c>
      <c r="W75" s="5" t="s">
        <v>625</v>
      </c>
      <c r="X75" s="5" t="s">
        <v>206</v>
      </c>
      <c r="Y75" s="5">
        <v>3.0</v>
      </c>
      <c r="Z75" s="5">
        <v>5.0</v>
      </c>
      <c r="AA75" s="5">
        <v>3.0</v>
      </c>
      <c r="AB75" s="5">
        <v>7.0</v>
      </c>
      <c r="AC75" s="5">
        <v>6.0</v>
      </c>
      <c r="AD75" s="5">
        <v>6.0</v>
      </c>
      <c r="AE75" s="5" t="s">
        <v>626</v>
      </c>
      <c r="AF75" s="5" t="s">
        <v>206</v>
      </c>
      <c r="AG75" s="5">
        <v>5.0</v>
      </c>
      <c r="AH75" s="5">
        <v>5.0</v>
      </c>
      <c r="AI75" s="5">
        <v>2.0</v>
      </c>
      <c r="AJ75" s="5">
        <v>6.0</v>
      </c>
      <c r="AK75" s="5">
        <f t="shared" si="2"/>
        <v>2</v>
      </c>
      <c r="AL75" s="5">
        <v>2.0</v>
      </c>
      <c r="AM75" s="5">
        <f t="shared" si="3"/>
        <v>6</v>
      </c>
      <c r="AN75" s="5">
        <v>7.0</v>
      </c>
      <c r="AO75" s="5">
        <f t="shared" si="4"/>
        <v>1</v>
      </c>
      <c r="AP75" s="5">
        <v>3.0</v>
      </c>
      <c r="AQ75" s="5">
        <f t="shared" si="5"/>
        <v>5</v>
      </c>
      <c r="AR75" s="5" t="s">
        <v>627</v>
      </c>
    </row>
    <row r="76">
      <c r="A76" s="8">
        <f>IFERROR(__xludf.DUMMYFUNCTION("IF(E76="""", """", VALUE(REGEXREPLACE(E76, ""^[Pp]"", """")))"),27.0)</f>
        <v>27</v>
      </c>
      <c r="B76" s="8">
        <v>494.0</v>
      </c>
      <c r="C76" s="7">
        <v>45869.22083333333</v>
      </c>
      <c r="D76" s="5" t="s">
        <v>638</v>
      </c>
      <c r="E76" s="5" t="s">
        <v>607</v>
      </c>
      <c r="F76" s="5" t="s">
        <v>197</v>
      </c>
      <c r="G76" s="5">
        <v>4.0</v>
      </c>
      <c r="H76" s="5">
        <v>1.0</v>
      </c>
      <c r="I76" s="5" t="s">
        <v>199</v>
      </c>
      <c r="J76" s="5">
        <v>1.0</v>
      </c>
      <c r="K76" s="5">
        <v>1.0</v>
      </c>
      <c r="L76" s="5">
        <v>1.0</v>
      </c>
      <c r="M76" s="5">
        <v>4.0</v>
      </c>
      <c r="N76" s="5">
        <v>1.0</v>
      </c>
      <c r="O76" s="5">
        <v>4.0</v>
      </c>
      <c r="P76" s="5">
        <v>1.0</v>
      </c>
      <c r="Q76" s="5">
        <v>1.0</v>
      </c>
      <c r="R76" s="5">
        <v>4.0</v>
      </c>
      <c r="S76" s="5">
        <v>1.0</v>
      </c>
      <c r="T76" s="5">
        <v>1.0</v>
      </c>
      <c r="U76" s="5">
        <v>1.0</v>
      </c>
      <c r="V76" s="5">
        <f t="shared" si="1"/>
        <v>7</v>
      </c>
      <c r="W76" s="5" t="s">
        <v>639</v>
      </c>
      <c r="X76" s="5" t="s">
        <v>206</v>
      </c>
      <c r="Y76" s="5">
        <v>1.0</v>
      </c>
      <c r="Z76" s="5">
        <v>1.0</v>
      </c>
      <c r="AA76" s="5">
        <v>1.0</v>
      </c>
      <c r="AB76" s="5">
        <v>4.0</v>
      </c>
      <c r="AC76" s="5">
        <v>5.0</v>
      </c>
      <c r="AD76" s="5">
        <v>1.0</v>
      </c>
      <c r="AE76" s="5" t="s">
        <v>640</v>
      </c>
      <c r="AF76" s="5" t="s">
        <v>206</v>
      </c>
      <c r="AG76" s="5">
        <v>1.0</v>
      </c>
      <c r="AH76" s="5">
        <v>1.0</v>
      </c>
      <c r="AI76" s="5">
        <v>1.0</v>
      </c>
      <c r="AJ76" s="5">
        <v>5.0</v>
      </c>
      <c r="AK76" s="5">
        <f t="shared" si="2"/>
        <v>3</v>
      </c>
      <c r="AL76" s="5">
        <v>4.0</v>
      </c>
      <c r="AM76" s="5">
        <f t="shared" si="3"/>
        <v>4</v>
      </c>
      <c r="AN76" s="5">
        <v>7.0</v>
      </c>
      <c r="AO76" s="5">
        <f t="shared" si="4"/>
        <v>1</v>
      </c>
      <c r="AP76" s="5">
        <v>5.0</v>
      </c>
      <c r="AQ76" s="5">
        <f t="shared" si="5"/>
        <v>3</v>
      </c>
      <c r="AR76" s="11" t="s">
        <v>641</v>
      </c>
    </row>
    <row r="77">
      <c r="A77" s="8">
        <f>IFERROR(__xludf.DUMMYFUNCTION("IF(E77="""", """", VALUE(REGEXREPLACE(E77, ""^[Pp]"", """")))"),27.0)</f>
        <v>27</v>
      </c>
      <c r="B77" s="8">
        <v>567.0</v>
      </c>
      <c r="C77" s="7">
        <v>45869.23402777778</v>
      </c>
      <c r="D77" s="5" t="s">
        <v>650</v>
      </c>
      <c r="E77" s="5" t="s">
        <v>607</v>
      </c>
      <c r="F77" s="5" t="s">
        <v>216</v>
      </c>
      <c r="G77" s="5">
        <v>3.0</v>
      </c>
      <c r="H77" s="5">
        <v>2.0</v>
      </c>
      <c r="I77" s="5" t="s">
        <v>199</v>
      </c>
      <c r="J77" s="5">
        <v>4.0</v>
      </c>
      <c r="K77" s="5">
        <v>1.0</v>
      </c>
      <c r="L77" s="5">
        <v>1.0</v>
      </c>
      <c r="M77" s="5">
        <v>2.0</v>
      </c>
      <c r="N77" s="5">
        <v>2.0</v>
      </c>
      <c r="O77" s="5">
        <v>5.0</v>
      </c>
      <c r="P77" s="5">
        <v>6.0</v>
      </c>
      <c r="Q77" s="5">
        <v>1.0</v>
      </c>
      <c r="R77" s="5">
        <v>5.0</v>
      </c>
      <c r="S77" s="5">
        <v>2.0</v>
      </c>
      <c r="T77" s="5">
        <v>2.0</v>
      </c>
      <c r="U77" s="5">
        <v>1.0</v>
      </c>
      <c r="V77" s="5">
        <f t="shared" si="1"/>
        <v>7</v>
      </c>
      <c r="W77" s="5" t="s">
        <v>651</v>
      </c>
      <c r="X77" s="5" t="s">
        <v>206</v>
      </c>
      <c r="Y77" s="5">
        <v>5.0</v>
      </c>
      <c r="Z77" s="5">
        <v>5.0</v>
      </c>
      <c r="AA77" s="5">
        <v>2.0</v>
      </c>
      <c r="AB77" s="5">
        <v>5.0</v>
      </c>
      <c r="AC77" s="5">
        <v>2.0</v>
      </c>
      <c r="AD77" s="5">
        <v>6.0</v>
      </c>
      <c r="AE77" s="5" t="s">
        <v>652</v>
      </c>
      <c r="AF77" s="5" t="s">
        <v>206</v>
      </c>
      <c r="AG77" s="5">
        <v>2.0</v>
      </c>
      <c r="AH77" s="5">
        <v>3.0</v>
      </c>
      <c r="AI77" s="5">
        <v>1.0</v>
      </c>
      <c r="AJ77" s="5">
        <v>1.0</v>
      </c>
      <c r="AK77" s="5">
        <f t="shared" si="2"/>
        <v>7</v>
      </c>
      <c r="AL77" s="5">
        <v>1.0</v>
      </c>
      <c r="AM77" s="5">
        <f t="shared" si="3"/>
        <v>7</v>
      </c>
      <c r="AN77" s="5">
        <v>2.0</v>
      </c>
      <c r="AO77" s="5">
        <f t="shared" si="4"/>
        <v>6</v>
      </c>
      <c r="AP77" s="5">
        <v>1.0</v>
      </c>
      <c r="AQ77" s="5">
        <f t="shared" si="5"/>
        <v>7</v>
      </c>
      <c r="AR77" s="5" t="s">
        <v>653</v>
      </c>
    </row>
    <row r="78">
      <c r="A78" s="8">
        <f>IFERROR(__xludf.DUMMYFUNCTION("IF(E78="""", """", VALUE(REGEXREPLACE(E78, ""^[Pp]"", """")))"),28.0)</f>
        <v>28</v>
      </c>
      <c r="B78" s="8">
        <v>315.0</v>
      </c>
      <c r="C78" s="7">
        <v>45869.21805555555</v>
      </c>
      <c r="D78" s="5" t="s">
        <v>633</v>
      </c>
      <c r="E78" s="5" t="s">
        <v>634</v>
      </c>
      <c r="F78" s="5" t="s">
        <v>216</v>
      </c>
      <c r="G78" s="5">
        <v>2.0</v>
      </c>
      <c r="H78" s="5">
        <v>1.0</v>
      </c>
      <c r="I78" s="5" t="s">
        <v>199</v>
      </c>
      <c r="J78" s="5">
        <v>4.0</v>
      </c>
      <c r="K78" s="5">
        <v>4.0</v>
      </c>
      <c r="L78" s="5">
        <v>1.0</v>
      </c>
      <c r="M78" s="5">
        <v>1.0</v>
      </c>
      <c r="N78" s="5">
        <v>1.0</v>
      </c>
      <c r="O78" s="5">
        <v>5.0</v>
      </c>
      <c r="P78" s="5">
        <v>6.0</v>
      </c>
      <c r="Q78" s="5">
        <v>6.0</v>
      </c>
      <c r="R78" s="5">
        <v>2.0</v>
      </c>
      <c r="S78" s="5">
        <v>2.0</v>
      </c>
      <c r="T78" s="5">
        <v>4.0</v>
      </c>
      <c r="U78" s="5">
        <v>7.0</v>
      </c>
      <c r="V78" s="5">
        <f t="shared" si="1"/>
        <v>1</v>
      </c>
      <c r="W78" s="5" t="s">
        <v>635</v>
      </c>
      <c r="X78" s="5" t="s">
        <v>206</v>
      </c>
      <c r="Y78" s="5">
        <v>4.0</v>
      </c>
      <c r="Z78" s="5">
        <v>5.0</v>
      </c>
      <c r="AA78" s="5">
        <v>5.0</v>
      </c>
      <c r="AB78" s="5">
        <v>5.0</v>
      </c>
      <c r="AC78" s="5">
        <v>4.0</v>
      </c>
      <c r="AD78" s="5">
        <v>5.0</v>
      </c>
      <c r="AE78" s="5" t="s">
        <v>636</v>
      </c>
      <c r="AF78" s="5" t="s">
        <v>206</v>
      </c>
      <c r="AG78" s="5">
        <v>6.0</v>
      </c>
      <c r="AH78" s="5">
        <v>6.0</v>
      </c>
      <c r="AI78" s="5">
        <v>6.0</v>
      </c>
      <c r="AJ78" s="5">
        <v>5.0</v>
      </c>
      <c r="AK78" s="5">
        <f t="shared" si="2"/>
        <v>3</v>
      </c>
      <c r="AL78" s="5">
        <v>2.0</v>
      </c>
      <c r="AM78" s="5">
        <f t="shared" si="3"/>
        <v>6</v>
      </c>
      <c r="AN78" s="5">
        <v>3.0</v>
      </c>
      <c r="AO78" s="5">
        <f t="shared" si="4"/>
        <v>5</v>
      </c>
      <c r="AP78" s="5">
        <v>2.0</v>
      </c>
      <c r="AQ78" s="5">
        <f t="shared" si="5"/>
        <v>6</v>
      </c>
      <c r="AR78" s="5" t="s">
        <v>637</v>
      </c>
    </row>
    <row r="79">
      <c r="A79" s="8">
        <f>IFERROR(__xludf.DUMMYFUNCTION("IF(E79="""", """", VALUE(REGEXREPLACE(E79, ""^[Pp]"", """")))"),28.0)</f>
        <v>28</v>
      </c>
      <c r="B79" s="8">
        <v>359.0</v>
      </c>
      <c r="C79" s="7">
        <v>45869.22777777778</v>
      </c>
      <c r="D79" s="5" t="s">
        <v>642</v>
      </c>
      <c r="E79" s="5" t="s">
        <v>634</v>
      </c>
      <c r="F79" s="5" t="s">
        <v>211</v>
      </c>
      <c r="G79" s="5">
        <v>2.0</v>
      </c>
      <c r="H79" s="5">
        <v>2.0</v>
      </c>
      <c r="I79" s="5" t="s">
        <v>199</v>
      </c>
      <c r="J79" s="5">
        <v>6.0</v>
      </c>
      <c r="K79" s="5">
        <v>6.0</v>
      </c>
      <c r="L79" s="5">
        <v>2.0</v>
      </c>
      <c r="M79" s="5">
        <v>2.0</v>
      </c>
      <c r="N79" s="5">
        <v>3.0</v>
      </c>
      <c r="O79" s="5">
        <v>6.0</v>
      </c>
      <c r="P79" s="5">
        <v>6.0</v>
      </c>
      <c r="Q79" s="5">
        <v>6.0</v>
      </c>
      <c r="R79" s="5">
        <v>2.0</v>
      </c>
      <c r="S79" s="5">
        <v>5.0</v>
      </c>
      <c r="T79" s="5">
        <v>6.0</v>
      </c>
      <c r="U79" s="5">
        <v>6.0</v>
      </c>
      <c r="V79" s="5">
        <f t="shared" si="1"/>
        <v>2</v>
      </c>
      <c r="W79" s="5" t="s">
        <v>643</v>
      </c>
      <c r="X79" s="5" t="s">
        <v>206</v>
      </c>
      <c r="Y79" s="5">
        <v>6.0</v>
      </c>
      <c r="Z79" s="5">
        <v>7.0</v>
      </c>
      <c r="AA79" s="5">
        <v>7.0</v>
      </c>
      <c r="AB79" s="5">
        <v>6.0</v>
      </c>
      <c r="AC79" s="5">
        <v>4.0</v>
      </c>
      <c r="AD79" s="5">
        <v>6.0</v>
      </c>
      <c r="AE79" s="5" t="s">
        <v>644</v>
      </c>
      <c r="AF79" s="5" t="s">
        <v>206</v>
      </c>
      <c r="AG79" s="5">
        <v>6.0</v>
      </c>
      <c r="AH79" s="5">
        <v>6.0</v>
      </c>
      <c r="AI79" s="5">
        <v>6.0</v>
      </c>
      <c r="AJ79" s="5">
        <v>2.0</v>
      </c>
      <c r="AK79" s="5">
        <f t="shared" si="2"/>
        <v>6</v>
      </c>
      <c r="AL79" s="5">
        <v>2.0</v>
      </c>
      <c r="AM79" s="5">
        <f t="shared" si="3"/>
        <v>6</v>
      </c>
      <c r="AN79" s="5">
        <v>2.0</v>
      </c>
      <c r="AO79" s="5">
        <f t="shared" si="4"/>
        <v>6</v>
      </c>
      <c r="AP79" s="5">
        <v>2.0</v>
      </c>
      <c r="AQ79" s="5">
        <f t="shared" si="5"/>
        <v>6</v>
      </c>
      <c r="AR79" s="5" t="s">
        <v>645</v>
      </c>
    </row>
    <row r="80">
      <c r="A80" s="8">
        <f>IFERROR(__xludf.DUMMYFUNCTION("IF(E80="""", """", VALUE(REGEXREPLACE(E80, ""^[Pp]"", """")))"),28.0)</f>
        <v>28</v>
      </c>
      <c r="B80" s="8">
        <v>480.0</v>
      </c>
      <c r="C80" s="7">
        <v>45869.236805555556</v>
      </c>
      <c r="D80" s="5" t="s">
        <v>654</v>
      </c>
      <c r="E80" s="5" t="s">
        <v>655</v>
      </c>
      <c r="F80" s="5" t="s">
        <v>197</v>
      </c>
      <c r="G80" s="5">
        <v>5.0</v>
      </c>
      <c r="H80" s="5">
        <v>2.0</v>
      </c>
      <c r="I80" s="5" t="s">
        <v>199</v>
      </c>
      <c r="J80" s="5">
        <v>4.0</v>
      </c>
      <c r="K80" s="5">
        <v>6.0</v>
      </c>
      <c r="L80" s="5">
        <v>5.0</v>
      </c>
      <c r="M80" s="5">
        <v>2.0</v>
      </c>
      <c r="N80" s="5">
        <v>4.0</v>
      </c>
      <c r="O80" s="5">
        <v>6.0</v>
      </c>
      <c r="P80" s="5">
        <v>6.0</v>
      </c>
      <c r="Q80" s="5">
        <v>6.0</v>
      </c>
      <c r="R80" s="5">
        <v>2.0</v>
      </c>
      <c r="S80" s="5">
        <v>2.0</v>
      </c>
      <c r="T80" s="5">
        <v>6.0</v>
      </c>
      <c r="U80" s="5">
        <v>6.0</v>
      </c>
      <c r="V80" s="5">
        <f t="shared" si="1"/>
        <v>2</v>
      </c>
      <c r="W80" s="5" t="s">
        <v>656</v>
      </c>
      <c r="X80" s="5" t="s">
        <v>206</v>
      </c>
      <c r="Y80" s="5">
        <v>6.0</v>
      </c>
      <c r="Z80" s="5">
        <v>6.0</v>
      </c>
      <c r="AA80" s="5">
        <v>6.0</v>
      </c>
      <c r="AB80" s="5">
        <v>6.0</v>
      </c>
      <c r="AC80" s="5">
        <v>4.0</v>
      </c>
      <c r="AD80" s="5">
        <v>6.0</v>
      </c>
      <c r="AE80" s="5" t="s">
        <v>657</v>
      </c>
      <c r="AF80" s="5" t="s">
        <v>206</v>
      </c>
      <c r="AG80" s="5">
        <v>6.0</v>
      </c>
      <c r="AH80" s="5">
        <v>7.0</v>
      </c>
      <c r="AI80" s="5">
        <v>6.0</v>
      </c>
      <c r="AJ80" s="5">
        <v>5.0</v>
      </c>
      <c r="AK80" s="5">
        <f t="shared" si="2"/>
        <v>3</v>
      </c>
      <c r="AL80" s="5">
        <v>5.0</v>
      </c>
      <c r="AM80" s="5">
        <f t="shared" si="3"/>
        <v>3</v>
      </c>
      <c r="AN80" s="5">
        <v>5.0</v>
      </c>
      <c r="AO80" s="5">
        <f t="shared" si="4"/>
        <v>3</v>
      </c>
      <c r="AP80" s="5">
        <v>2.0</v>
      </c>
      <c r="AQ80" s="5">
        <f t="shared" si="5"/>
        <v>6</v>
      </c>
      <c r="AR80" s="5" t="s">
        <v>658</v>
      </c>
    </row>
    <row r="81">
      <c r="A81" s="8">
        <f>IFERROR(__xludf.DUMMYFUNCTION("IF(E81="""", """", VALUE(REGEXREPLACE(E81, ""^[Pp]"", """")))"),28.0)</f>
        <v>28</v>
      </c>
      <c r="B81" s="8">
        <v>539.0</v>
      </c>
      <c r="C81" s="7">
        <v>45869.25069444445</v>
      </c>
      <c r="D81" s="5" t="s">
        <v>659</v>
      </c>
      <c r="E81" s="5" t="s">
        <v>655</v>
      </c>
      <c r="F81" s="5" t="s">
        <v>263</v>
      </c>
      <c r="G81" s="5">
        <v>5.0</v>
      </c>
      <c r="H81" s="5">
        <v>2.0</v>
      </c>
      <c r="I81" s="5" t="s">
        <v>199</v>
      </c>
      <c r="J81" s="5">
        <v>3.0</v>
      </c>
      <c r="K81" s="5">
        <v>3.0</v>
      </c>
      <c r="L81" s="5">
        <v>4.0</v>
      </c>
      <c r="M81" s="5">
        <v>1.0</v>
      </c>
      <c r="N81" s="5">
        <v>2.0</v>
      </c>
      <c r="O81" s="5">
        <v>4.0</v>
      </c>
      <c r="P81" s="5">
        <v>3.0</v>
      </c>
      <c r="Q81" s="5">
        <v>4.0</v>
      </c>
      <c r="R81" s="5">
        <v>1.0</v>
      </c>
      <c r="S81" s="5">
        <v>2.0</v>
      </c>
      <c r="T81" s="5">
        <v>3.0</v>
      </c>
      <c r="U81" s="5">
        <v>6.0</v>
      </c>
      <c r="V81" s="5">
        <f t="shared" si="1"/>
        <v>2</v>
      </c>
      <c r="W81" s="5" t="s">
        <v>660</v>
      </c>
      <c r="X81" s="5" t="s">
        <v>206</v>
      </c>
      <c r="Y81" s="5">
        <v>4.0</v>
      </c>
      <c r="Z81" s="5">
        <v>5.0</v>
      </c>
      <c r="AA81" s="5">
        <v>5.0</v>
      </c>
      <c r="AB81" s="5">
        <v>3.0</v>
      </c>
      <c r="AC81" s="5">
        <v>4.0</v>
      </c>
      <c r="AD81" s="5">
        <v>5.0</v>
      </c>
      <c r="AE81" s="5" t="s">
        <v>661</v>
      </c>
      <c r="AF81" s="5" t="s">
        <v>206</v>
      </c>
      <c r="AG81" s="5">
        <v>6.0</v>
      </c>
      <c r="AH81" s="5">
        <v>6.0</v>
      </c>
      <c r="AI81" s="5">
        <v>6.0</v>
      </c>
      <c r="AJ81" s="5">
        <v>5.0</v>
      </c>
      <c r="AK81" s="5">
        <f t="shared" si="2"/>
        <v>3</v>
      </c>
      <c r="AL81" s="5">
        <v>5.0</v>
      </c>
      <c r="AM81" s="5">
        <f t="shared" si="3"/>
        <v>3</v>
      </c>
      <c r="AN81" s="5">
        <v>5.0</v>
      </c>
      <c r="AO81" s="5">
        <f t="shared" si="4"/>
        <v>3</v>
      </c>
      <c r="AP81" s="5">
        <v>2.0</v>
      </c>
      <c r="AQ81" s="5">
        <f t="shared" si="5"/>
        <v>6</v>
      </c>
      <c r="AR81" s="5" t="s">
        <v>662</v>
      </c>
    </row>
    <row r="82">
      <c r="A82" s="8">
        <f>IFERROR(__xludf.DUMMYFUNCTION("IF(E82="""", """", VALUE(REGEXREPLACE(E82, ""^[Pp]"", """")))"),29.0)</f>
        <v>29</v>
      </c>
      <c r="B82" s="8">
        <v>1112.0</v>
      </c>
      <c r="C82" s="7">
        <v>45869.25347222222</v>
      </c>
      <c r="D82" s="5" t="s">
        <v>663</v>
      </c>
      <c r="E82" s="5" t="s">
        <v>664</v>
      </c>
      <c r="F82" s="5" t="s">
        <v>197</v>
      </c>
      <c r="G82" s="5">
        <v>6.0</v>
      </c>
      <c r="H82" s="5">
        <v>6.0</v>
      </c>
      <c r="I82" s="5" t="s">
        <v>199</v>
      </c>
      <c r="J82" s="5">
        <v>5.0</v>
      </c>
      <c r="K82" s="5">
        <v>5.0</v>
      </c>
      <c r="L82" s="5">
        <v>4.0</v>
      </c>
      <c r="M82" s="5">
        <v>5.0</v>
      </c>
      <c r="N82" s="5">
        <v>3.0</v>
      </c>
      <c r="O82" s="5">
        <v>6.0</v>
      </c>
      <c r="P82" s="5">
        <v>6.0</v>
      </c>
      <c r="Q82" s="5">
        <v>5.0</v>
      </c>
      <c r="R82" s="5">
        <v>5.0</v>
      </c>
      <c r="S82" s="5">
        <v>4.0</v>
      </c>
      <c r="T82" s="5">
        <v>6.0</v>
      </c>
      <c r="U82" s="5">
        <v>4.0</v>
      </c>
      <c r="V82" s="5">
        <f t="shared" si="1"/>
        <v>4</v>
      </c>
      <c r="W82" s="5" t="s">
        <v>665</v>
      </c>
      <c r="X82" s="5" t="s">
        <v>206</v>
      </c>
      <c r="Y82" s="5">
        <v>4.0</v>
      </c>
      <c r="Z82" s="5">
        <v>4.0</v>
      </c>
      <c r="AA82" s="5">
        <v>5.0</v>
      </c>
      <c r="AB82" s="5">
        <v>3.0</v>
      </c>
      <c r="AC82" s="5">
        <v>6.0</v>
      </c>
      <c r="AD82" s="5">
        <v>5.0</v>
      </c>
      <c r="AE82" s="5" t="s">
        <v>666</v>
      </c>
      <c r="AF82" s="5" t="s">
        <v>206</v>
      </c>
      <c r="AG82" s="5">
        <v>4.0</v>
      </c>
      <c r="AH82" s="5">
        <v>5.0</v>
      </c>
      <c r="AI82" s="5">
        <v>7.0</v>
      </c>
      <c r="AJ82" s="5">
        <v>1.0</v>
      </c>
      <c r="AK82" s="5">
        <f t="shared" si="2"/>
        <v>7</v>
      </c>
      <c r="AL82" s="5">
        <v>1.0</v>
      </c>
      <c r="AM82" s="5">
        <f t="shared" si="3"/>
        <v>7</v>
      </c>
      <c r="AN82" s="5">
        <v>2.0</v>
      </c>
      <c r="AO82" s="5">
        <f t="shared" si="4"/>
        <v>6</v>
      </c>
      <c r="AP82" s="5">
        <v>1.0</v>
      </c>
      <c r="AQ82" s="5">
        <f t="shared" si="5"/>
        <v>7</v>
      </c>
      <c r="AR82" s="5" t="s">
        <v>667</v>
      </c>
    </row>
    <row r="83">
      <c r="A83" s="8">
        <f>IFERROR(__xludf.DUMMYFUNCTION("IF(E83="""", """", VALUE(REGEXREPLACE(E83, ""^[Pp]"", """")))"),29.0)</f>
        <v>29</v>
      </c>
      <c r="B83" s="8">
        <v>841.0</v>
      </c>
      <c r="C83" s="7">
        <v>45869.268055555556</v>
      </c>
      <c r="D83" s="5" t="s">
        <v>673</v>
      </c>
      <c r="E83" s="5" t="s">
        <v>674</v>
      </c>
      <c r="F83" s="5" t="s">
        <v>211</v>
      </c>
      <c r="G83" s="5">
        <v>3.0</v>
      </c>
      <c r="H83" s="5">
        <v>5.0</v>
      </c>
      <c r="I83" s="5" t="s">
        <v>199</v>
      </c>
      <c r="J83" s="5">
        <v>6.0</v>
      </c>
      <c r="K83" s="5">
        <v>6.0</v>
      </c>
      <c r="L83" s="5">
        <v>4.0</v>
      </c>
      <c r="M83" s="5">
        <v>5.0</v>
      </c>
      <c r="N83" s="5">
        <v>5.0</v>
      </c>
      <c r="O83" s="5">
        <v>6.0</v>
      </c>
      <c r="P83" s="5">
        <v>6.0</v>
      </c>
      <c r="Q83" s="5">
        <v>4.0</v>
      </c>
      <c r="R83" s="5">
        <v>4.0</v>
      </c>
      <c r="S83" s="5">
        <v>5.0</v>
      </c>
      <c r="T83" s="5">
        <v>6.0</v>
      </c>
      <c r="U83" s="5">
        <v>5.0</v>
      </c>
      <c r="V83" s="5">
        <f t="shared" si="1"/>
        <v>3</v>
      </c>
      <c r="W83" s="5" t="s">
        <v>675</v>
      </c>
      <c r="X83" s="5" t="s">
        <v>206</v>
      </c>
      <c r="Y83" s="5">
        <v>5.0</v>
      </c>
      <c r="Z83" s="5">
        <v>6.0</v>
      </c>
      <c r="AA83" s="5">
        <v>5.0</v>
      </c>
      <c r="AB83" s="5">
        <v>4.0</v>
      </c>
      <c r="AC83" s="5">
        <v>5.0</v>
      </c>
      <c r="AD83" s="5">
        <v>5.0</v>
      </c>
      <c r="AE83" s="5" t="s">
        <v>676</v>
      </c>
      <c r="AF83" s="5" t="s">
        <v>206</v>
      </c>
      <c r="AG83" s="5">
        <v>6.0</v>
      </c>
      <c r="AH83" s="5">
        <v>7.0</v>
      </c>
      <c r="AI83" s="5">
        <v>5.0</v>
      </c>
      <c r="AJ83" s="5">
        <v>1.0</v>
      </c>
      <c r="AK83" s="5">
        <f t="shared" si="2"/>
        <v>7</v>
      </c>
      <c r="AL83" s="5">
        <v>3.0</v>
      </c>
      <c r="AM83" s="5">
        <f t="shared" si="3"/>
        <v>5</v>
      </c>
      <c r="AN83" s="5">
        <v>1.0</v>
      </c>
      <c r="AO83" s="5">
        <f t="shared" si="4"/>
        <v>7</v>
      </c>
      <c r="AP83" s="5">
        <v>1.0</v>
      </c>
      <c r="AQ83" s="5">
        <f t="shared" si="5"/>
        <v>7</v>
      </c>
      <c r="AR83" s="5" t="s">
        <v>677</v>
      </c>
    </row>
    <row r="84">
      <c r="A84" s="8">
        <f>IFERROR(__xludf.DUMMYFUNCTION("IF(E84="""", """", VALUE(REGEXREPLACE(E84, ""^[Pp]"", """")))"),29.0)</f>
        <v>29</v>
      </c>
      <c r="B84" s="8">
        <v>834.0</v>
      </c>
      <c r="C84" s="7">
        <v>45869.27847222222</v>
      </c>
      <c r="D84" s="5" t="s">
        <v>683</v>
      </c>
      <c r="E84" s="5" t="s">
        <v>664</v>
      </c>
      <c r="F84" s="5" t="s">
        <v>216</v>
      </c>
      <c r="G84" s="5">
        <v>4.0</v>
      </c>
      <c r="H84" s="5">
        <v>2.0</v>
      </c>
      <c r="I84" s="5" t="s">
        <v>199</v>
      </c>
      <c r="J84" s="5">
        <v>4.0</v>
      </c>
      <c r="K84" s="5">
        <v>5.0</v>
      </c>
      <c r="L84" s="5">
        <v>2.0</v>
      </c>
      <c r="M84" s="5">
        <v>5.0</v>
      </c>
      <c r="N84" s="5">
        <v>4.0</v>
      </c>
      <c r="O84" s="5">
        <v>3.0</v>
      </c>
      <c r="P84" s="5">
        <v>4.0</v>
      </c>
      <c r="Q84" s="5">
        <v>4.0</v>
      </c>
      <c r="R84" s="5">
        <v>2.0</v>
      </c>
      <c r="S84" s="5">
        <v>5.0</v>
      </c>
      <c r="T84" s="5">
        <v>3.0</v>
      </c>
      <c r="U84" s="5">
        <v>7.0</v>
      </c>
      <c r="V84" s="5">
        <f t="shared" si="1"/>
        <v>1</v>
      </c>
      <c r="W84" s="5" t="s">
        <v>413</v>
      </c>
      <c r="X84" s="5" t="s">
        <v>206</v>
      </c>
      <c r="Y84" s="5">
        <v>5.0</v>
      </c>
      <c r="Z84" s="5">
        <v>6.0</v>
      </c>
      <c r="AA84" s="5">
        <v>5.0</v>
      </c>
      <c r="AB84" s="5">
        <v>6.0</v>
      </c>
      <c r="AC84" s="5">
        <v>5.0</v>
      </c>
      <c r="AD84" s="5">
        <v>6.0</v>
      </c>
      <c r="AE84" s="5" t="s">
        <v>413</v>
      </c>
      <c r="AF84" s="5" t="s">
        <v>206</v>
      </c>
      <c r="AG84" s="5">
        <v>6.0</v>
      </c>
      <c r="AH84" s="5">
        <v>6.0</v>
      </c>
      <c r="AI84" s="5">
        <v>7.0</v>
      </c>
      <c r="AJ84" s="5">
        <v>3.0</v>
      </c>
      <c r="AK84" s="5">
        <f t="shared" si="2"/>
        <v>5</v>
      </c>
      <c r="AL84" s="5">
        <v>1.0</v>
      </c>
      <c r="AM84" s="5">
        <f t="shared" si="3"/>
        <v>7</v>
      </c>
      <c r="AN84" s="5">
        <v>1.0</v>
      </c>
      <c r="AO84" s="5">
        <f t="shared" si="4"/>
        <v>7</v>
      </c>
      <c r="AP84" s="5">
        <v>1.0</v>
      </c>
      <c r="AQ84" s="5">
        <f t="shared" si="5"/>
        <v>7</v>
      </c>
      <c r="AR84" s="5" t="s">
        <v>413</v>
      </c>
    </row>
    <row r="85">
      <c r="A85" s="8">
        <f>IFERROR(__xludf.DUMMYFUNCTION("IF(E85="""", """", VALUE(REGEXREPLACE(E85, ""^[Pp]"", """")))"),29.0)</f>
        <v>29</v>
      </c>
      <c r="B85" s="8">
        <v>1099.0</v>
      </c>
      <c r="C85" s="7">
        <v>45869.41527777778</v>
      </c>
      <c r="D85" s="5" t="s">
        <v>717</v>
      </c>
      <c r="E85" s="5" t="s">
        <v>674</v>
      </c>
      <c r="F85" s="5" t="s">
        <v>263</v>
      </c>
      <c r="G85" s="5">
        <v>6.0</v>
      </c>
      <c r="H85" s="5">
        <v>5.0</v>
      </c>
      <c r="I85" s="5" t="s">
        <v>199</v>
      </c>
      <c r="J85" s="5">
        <v>4.0</v>
      </c>
      <c r="K85" s="5">
        <v>5.0</v>
      </c>
      <c r="L85" s="5">
        <v>5.0</v>
      </c>
      <c r="M85" s="5">
        <v>5.0</v>
      </c>
      <c r="N85" s="5">
        <v>5.0</v>
      </c>
      <c r="O85" s="5">
        <v>4.0</v>
      </c>
      <c r="P85" s="5">
        <v>4.0</v>
      </c>
      <c r="Q85" s="5">
        <v>5.0</v>
      </c>
      <c r="R85" s="5">
        <v>2.0</v>
      </c>
      <c r="S85" s="5">
        <v>5.0</v>
      </c>
      <c r="T85" s="5">
        <v>4.0</v>
      </c>
      <c r="U85" s="5">
        <v>6.0</v>
      </c>
      <c r="V85" s="5">
        <f t="shared" si="1"/>
        <v>2</v>
      </c>
      <c r="W85" s="5" t="s">
        <v>413</v>
      </c>
      <c r="X85" s="5" t="s">
        <v>206</v>
      </c>
      <c r="Y85" s="5">
        <v>4.0</v>
      </c>
      <c r="Z85" s="5">
        <v>5.0</v>
      </c>
      <c r="AA85" s="5">
        <v>5.0</v>
      </c>
      <c r="AB85" s="5">
        <v>5.0</v>
      </c>
      <c r="AC85" s="5">
        <v>5.0</v>
      </c>
      <c r="AD85" s="5">
        <v>6.0</v>
      </c>
      <c r="AE85" s="5" t="s">
        <v>413</v>
      </c>
      <c r="AF85" s="5" t="s">
        <v>206</v>
      </c>
      <c r="AG85" s="5">
        <v>5.0</v>
      </c>
      <c r="AH85" s="5">
        <v>5.0</v>
      </c>
      <c r="AI85" s="5">
        <v>6.0</v>
      </c>
      <c r="AJ85" s="5">
        <v>1.0</v>
      </c>
      <c r="AK85" s="5">
        <f t="shared" si="2"/>
        <v>7</v>
      </c>
      <c r="AL85" s="5">
        <v>1.0</v>
      </c>
      <c r="AM85" s="5">
        <f t="shared" si="3"/>
        <v>7</v>
      </c>
      <c r="AN85" s="5">
        <v>1.0</v>
      </c>
      <c r="AO85" s="5">
        <f t="shared" si="4"/>
        <v>7</v>
      </c>
      <c r="AP85" s="5">
        <v>1.0</v>
      </c>
      <c r="AQ85" s="5">
        <f t="shared" si="5"/>
        <v>7</v>
      </c>
      <c r="AR85" s="5" t="s">
        <v>413</v>
      </c>
    </row>
    <row r="86">
      <c r="A86" s="8">
        <f>IFERROR(__xludf.DUMMYFUNCTION("IF(E86="""", """", VALUE(REGEXREPLACE(E86, ""^[Pp]"", """")))"),3.0)</f>
        <v>3</v>
      </c>
      <c r="B86" s="8">
        <v>822.0</v>
      </c>
      <c r="C86" s="7">
        <v>45866.3125</v>
      </c>
      <c r="D86" s="5" t="s">
        <v>243</v>
      </c>
      <c r="E86" s="5" t="s">
        <v>244</v>
      </c>
      <c r="F86" s="5" t="s">
        <v>197</v>
      </c>
      <c r="G86" s="5">
        <v>2.0</v>
      </c>
      <c r="H86" s="5">
        <v>2.0</v>
      </c>
      <c r="I86" s="5" t="s">
        <v>199</v>
      </c>
      <c r="J86" s="5">
        <v>7.0</v>
      </c>
      <c r="K86" s="5">
        <v>3.0</v>
      </c>
      <c r="L86" s="5">
        <v>5.0</v>
      </c>
      <c r="M86" s="5">
        <v>3.0</v>
      </c>
      <c r="N86" s="5">
        <v>1.0</v>
      </c>
      <c r="O86" s="5">
        <v>5.0</v>
      </c>
      <c r="P86" s="5">
        <v>6.0</v>
      </c>
      <c r="Q86" s="5">
        <v>6.0</v>
      </c>
      <c r="R86" s="5">
        <v>1.0</v>
      </c>
      <c r="S86" s="5">
        <v>4.0</v>
      </c>
      <c r="T86" s="5">
        <v>7.0</v>
      </c>
      <c r="U86" s="5">
        <v>7.0</v>
      </c>
      <c r="V86" s="5">
        <f t="shared" si="1"/>
        <v>1</v>
      </c>
      <c r="W86" s="5" t="s">
        <v>245</v>
      </c>
      <c r="X86" s="5" t="s">
        <v>206</v>
      </c>
      <c r="Y86" s="5">
        <v>5.0</v>
      </c>
      <c r="Z86" s="5">
        <v>6.0</v>
      </c>
      <c r="AA86" s="5">
        <v>6.0</v>
      </c>
      <c r="AB86" s="5">
        <v>5.0</v>
      </c>
      <c r="AC86" s="5">
        <v>5.0</v>
      </c>
      <c r="AD86" s="5">
        <v>4.0</v>
      </c>
      <c r="AE86" s="5" t="s">
        <v>246</v>
      </c>
      <c r="AF86" s="5" t="s">
        <v>206</v>
      </c>
      <c r="AG86" s="5">
        <v>5.0</v>
      </c>
      <c r="AH86" s="5">
        <v>3.0</v>
      </c>
      <c r="AI86" s="5">
        <v>6.0</v>
      </c>
      <c r="AJ86" s="5">
        <v>2.0</v>
      </c>
      <c r="AK86" s="5">
        <f t="shared" si="2"/>
        <v>6</v>
      </c>
      <c r="AL86" s="5">
        <v>1.0</v>
      </c>
      <c r="AM86" s="5">
        <f t="shared" si="3"/>
        <v>7</v>
      </c>
      <c r="AN86" s="5">
        <v>5.0</v>
      </c>
      <c r="AO86" s="5">
        <f t="shared" si="4"/>
        <v>3</v>
      </c>
      <c r="AP86" s="5">
        <v>5.0</v>
      </c>
      <c r="AQ86" s="5">
        <f t="shared" si="5"/>
        <v>3</v>
      </c>
      <c r="AR86" s="5" t="s">
        <v>247</v>
      </c>
    </row>
    <row r="87">
      <c r="A87" s="8">
        <f>IFERROR(__xludf.DUMMYFUNCTION("IF(E87="""", """", VALUE(REGEXREPLACE(E87, ""^[Pp]"", """")))"),3.0)</f>
        <v>3</v>
      </c>
      <c r="B87" s="8">
        <v>1106.0</v>
      </c>
      <c r="C87" s="7">
        <v>45866.32777777778</v>
      </c>
      <c r="D87" s="5" t="s">
        <v>248</v>
      </c>
      <c r="E87" s="5" t="s">
        <v>244</v>
      </c>
      <c r="F87" s="5" t="s">
        <v>211</v>
      </c>
      <c r="G87" s="5">
        <v>3.0</v>
      </c>
      <c r="H87" s="5">
        <v>1.0</v>
      </c>
      <c r="I87" s="5" t="s">
        <v>199</v>
      </c>
      <c r="J87" s="5">
        <v>5.0</v>
      </c>
      <c r="K87" s="5">
        <v>2.0</v>
      </c>
      <c r="L87" s="5">
        <v>1.0</v>
      </c>
      <c r="M87" s="5">
        <v>3.0</v>
      </c>
      <c r="N87" s="5">
        <v>1.0</v>
      </c>
      <c r="O87" s="5">
        <v>5.0</v>
      </c>
      <c r="P87" s="5">
        <v>6.0</v>
      </c>
      <c r="Q87" s="5">
        <v>2.0</v>
      </c>
      <c r="R87" s="5">
        <v>1.0</v>
      </c>
      <c r="S87" s="5">
        <v>2.0</v>
      </c>
      <c r="T87" s="5">
        <v>5.0</v>
      </c>
      <c r="U87" s="5">
        <v>7.0</v>
      </c>
      <c r="V87" s="5">
        <f t="shared" si="1"/>
        <v>1</v>
      </c>
      <c r="W87" s="5" t="s">
        <v>249</v>
      </c>
      <c r="X87" s="5" t="s">
        <v>206</v>
      </c>
      <c r="Y87" s="5">
        <v>6.0</v>
      </c>
      <c r="Z87" s="5">
        <v>6.0</v>
      </c>
      <c r="AA87" s="5">
        <v>6.0</v>
      </c>
      <c r="AB87" s="5">
        <v>5.0</v>
      </c>
      <c r="AC87" s="5">
        <v>3.0</v>
      </c>
      <c r="AD87" s="5">
        <v>4.0</v>
      </c>
      <c r="AE87" s="5" t="s">
        <v>250</v>
      </c>
      <c r="AF87" s="5" t="s">
        <v>206</v>
      </c>
      <c r="AG87" s="5">
        <v>6.0</v>
      </c>
      <c r="AH87" s="5">
        <v>6.0</v>
      </c>
      <c r="AI87" s="5">
        <v>2.0</v>
      </c>
      <c r="AJ87" s="5">
        <v>1.0</v>
      </c>
      <c r="AK87" s="5">
        <f t="shared" si="2"/>
        <v>7</v>
      </c>
      <c r="AL87" s="5">
        <v>1.0</v>
      </c>
      <c r="AM87" s="5">
        <f t="shared" si="3"/>
        <v>7</v>
      </c>
      <c r="AN87" s="5">
        <v>1.0</v>
      </c>
      <c r="AO87" s="5">
        <f t="shared" si="4"/>
        <v>7</v>
      </c>
      <c r="AP87" s="5">
        <v>1.0</v>
      </c>
      <c r="AQ87" s="5">
        <f t="shared" si="5"/>
        <v>7</v>
      </c>
      <c r="AR87" s="5" t="s">
        <v>251</v>
      </c>
    </row>
    <row r="88">
      <c r="A88" s="8">
        <f>IFERROR(__xludf.DUMMYFUNCTION("IF(E88="""", """", VALUE(REGEXREPLACE(E88, ""^[Pp]"", """")))"),3.0)</f>
        <v>3</v>
      </c>
      <c r="B88" s="8">
        <v>794.0</v>
      </c>
      <c r="C88" s="7">
        <v>45869.0625</v>
      </c>
      <c r="D88" s="5" t="s">
        <v>552</v>
      </c>
      <c r="E88" s="5" t="s">
        <v>244</v>
      </c>
      <c r="F88" s="5" t="s">
        <v>197</v>
      </c>
      <c r="G88" s="5">
        <v>5.0</v>
      </c>
      <c r="H88" s="5">
        <v>2.0</v>
      </c>
      <c r="I88" s="5" t="s">
        <v>199</v>
      </c>
      <c r="J88" s="5">
        <v>6.0</v>
      </c>
      <c r="K88" s="5">
        <v>1.0</v>
      </c>
      <c r="L88" s="5">
        <v>7.0</v>
      </c>
      <c r="M88" s="5">
        <v>1.0</v>
      </c>
      <c r="N88" s="5">
        <v>2.0</v>
      </c>
      <c r="O88" s="5">
        <v>5.0</v>
      </c>
      <c r="P88" s="5">
        <v>5.0</v>
      </c>
      <c r="Q88" s="5">
        <v>2.0</v>
      </c>
      <c r="R88" s="5">
        <v>1.0</v>
      </c>
      <c r="S88" s="5">
        <v>5.0</v>
      </c>
      <c r="T88" s="5">
        <v>4.0</v>
      </c>
      <c r="U88" s="5">
        <v>7.0</v>
      </c>
      <c r="V88" s="5">
        <f t="shared" si="1"/>
        <v>1</v>
      </c>
      <c r="W88" s="5" t="s">
        <v>553</v>
      </c>
      <c r="X88" s="5" t="s">
        <v>206</v>
      </c>
      <c r="Y88" s="5">
        <v>6.0</v>
      </c>
      <c r="Z88" s="5">
        <v>6.0</v>
      </c>
      <c r="AA88" s="5">
        <v>7.0</v>
      </c>
      <c r="AB88" s="5">
        <v>7.0</v>
      </c>
      <c r="AC88" s="5">
        <v>5.0</v>
      </c>
      <c r="AD88" s="5">
        <v>6.0</v>
      </c>
      <c r="AE88" s="5" t="s">
        <v>554</v>
      </c>
      <c r="AF88" s="5" t="s">
        <v>206</v>
      </c>
      <c r="AG88" s="5">
        <v>7.0</v>
      </c>
      <c r="AH88" s="5">
        <v>6.0</v>
      </c>
      <c r="AI88" s="5">
        <v>7.0</v>
      </c>
      <c r="AJ88" s="5">
        <v>1.0</v>
      </c>
      <c r="AK88" s="5">
        <f t="shared" si="2"/>
        <v>7</v>
      </c>
      <c r="AL88" s="5">
        <v>1.0</v>
      </c>
      <c r="AM88" s="5">
        <f t="shared" si="3"/>
        <v>7</v>
      </c>
      <c r="AN88" s="5">
        <v>5.0</v>
      </c>
      <c r="AO88" s="5">
        <f t="shared" si="4"/>
        <v>3</v>
      </c>
      <c r="AP88" s="5">
        <v>1.0</v>
      </c>
      <c r="AQ88" s="5">
        <f t="shared" si="5"/>
        <v>7</v>
      </c>
      <c r="AR88" s="5" t="s">
        <v>555</v>
      </c>
    </row>
    <row r="89">
      <c r="A89" s="8">
        <f>IFERROR(__xludf.DUMMYFUNCTION("IF(E89="""", """", VALUE(REGEXREPLACE(E89, ""^[Pp]"", """")))"),3.0)</f>
        <v>3</v>
      </c>
      <c r="B89" s="8">
        <v>1145.0</v>
      </c>
      <c r="C89" s="7">
        <v>45869.07986111111</v>
      </c>
      <c r="D89" s="5" t="s">
        <v>564</v>
      </c>
      <c r="E89" s="5" t="s">
        <v>244</v>
      </c>
      <c r="F89" s="5" t="s">
        <v>211</v>
      </c>
      <c r="G89" s="5">
        <v>4.0</v>
      </c>
      <c r="H89" s="5">
        <v>2.0</v>
      </c>
      <c r="I89" s="5" t="s">
        <v>199</v>
      </c>
      <c r="J89" s="5">
        <v>6.0</v>
      </c>
      <c r="K89" s="5">
        <v>2.0</v>
      </c>
      <c r="L89" s="5">
        <v>2.0</v>
      </c>
      <c r="M89" s="5">
        <v>2.0</v>
      </c>
      <c r="N89" s="5">
        <v>1.0</v>
      </c>
      <c r="O89" s="5">
        <v>2.0</v>
      </c>
      <c r="P89" s="5">
        <v>2.0</v>
      </c>
      <c r="Q89" s="5">
        <v>3.0</v>
      </c>
      <c r="R89" s="5">
        <v>1.0</v>
      </c>
      <c r="S89" s="5">
        <v>2.0</v>
      </c>
      <c r="T89" s="5">
        <v>2.0</v>
      </c>
      <c r="U89" s="5">
        <v>7.0</v>
      </c>
      <c r="V89" s="5">
        <f t="shared" si="1"/>
        <v>1</v>
      </c>
      <c r="W89" s="5" t="s">
        <v>565</v>
      </c>
      <c r="X89" s="5" t="s">
        <v>206</v>
      </c>
      <c r="Y89" s="5">
        <v>5.0</v>
      </c>
      <c r="Z89" s="5">
        <v>2.0</v>
      </c>
      <c r="AA89" s="5">
        <v>2.0</v>
      </c>
      <c r="AB89" s="5">
        <v>2.0</v>
      </c>
      <c r="AC89" s="5">
        <v>2.0</v>
      </c>
      <c r="AD89" s="5">
        <v>4.0</v>
      </c>
      <c r="AE89" s="5" t="s">
        <v>566</v>
      </c>
      <c r="AF89" s="5" t="s">
        <v>206</v>
      </c>
      <c r="AG89" s="5">
        <v>6.0</v>
      </c>
      <c r="AH89" s="5">
        <v>6.0</v>
      </c>
      <c r="AI89" s="5">
        <v>1.0</v>
      </c>
      <c r="AJ89" s="5">
        <v>1.0</v>
      </c>
      <c r="AK89" s="5">
        <f t="shared" si="2"/>
        <v>7</v>
      </c>
      <c r="AL89" s="5">
        <v>1.0</v>
      </c>
      <c r="AM89" s="5">
        <f t="shared" si="3"/>
        <v>7</v>
      </c>
      <c r="AN89" s="5">
        <v>1.0</v>
      </c>
      <c r="AO89" s="5">
        <f t="shared" si="4"/>
        <v>7</v>
      </c>
      <c r="AP89" s="5">
        <v>1.0</v>
      </c>
      <c r="AQ89" s="5">
        <f t="shared" si="5"/>
        <v>7</v>
      </c>
      <c r="AR89" s="5" t="s">
        <v>567</v>
      </c>
    </row>
    <row r="90">
      <c r="A90" s="8">
        <f>IFERROR(__xludf.DUMMYFUNCTION("IF(E90="""", """", VALUE(REGEXREPLACE(E90, ""^[Pp]"", """")))"),30.0)</f>
        <v>30</v>
      </c>
      <c r="B90" s="8">
        <v>1458.0</v>
      </c>
      <c r="C90" s="7">
        <v>45869.263194444444</v>
      </c>
      <c r="D90" s="5" t="s">
        <v>668</v>
      </c>
      <c r="E90" s="5" t="s">
        <v>669</v>
      </c>
      <c r="F90" s="5" t="s">
        <v>211</v>
      </c>
      <c r="G90" s="5">
        <v>5.0</v>
      </c>
      <c r="H90" s="5">
        <v>7.0</v>
      </c>
      <c r="I90" s="5" t="s">
        <v>199</v>
      </c>
      <c r="J90" s="5">
        <v>6.0</v>
      </c>
      <c r="K90" s="5">
        <v>6.0</v>
      </c>
      <c r="L90" s="5">
        <v>2.0</v>
      </c>
      <c r="M90" s="5">
        <v>7.0</v>
      </c>
      <c r="N90" s="5">
        <v>7.0</v>
      </c>
      <c r="O90" s="5">
        <v>6.0</v>
      </c>
      <c r="P90" s="5">
        <v>6.0</v>
      </c>
      <c r="Q90" s="5">
        <v>4.0</v>
      </c>
      <c r="R90" s="5">
        <v>3.0</v>
      </c>
      <c r="S90" s="5">
        <v>4.0</v>
      </c>
      <c r="T90" s="5">
        <v>7.0</v>
      </c>
      <c r="U90" s="5">
        <v>5.0</v>
      </c>
      <c r="V90" s="5">
        <f t="shared" si="1"/>
        <v>3</v>
      </c>
      <c r="W90" s="5" t="s">
        <v>670</v>
      </c>
      <c r="X90" s="5" t="s">
        <v>206</v>
      </c>
      <c r="Y90" s="5">
        <v>4.0</v>
      </c>
      <c r="Z90" s="5">
        <v>7.0</v>
      </c>
      <c r="AA90" s="5">
        <v>6.0</v>
      </c>
      <c r="AB90" s="5">
        <v>7.0</v>
      </c>
      <c r="AC90" s="5">
        <v>6.0</v>
      </c>
      <c r="AD90" s="5">
        <v>7.0</v>
      </c>
      <c r="AE90" s="5" t="s">
        <v>671</v>
      </c>
      <c r="AF90" s="5" t="s">
        <v>206</v>
      </c>
      <c r="AG90" s="5">
        <v>7.0</v>
      </c>
      <c r="AH90" s="5">
        <v>3.0</v>
      </c>
      <c r="AI90" s="5">
        <v>6.0</v>
      </c>
      <c r="AJ90" s="5">
        <v>1.0</v>
      </c>
      <c r="AK90" s="5">
        <f t="shared" si="2"/>
        <v>7</v>
      </c>
      <c r="AL90" s="5">
        <v>1.0</v>
      </c>
      <c r="AM90" s="5">
        <f t="shared" si="3"/>
        <v>7</v>
      </c>
      <c r="AN90" s="5">
        <v>1.0</v>
      </c>
      <c r="AO90" s="5">
        <f t="shared" si="4"/>
        <v>7</v>
      </c>
      <c r="AP90" s="5">
        <v>1.0</v>
      </c>
      <c r="AQ90" s="5">
        <f t="shared" si="5"/>
        <v>7</v>
      </c>
      <c r="AR90" s="5" t="s">
        <v>672</v>
      </c>
    </row>
    <row r="91">
      <c r="A91" s="8">
        <f>IFERROR(__xludf.DUMMYFUNCTION("IF(E91="""", """", VALUE(REGEXREPLACE(E91, ""^[Pp]"", """")))"),30.0)</f>
        <v>30</v>
      </c>
      <c r="B91" s="8">
        <v>945.0</v>
      </c>
      <c r="C91" s="7">
        <v>45869.28333333333</v>
      </c>
      <c r="D91" s="5" t="s">
        <v>684</v>
      </c>
      <c r="E91" s="5" t="s">
        <v>669</v>
      </c>
      <c r="F91" s="5" t="s">
        <v>263</v>
      </c>
      <c r="G91" s="5">
        <v>7.0</v>
      </c>
      <c r="H91" s="5">
        <v>6.0</v>
      </c>
      <c r="I91" s="5" t="s">
        <v>199</v>
      </c>
      <c r="J91" s="5">
        <v>7.0</v>
      </c>
      <c r="K91" s="5">
        <v>6.0</v>
      </c>
      <c r="L91" s="5">
        <v>7.0</v>
      </c>
      <c r="M91" s="5">
        <v>6.0</v>
      </c>
      <c r="N91" s="5">
        <v>7.0</v>
      </c>
      <c r="O91" s="5">
        <v>7.0</v>
      </c>
      <c r="P91" s="5">
        <v>6.0</v>
      </c>
      <c r="Q91" s="5">
        <v>7.0</v>
      </c>
      <c r="R91" s="5">
        <v>6.0</v>
      </c>
      <c r="S91" s="5">
        <v>1.0</v>
      </c>
      <c r="T91" s="5">
        <v>7.0</v>
      </c>
      <c r="U91" s="5">
        <v>6.0</v>
      </c>
      <c r="V91" s="5">
        <f t="shared" si="1"/>
        <v>2</v>
      </c>
      <c r="W91" s="5" t="s">
        <v>685</v>
      </c>
      <c r="X91" s="5" t="s">
        <v>206</v>
      </c>
      <c r="Y91" s="5">
        <v>6.0</v>
      </c>
      <c r="Z91" s="5">
        <v>6.0</v>
      </c>
      <c r="AA91" s="5">
        <v>6.0</v>
      </c>
      <c r="AB91" s="5">
        <v>7.0</v>
      </c>
      <c r="AC91" s="5">
        <v>7.0</v>
      </c>
      <c r="AD91" s="5">
        <v>6.0</v>
      </c>
      <c r="AE91" s="5" t="s">
        <v>686</v>
      </c>
      <c r="AF91" s="5" t="s">
        <v>206</v>
      </c>
      <c r="AG91" s="5">
        <v>7.0</v>
      </c>
      <c r="AH91" s="5">
        <v>6.0</v>
      </c>
      <c r="AI91" s="5">
        <v>7.0</v>
      </c>
      <c r="AJ91" s="5">
        <v>1.0</v>
      </c>
      <c r="AK91" s="5">
        <f t="shared" si="2"/>
        <v>7</v>
      </c>
      <c r="AL91" s="5">
        <v>1.0</v>
      </c>
      <c r="AM91" s="5">
        <f t="shared" si="3"/>
        <v>7</v>
      </c>
      <c r="AN91" s="5">
        <v>1.0</v>
      </c>
      <c r="AO91" s="5">
        <f t="shared" si="4"/>
        <v>7</v>
      </c>
      <c r="AP91" s="5">
        <v>1.0</v>
      </c>
      <c r="AQ91" s="5">
        <f t="shared" si="5"/>
        <v>7</v>
      </c>
      <c r="AR91" s="5" t="s">
        <v>687</v>
      </c>
    </row>
    <row r="92">
      <c r="A92" s="8">
        <f>IFERROR(__xludf.DUMMYFUNCTION("IF(E92="""", """", VALUE(REGEXREPLACE(E92, ""^[Pp]"", """")))"),30.0)</f>
        <v>30</v>
      </c>
      <c r="B92" s="8">
        <v>784.0</v>
      </c>
      <c r="C92" s="7">
        <v>45869.29722222222</v>
      </c>
      <c r="D92" s="5" t="s">
        <v>692</v>
      </c>
      <c r="E92" s="5" t="s">
        <v>669</v>
      </c>
      <c r="F92" s="5" t="s">
        <v>216</v>
      </c>
      <c r="G92" s="5">
        <v>2.0</v>
      </c>
      <c r="H92" s="5">
        <v>6.0</v>
      </c>
      <c r="I92" s="5" t="s">
        <v>199</v>
      </c>
      <c r="J92" s="5">
        <v>7.0</v>
      </c>
      <c r="K92" s="5">
        <v>6.0</v>
      </c>
      <c r="L92" s="5">
        <v>1.0</v>
      </c>
      <c r="M92" s="5">
        <v>7.0</v>
      </c>
      <c r="N92" s="5">
        <v>6.0</v>
      </c>
      <c r="O92" s="5">
        <v>6.0</v>
      </c>
      <c r="P92" s="5">
        <v>6.0</v>
      </c>
      <c r="Q92" s="5">
        <v>7.0</v>
      </c>
      <c r="R92" s="5">
        <v>5.0</v>
      </c>
      <c r="S92" s="5">
        <v>1.0</v>
      </c>
      <c r="T92" s="5">
        <v>6.0</v>
      </c>
      <c r="U92" s="5">
        <v>6.0</v>
      </c>
      <c r="V92" s="5">
        <f t="shared" si="1"/>
        <v>2</v>
      </c>
      <c r="W92" s="5" t="s">
        <v>693</v>
      </c>
      <c r="X92" s="5" t="s">
        <v>206</v>
      </c>
      <c r="Y92" s="5">
        <v>7.0</v>
      </c>
      <c r="Z92" s="5">
        <v>6.0</v>
      </c>
      <c r="AA92" s="5">
        <v>7.0</v>
      </c>
      <c r="AB92" s="5">
        <v>7.0</v>
      </c>
      <c r="AC92" s="5">
        <v>7.0</v>
      </c>
      <c r="AD92" s="5">
        <v>6.0</v>
      </c>
      <c r="AE92" s="5" t="s">
        <v>694</v>
      </c>
      <c r="AF92" s="5" t="s">
        <v>206</v>
      </c>
      <c r="AG92" s="5">
        <v>7.0</v>
      </c>
      <c r="AH92" s="5">
        <v>7.0</v>
      </c>
      <c r="AI92" s="5">
        <v>6.0</v>
      </c>
      <c r="AJ92" s="5">
        <v>1.0</v>
      </c>
      <c r="AK92" s="5">
        <f t="shared" si="2"/>
        <v>7</v>
      </c>
      <c r="AL92" s="5">
        <v>1.0</v>
      </c>
      <c r="AM92" s="5">
        <f t="shared" si="3"/>
        <v>7</v>
      </c>
      <c r="AN92" s="5">
        <v>1.0</v>
      </c>
      <c r="AO92" s="5">
        <f t="shared" si="4"/>
        <v>7</v>
      </c>
      <c r="AP92" s="5">
        <v>1.0</v>
      </c>
      <c r="AQ92" s="5">
        <f t="shared" si="5"/>
        <v>7</v>
      </c>
      <c r="AR92" s="5" t="s">
        <v>695</v>
      </c>
    </row>
    <row r="93">
      <c r="A93" s="8">
        <f>IFERROR(__xludf.DUMMYFUNCTION("IF(E93="""", """", VALUE(REGEXREPLACE(E93, ""^[Pp]"", """")))"),30.0)</f>
        <v>30</v>
      </c>
      <c r="B93" s="8">
        <v>967.0</v>
      </c>
      <c r="C93" s="7">
        <v>45869.31805555556</v>
      </c>
      <c r="D93" s="5" t="s">
        <v>708</v>
      </c>
      <c r="E93" s="5" t="s">
        <v>669</v>
      </c>
      <c r="F93" s="5" t="s">
        <v>197</v>
      </c>
      <c r="G93" s="5">
        <v>7.0</v>
      </c>
      <c r="H93" s="5">
        <v>7.0</v>
      </c>
      <c r="I93" s="5" t="s">
        <v>199</v>
      </c>
      <c r="J93" s="5">
        <v>3.0</v>
      </c>
      <c r="K93" s="5">
        <v>6.0</v>
      </c>
      <c r="L93" s="5">
        <v>7.0</v>
      </c>
      <c r="M93" s="5">
        <v>7.0</v>
      </c>
      <c r="N93" s="5">
        <v>6.0</v>
      </c>
      <c r="O93" s="5">
        <v>6.0</v>
      </c>
      <c r="P93" s="5">
        <v>6.0</v>
      </c>
      <c r="Q93" s="5">
        <v>3.0</v>
      </c>
      <c r="R93" s="5">
        <v>6.0</v>
      </c>
      <c r="S93" s="5">
        <v>1.0</v>
      </c>
      <c r="T93" s="5">
        <v>6.0</v>
      </c>
      <c r="U93" s="5">
        <v>5.0</v>
      </c>
      <c r="V93" s="5">
        <f t="shared" si="1"/>
        <v>3</v>
      </c>
      <c r="W93" s="5" t="s">
        <v>709</v>
      </c>
      <c r="X93" s="5" t="s">
        <v>206</v>
      </c>
      <c r="Y93" s="5">
        <v>6.0</v>
      </c>
      <c r="Z93" s="5">
        <v>6.0</v>
      </c>
      <c r="AA93" s="5">
        <v>3.0</v>
      </c>
      <c r="AB93" s="5">
        <v>7.0</v>
      </c>
      <c r="AC93" s="5">
        <v>7.0</v>
      </c>
      <c r="AD93" s="5">
        <v>7.0</v>
      </c>
      <c r="AE93" s="5" t="s">
        <v>710</v>
      </c>
      <c r="AF93" s="5" t="s">
        <v>206</v>
      </c>
      <c r="AG93" s="5">
        <v>7.0</v>
      </c>
      <c r="AH93" s="5">
        <v>7.0</v>
      </c>
      <c r="AI93" s="5">
        <v>7.0</v>
      </c>
      <c r="AJ93" s="5">
        <v>1.0</v>
      </c>
      <c r="AK93" s="5">
        <f t="shared" si="2"/>
        <v>7</v>
      </c>
      <c r="AL93" s="5">
        <v>1.0</v>
      </c>
      <c r="AM93" s="5">
        <f t="shared" si="3"/>
        <v>7</v>
      </c>
      <c r="AN93" s="5">
        <v>1.0</v>
      </c>
      <c r="AO93" s="5">
        <f t="shared" si="4"/>
        <v>7</v>
      </c>
      <c r="AP93" s="5">
        <v>1.0</v>
      </c>
      <c r="AQ93" s="5">
        <f t="shared" si="5"/>
        <v>7</v>
      </c>
      <c r="AR93" s="5" t="s">
        <v>711</v>
      </c>
    </row>
    <row r="94">
      <c r="A94" s="8">
        <f>IFERROR(__xludf.DUMMYFUNCTION("IF(E94="""", """", VALUE(REGEXREPLACE(E94, ""^[Pp]"", """")))"),31.0)</f>
        <v>31</v>
      </c>
      <c r="B94" s="8">
        <v>934.0</v>
      </c>
      <c r="C94" s="7">
        <v>45869.277083333334</v>
      </c>
      <c r="D94" s="5" t="s">
        <v>678</v>
      </c>
      <c r="E94" s="5" t="s">
        <v>679</v>
      </c>
      <c r="F94" s="5" t="s">
        <v>216</v>
      </c>
      <c r="G94" s="5">
        <v>2.0</v>
      </c>
      <c r="H94" s="5">
        <v>2.0</v>
      </c>
      <c r="I94" s="5" t="s">
        <v>199</v>
      </c>
      <c r="J94" s="5">
        <v>4.0</v>
      </c>
      <c r="K94" s="5">
        <v>3.0</v>
      </c>
      <c r="L94" s="5">
        <v>3.0</v>
      </c>
      <c r="M94" s="5">
        <v>1.0</v>
      </c>
      <c r="N94" s="5">
        <v>5.0</v>
      </c>
      <c r="O94" s="5">
        <v>6.0</v>
      </c>
      <c r="P94" s="5">
        <v>6.0</v>
      </c>
      <c r="Q94" s="5">
        <v>3.0</v>
      </c>
      <c r="R94" s="5">
        <v>1.0</v>
      </c>
      <c r="S94" s="5">
        <v>6.0</v>
      </c>
      <c r="T94" s="5">
        <v>5.0</v>
      </c>
      <c r="U94" s="5">
        <v>2.0</v>
      </c>
      <c r="V94" s="5">
        <f t="shared" si="1"/>
        <v>6</v>
      </c>
      <c r="W94" s="5" t="s">
        <v>680</v>
      </c>
      <c r="X94" s="5" t="s">
        <v>206</v>
      </c>
      <c r="Y94" s="5">
        <v>2.0</v>
      </c>
      <c r="Z94" s="5">
        <v>2.0</v>
      </c>
      <c r="AA94" s="5">
        <v>3.0</v>
      </c>
      <c r="AB94" s="5">
        <v>2.0</v>
      </c>
      <c r="AC94" s="5">
        <v>1.0</v>
      </c>
      <c r="AD94" s="5">
        <v>5.0</v>
      </c>
      <c r="AE94" s="5" t="s">
        <v>681</v>
      </c>
      <c r="AF94" s="5" t="s">
        <v>206</v>
      </c>
      <c r="AG94" s="5">
        <v>3.0</v>
      </c>
      <c r="AH94" s="5">
        <v>5.0</v>
      </c>
      <c r="AI94" s="5">
        <v>2.0</v>
      </c>
      <c r="AJ94" s="5">
        <v>1.0</v>
      </c>
      <c r="AK94" s="5">
        <f t="shared" si="2"/>
        <v>7</v>
      </c>
      <c r="AL94" s="5">
        <v>2.0</v>
      </c>
      <c r="AM94" s="5">
        <f t="shared" si="3"/>
        <v>6</v>
      </c>
      <c r="AN94" s="5">
        <v>1.0</v>
      </c>
      <c r="AO94" s="5">
        <f t="shared" si="4"/>
        <v>7</v>
      </c>
      <c r="AP94" s="5">
        <v>1.0</v>
      </c>
      <c r="AQ94" s="5">
        <f t="shared" si="5"/>
        <v>7</v>
      </c>
      <c r="AR94" s="5" t="s">
        <v>682</v>
      </c>
    </row>
    <row r="95">
      <c r="A95" s="8">
        <f>IFERROR(__xludf.DUMMYFUNCTION("IF(E95="""", """", VALUE(REGEXREPLACE(E95, ""^[Pp]"", """")))"),31.0)</f>
        <v>31</v>
      </c>
      <c r="B95" s="8">
        <v>1071.0</v>
      </c>
      <c r="C95" s="7">
        <v>45869.30069444444</v>
      </c>
      <c r="D95" s="5" t="s">
        <v>696</v>
      </c>
      <c r="E95" s="5" t="s">
        <v>679</v>
      </c>
      <c r="F95" s="5" t="s">
        <v>197</v>
      </c>
      <c r="G95" s="5">
        <v>6.0</v>
      </c>
      <c r="H95" s="5">
        <v>2.0</v>
      </c>
      <c r="I95" s="5" t="s">
        <v>199</v>
      </c>
      <c r="J95" s="5">
        <v>6.0</v>
      </c>
      <c r="K95" s="5">
        <v>6.0</v>
      </c>
      <c r="L95" s="5">
        <v>4.0</v>
      </c>
      <c r="M95" s="5">
        <v>2.0</v>
      </c>
      <c r="N95" s="5">
        <v>5.0</v>
      </c>
      <c r="O95" s="5">
        <v>6.0</v>
      </c>
      <c r="P95" s="5">
        <v>6.0</v>
      </c>
      <c r="Q95" s="5">
        <v>3.0</v>
      </c>
      <c r="R95" s="5">
        <v>2.0</v>
      </c>
      <c r="S95" s="5">
        <v>4.0</v>
      </c>
      <c r="T95" s="5">
        <v>5.0</v>
      </c>
      <c r="U95" s="5">
        <v>5.0</v>
      </c>
      <c r="V95" s="5">
        <f t="shared" si="1"/>
        <v>3</v>
      </c>
      <c r="W95" s="5" t="s">
        <v>697</v>
      </c>
      <c r="X95" s="5" t="s">
        <v>206</v>
      </c>
      <c r="Y95" s="5">
        <v>6.0</v>
      </c>
      <c r="Z95" s="5">
        <v>6.0</v>
      </c>
      <c r="AA95" s="5">
        <v>6.0</v>
      </c>
      <c r="AB95" s="5">
        <v>3.0</v>
      </c>
      <c r="AC95" s="5">
        <v>3.0</v>
      </c>
      <c r="AD95" s="5">
        <v>6.0</v>
      </c>
      <c r="AE95" s="5" t="s">
        <v>698</v>
      </c>
      <c r="AF95" s="5" t="s">
        <v>206</v>
      </c>
      <c r="AG95" s="5">
        <v>6.0</v>
      </c>
      <c r="AH95" s="5">
        <v>6.0</v>
      </c>
      <c r="AI95" s="5">
        <v>6.0</v>
      </c>
      <c r="AJ95" s="5">
        <v>5.0</v>
      </c>
      <c r="AK95" s="5">
        <f t="shared" si="2"/>
        <v>3</v>
      </c>
      <c r="AL95" s="5">
        <v>4.0</v>
      </c>
      <c r="AM95" s="5">
        <f t="shared" si="3"/>
        <v>4</v>
      </c>
      <c r="AN95" s="5">
        <v>5.0</v>
      </c>
      <c r="AO95" s="5">
        <f t="shared" si="4"/>
        <v>3</v>
      </c>
      <c r="AP95" s="5">
        <v>3.0</v>
      </c>
      <c r="AQ95" s="5">
        <f t="shared" si="5"/>
        <v>5</v>
      </c>
      <c r="AR95" s="5" t="s">
        <v>699</v>
      </c>
    </row>
    <row r="96">
      <c r="A96" s="8">
        <f>IFERROR(__xludf.DUMMYFUNCTION("IF(E96="""", """", VALUE(REGEXREPLACE(E96, ""^[Pp]"", """")))"),31.0)</f>
        <v>31</v>
      </c>
      <c r="B96" s="8">
        <v>500.0</v>
      </c>
      <c r="C96" s="7">
        <v>45869.30902777778</v>
      </c>
      <c r="D96" s="5" t="s">
        <v>700</v>
      </c>
      <c r="E96" s="5" t="s">
        <v>679</v>
      </c>
      <c r="F96" s="5" t="s">
        <v>263</v>
      </c>
      <c r="G96" s="5">
        <v>6.0</v>
      </c>
      <c r="H96" s="5">
        <v>3.0</v>
      </c>
      <c r="I96" s="5" t="s">
        <v>199</v>
      </c>
      <c r="J96" s="5">
        <v>6.0</v>
      </c>
      <c r="K96" s="5">
        <v>6.0</v>
      </c>
      <c r="L96" s="5">
        <v>4.0</v>
      </c>
      <c r="M96" s="5">
        <v>2.0</v>
      </c>
      <c r="N96" s="5">
        <v>6.0</v>
      </c>
      <c r="O96" s="5">
        <v>6.0</v>
      </c>
      <c r="P96" s="5">
        <v>6.0</v>
      </c>
      <c r="Q96" s="5">
        <v>6.0</v>
      </c>
      <c r="R96" s="5">
        <v>3.0</v>
      </c>
      <c r="S96" s="5">
        <v>6.0</v>
      </c>
      <c r="T96" s="5">
        <v>6.0</v>
      </c>
      <c r="U96" s="5">
        <v>6.0</v>
      </c>
      <c r="V96" s="5">
        <f t="shared" si="1"/>
        <v>2</v>
      </c>
      <c r="W96" s="5" t="s">
        <v>701</v>
      </c>
      <c r="X96" s="5" t="s">
        <v>206</v>
      </c>
      <c r="Y96" s="5">
        <v>6.0</v>
      </c>
      <c r="Z96" s="5">
        <v>6.0</v>
      </c>
      <c r="AA96" s="5">
        <v>6.0</v>
      </c>
      <c r="AB96" s="5">
        <v>3.0</v>
      </c>
      <c r="AC96" s="5">
        <v>3.0</v>
      </c>
      <c r="AD96" s="5">
        <v>6.0</v>
      </c>
      <c r="AE96" s="5" t="s">
        <v>702</v>
      </c>
      <c r="AF96" s="5" t="s">
        <v>206</v>
      </c>
      <c r="AG96" s="5">
        <v>6.0</v>
      </c>
      <c r="AH96" s="5">
        <v>6.0</v>
      </c>
      <c r="AI96" s="5">
        <v>6.0</v>
      </c>
      <c r="AJ96" s="5">
        <v>5.0</v>
      </c>
      <c r="AK96" s="5">
        <f t="shared" si="2"/>
        <v>3</v>
      </c>
      <c r="AL96" s="5">
        <v>4.0</v>
      </c>
      <c r="AM96" s="5">
        <f t="shared" si="3"/>
        <v>4</v>
      </c>
      <c r="AN96" s="5">
        <v>5.0</v>
      </c>
      <c r="AO96" s="5">
        <f t="shared" si="4"/>
        <v>3</v>
      </c>
      <c r="AP96" s="5">
        <v>3.0</v>
      </c>
      <c r="AQ96" s="5">
        <f t="shared" si="5"/>
        <v>5</v>
      </c>
      <c r="AR96" s="5" t="s">
        <v>703</v>
      </c>
    </row>
    <row r="97">
      <c r="A97" s="8">
        <f>IFERROR(__xludf.DUMMYFUNCTION("IF(E97="""", """", VALUE(REGEXREPLACE(E97, ""^[Pp]"", """")))"),31.0)</f>
        <v>31</v>
      </c>
      <c r="B97" s="8">
        <v>813.0</v>
      </c>
      <c r="C97" s="7">
        <v>45869.31875</v>
      </c>
      <c r="D97" s="5" t="s">
        <v>712</v>
      </c>
      <c r="E97" s="5" t="s">
        <v>679</v>
      </c>
      <c r="F97" s="5" t="s">
        <v>211</v>
      </c>
      <c r="G97" s="5">
        <v>4.0</v>
      </c>
      <c r="H97" s="5">
        <v>2.0</v>
      </c>
      <c r="I97" s="5" t="s">
        <v>199</v>
      </c>
      <c r="J97" s="5">
        <v>5.0</v>
      </c>
      <c r="K97" s="5">
        <v>6.0</v>
      </c>
      <c r="L97" s="5">
        <v>4.0</v>
      </c>
      <c r="M97" s="5">
        <v>2.0</v>
      </c>
      <c r="N97" s="5">
        <v>5.0</v>
      </c>
      <c r="O97" s="5">
        <v>6.0</v>
      </c>
      <c r="P97" s="5">
        <v>6.0</v>
      </c>
      <c r="Q97" s="5">
        <v>5.0</v>
      </c>
      <c r="R97" s="5">
        <v>2.0</v>
      </c>
      <c r="S97" s="5">
        <v>3.0</v>
      </c>
      <c r="T97" s="5">
        <v>6.0</v>
      </c>
      <c r="U97" s="5">
        <v>6.0</v>
      </c>
      <c r="V97" s="5">
        <f t="shared" si="1"/>
        <v>2</v>
      </c>
      <c r="W97" s="5" t="s">
        <v>713</v>
      </c>
      <c r="X97" s="5" t="s">
        <v>206</v>
      </c>
      <c r="Y97" s="5">
        <v>6.0</v>
      </c>
      <c r="Z97" s="5">
        <v>6.0</v>
      </c>
      <c r="AA97" s="5">
        <v>6.0</v>
      </c>
      <c r="AB97" s="5">
        <v>5.0</v>
      </c>
      <c r="AC97" s="5">
        <v>5.0</v>
      </c>
      <c r="AD97" s="5">
        <v>6.0</v>
      </c>
      <c r="AE97" s="5" t="s">
        <v>714</v>
      </c>
      <c r="AF97" s="5" t="s">
        <v>206</v>
      </c>
      <c r="AG97" s="5">
        <v>6.0</v>
      </c>
      <c r="AH97" s="5">
        <v>6.0</v>
      </c>
      <c r="AI97" s="5">
        <v>5.0</v>
      </c>
      <c r="AJ97" s="5">
        <v>1.0</v>
      </c>
      <c r="AK97" s="5">
        <f t="shared" si="2"/>
        <v>7</v>
      </c>
      <c r="AL97" s="5">
        <v>1.0</v>
      </c>
      <c r="AM97" s="5">
        <f t="shared" si="3"/>
        <v>7</v>
      </c>
      <c r="AN97" s="5">
        <v>1.0</v>
      </c>
      <c r="AO97" s="5">
        <f t="shared" si="4"/>
        <v>7</v>
      </c>
      <c r="AP97" s="5">
        <v>1.0</v>
      </c>
      <c r="AQ97" s="5">
        <f t="shared" si="5"/>
        <v>7</v>
      </c>
      <c r="AR97" s="5" t="s">
        <v>715</v>
      </c>
    </row>
    <row r="98">
      <c r="A98" s="8">
        <f>IFERROR(__xludf.DUMMYFUNCTION("IF(E98="""", """", VALUE(REGEXREPLACE(E98, ""^[Pp]"", """")))"),4.0)</f>
        <v>4</v>
      </c>
      <c r="B98" s="8">
        <v>1957.0</v>
      </c>
      <c r="C98" s="7">
        <v>45866.3125</v>
      </c>
      <c r="D98" s="5" t="s">
        <v>238</v>
      </c>
      <c r="E98" s="5" t="s">
        <v>239</v>
      </c>
      <c r="F98" s="5" t="s">
        <v>216</v>
      </c>
      <c r="G98" s="5">
        <v>6.0</v>
      </c>
      <c r="H98" s="6">
        <v>5.0</v>
      </c>
      <c r="I98" s="5" t="s">
        <v>199</v>
      </c>
      <c r="J98" s="5">
        <v>7.0</v>
      </c>
      <c r="K98" s="5">
        <v>5.0</v>
      </c>
      <c r="L98" s="5">
        <v>7.0</v>
      </c>
      <c r="M98" s="5">
        <v>3.0</v>
      </c>
      <c r="N98" s="5">
        <v>3.0</v>
      </c>
      <c r="O98" s="5">
        <v>5.0</v>
      </c>
      <c r="P98" s="5">
        <v>5.0</v>
      </c>
      <c r="Q98" s="5">
        <v>7.0</v>
      </c>
      <c r="R98" s="5">
        <v>3.0</v>
      </c>
      <c r="S98" s="5">
        <v>7.0</v>
      </c>
      <c r="T98" s="5">
        <v>6.0</v>
      </c>
      <c r="U98" s="5">
        <v>3.0</v>
      </c>
      <c r="V98" s="5">
        <f t="shared" si="1"/>
        <v>5</v>
      </c>
      <c r="W98" s="5" t="s">
        <v>240</v>
      </c>
      <c r="X98" s="5" t="s">
        <v>206</v>
      </c>
      <c r="Y98" s="5">
        <v>5.0</v>
      </c>
      <c r="Z98" s="5">
        <v>7.0</v>
      </c>
      <c r="AA98" s="5">
        <v>7.0</v>
      </c>
      <c r="AB98" s="5">
        <v>5.0</v>
      </c>
      <c r="AC98" s="5">
        <v>7.0</v>
      </c>
      <c r="AD98" s="5">
        <v>7.0</v>
      </c>
      <c r="AE98" s="5" t="s">
        <v>241</v>
      </c>
      <c r="AF98" s="5" t="s">
        <v>206</v>
      </c>
      <c r="AG98" s="5">
        <v>6.0</v>
      </c>
      <c r="AH98" s="5">
        <v>7.0</v>
      </c>
      <c r="AI98" s="5">
        <v>7.0</v>
      </c>
      <c r="AJ98" s="5">
        <v>1.0</v>
      </c>
      <c r="AK98" s="5">
        <f t="shared" si="2"/>
        <v>7</v>
      </c>
      <c r="AL98" s="5">
        <v>1.0</v>
      </c>
      <c r="AM98" s="5">
        <f t="shared" si="3"/>
        <v>7</v>
      </c>
      <c r="AN98" s="5">
        <v>1.0</v>
      </c>
      <c r="AO98" s="5">
        <f t="shared" si="4"/>
        <v>7</v>
      </c>
      <c r="AP98" s="5">
        <v>1.0</v>
      </c>
      <c r="AQ98" s="5">
        <f t="shared" si="5"/>
        <v>7</v>
      </c>
      <c r="AR98" s="5" t="s">
        <v>242</v>
      </c>
    </row>
    <row r="99">
      <c r="A99" s="8">
        <f>IFERROR(__xludf.DUMMYFUNCTION("IF(E99="""", """", VALUE(REGEXREPLACE(E99, ""^[Pp]"", """")))"),4.0)</f>
        <v>4</v>
      </c>
      <c r="B99" s="8">
        <v>1376.0</v>
      </c>
      <c r="C99" s="7">
        <v>45866.32847222222</v>
      </c>
      <c r="D99" s="5" t="s">
        <v>252</v>
      </c>
      <c r="E99" s="5" t="s">
        <v>239</v>
      </c>
      <c r="F99" s="5" t="s">
        <v>211</v>
      </c>
      <c r="G99" s="5">
        <v>7.0</v>
      </c>
      <c r="H99" s="5">
        <v>7.0</v>
      </c>
      <c r="I99" s="5" t="s">
        <v>199</v>
      </c>
      <c r="J99" s="5">
        <v>5.0</v>
      </c>
      <c r="K99" s="5">
        <v>5.0</v>
      </c>
      <c r="L99" s="5">
        <v>7.0</v>
      </c>
      <c r="M99" s="5">
        <v>4.0</v>
      </c>
      <c r="N99" s="5">
        <v>4.0</v>
      </c>
      <c r="O99" s="5">
        <v>7.0</v>
      </c>
      <c r="P99" s="5">
        <v>7.0</v>
      </c>
      <c r="Q99" s="5">
        <v>7.0</v>
      </c>
      <c r="R99" s="5">
        <v>4.0</v>
      </c>
      <c r="S99" s="5">
        <v>6.0</v>
      </c>
      <c r="T99" s="5">
        <v>7.0</v>
      </c>
      <c r="U99" s="5">
        <v>4.0</v>
      </c>
      <c r="V99" s="5">
        <f t="shared" si="1"/>
        <v>4</v>
      </c>
      <c r="W99" s="5" t="s">
        <v>253</v>
      </c>
      <c r="X99" s="5" t="s">
        <v>206</v>
      </c>
      <c r="Y99" s="5">
        <v>5.0</v>
      </c>
      <c r="Z99" s="5">
        <v>7.0</v>
      </c>
      <c r="AA99" s="5">
        <v>6.0</v>
      </c>
      <c r="AB99" s="5">
        <v>6.0</v>
      </c>
      <c r="AC99" s="5">
        <v>6.0</v>
      </c>
      <c r="AD99" s="5">
        <v>6.0</v>
      </c>
      <c r="AE99" s="5" t="s">
        <v>254</v>
      </c>
      <c r="AF99" s="5" t="s">
        <v>206</v>
      </c>
      <c r="AG99" s="5">
        <v>5.0</v>
      </c>
      <c r="AH99" s="5">
        <v>5.0</v>
      </c>
      <c r="AI99" s="5">
        <v>7.0</v>
      </c>
      <c r="AJ99" s="5">
        <v>5.0</v>
      </c>
      <c r="AK99" s="5">
        <f t="shared" si="2"/>
        <v>3</v>
      </c>
      <c r="AL99" s="5">
        <v>1.0</v>
      </c>
      <c r="AM99" s="5">
        <f t="shared" si="3"/>
        <v>7</v>
      </c>
      <c r="AN99" s="5">
        <v>5.0</v>
      </c>
      <c r="AO99" s="5">
        <f t="shared" si="4"/>
        <v>3</v>
      </c>
      <c r="AP99" s="5">
        <v>5.0</v>
      </c>
      <c r="AQ99" s="5">
        <f t="shared" si="5"/>
        <v>3</v>
      </c>
      <c r="AR99" s="5" t="s">
        <v>255</v>
      </c>
    </row>
    <row r="100">
      <c r="A100" s="8">
        <f>IFERROR(__xludf.DUMMYFUNCTION("IF(E100="""", """", VALUE(REGEXREPLACE(E100, ""^[Pp]"", """")))"),4.0)</f>
        <v>4</v>
      </c>
      <c r="B100" s="8">
        <v>859.0</v>
      </c>
      <c r="C100" s="7">
        <v>45867.027083333334</v>
      </c>
      <c r="D100" s="5" t="s">
        <v>262</v>
      </c>
      <c r="E100" s="5" t="s">
        <v>239</v>
      </c>
      <c r="F100" s="5" t="s">
        <v>263</v>
      </c>
      <c r="G100" s="5">
        <v>6.0</v>
      </c>
      <c r="H100" s="5">
        <v>5.0</v>
      </c>
      <c r="I100" s="5" t="s">
        <v>199</v>
      </c>
      <c r="J100" s="5">
        <v>4.0</v>
      </c>
      <c r="K100" s="5">
        <v>5.0</v>
      </c>
      <c r="L100" s="5">
        <v>7.0</v>
      </c>
      <c r="M100" s="5">
        <v>3.0</v>
      </c>
      <c r="N100" s="5">
        <v>4.0</v>
      </c>
      <c r="O100" s="5">
        <v>6.0</v>
      </c>
      <c r="P100" s="5">
        <v>7.0</v>
      </c>
      <c r="Q100" s="5">
        <v>7.0</v>
      </c>
      <c r="R100" s="5">
        <v>5.0</v>
      </c>
      <c r="S100" s="5">
        <v>7.0</v>
      </c>
      <c r="T100" s="5">
        <v>7.0</v>
      </c>
      <c r="U100" s="5">
        <v>4.0</v>
      </c>
      <c r="V100" s="5">
        <f t="shared" si="1"/>
        <v>4</v>
      </c>
      <c r="W100" s="5" t="s">
        <v>264</v>
      </c>
      <c r="X100" s="5" t="s">
        <v>206</v>
      </c>
      <c r="Y100" s="5">
        <v>5.0</v>
      </c>
      <c r="Z100" s="5">
        <v>6.0</v>
      </c>
      <c r="AA100" s="5">
        <v>5.0</v>
      </c>
      <c r="AB100" s="5">
        <v>6.0</v>
      </c>
      <c r="AC100" s="5">
        <v>6.0</v>
      </c>
      <c r="AD100" s="5">
        <v>7.0</v>
      </c>
      <c r="AE100" s="5" t="s">
        <v>265</v>
      </c>
      <c r="AF100" s="5" t="s">
        <v>206</v>
      </c>
      <c r="AG100" s="5">
        <v>6.0</v>
      </c>
      <c r="AH100" s="5">
        <v>7.0</v>
      </c>
      <c r="AI100" s="5">
        <v>7.0</v>
      </c>
      <c r="AJ100" s="5">
        <v>2.0</v>
      </c>
      <c r="AK100" s="5">
        <f t="shared" si="2"/>
        <v>6</v>
      </c>
      <c r="AL100" s="5">
        <v>1.0</v>
      </c>
      <c r="AM100" s="5">
        <f t="shared" si="3"/>
        <v>7</v>
      </c>
      <c r="AN100" s="5">
        <v>1.0</v>
      </c>
      <c r="AO100" s="5">
        <f t="shared" si="4"/>
        <v>7</v>
      </c>
      <c r="AP100" s="5">
        <v>1.0</v>
      </c>
      <c r="AQ100" s="5">
        <f t="shared" si="5"/>
        <v>7</v>
      </c>
      <c r="AR100" s="5" t="s">
        <v>266</v>
      </c>
    </row>
    <row r="101">
      <c r="A101" s="8">
        <f>IFERROR(__xludf.DUMMYFUNCTION("IF(E101="""", """", VALUE(REGEXREPLACE(E101, ""^[Pp]"", """")))"),4.0)</f>
        <v>4</v>
      </c>
      <c r="B101" s="8">
        <v>821.0</v>
      </c>
      <c r="C101" s="7">
        <v>45867.04583333333</v>
      </c>
      <c r="D101" s="5" t="s">
        <v>267</v>
      </c>
      <c r="E101" s="5" t="s">
        <v>239</v>
      </c>
      <c r="F101" s="5" t="s">
        <v>211</v>
      </c>
      <c r="G101" s="5">
        <v>6.0</v>
      </c>
      <c r="H101" s="5">
        <v>3.0</v>
      </c>
      <c r="I101" s="5" t="s">
        <v>199</v>
      </c>
      <c r="J101" s="5">
        <v>6.0</v>
      </c>
      <c r="K101" s="5">
        <v>7.0</v>
      </c>
      <c r="L101" s="5">
        <v>6.0</v>
      </c>
      <c r="M101" s="5">
        <v>4.0</v>
      </c>
      <c r="N101" s="5">
        <v>3.0</v>
      </c>
      <c r="O101" s="5">
        <v>7.0</v>
      </c>
      <c r="P101" s="5">
        <v>6.0</v>
      </c>
      <c r="Q101" s="5">
        <v>3.0</v>
      </c>
      <c r="R101" s="5">
        <v>4.0</v>
      </c>
      <c r="S101" s="5">
        <v>7.0</v>
      </c>
      <c r="T101" s="5">
        <v>6.0</v>
      </c>
      <c r="U101" s="5">
        <v>4.0</v>
      </c>
      <c r="V101" s="5">
        <f t="shared" si="1"/>
        <v>4</v>
      </c>
      <c r="W101" s="5" t="s">
        <v>268</v>
      </c>
      <c r="X101" s="5" t="s">
        <v>206</v>
      </c>
      <c r="Y101" s="5">
        <v>4.0</v>
      </c>
      <c r="Z101" s="5">
        <v>5.0</v>
      </c>
      <c r="AA101" s="5">
        <v>4.0</v>
      </c>
      <c r="AB101" s="5">
        <v>3.0</v>
      </c>
      <c r="AC101" s="5">
        <v>4.0</v>
      </c>
      <c r="AD101" s="5">
        <v>3.0</v>
      </c>
      <c r="AE101" s="5" t="s">
        <v>269</v>
      </c>
      <c r="AF101" s="5" t="s">
        <v>206</v>
      </c>
      <c r="AG101" s="5">
        <v>4.0</v>
      </c>
      <c r="AH101" s="5">
        <v>3.0</v>
      </c>
      <c r="AI101" s="5">
        <v>5.0</v>
      </c>
      <c r="AJ101" s="5">
        <v>2.0</v>
      </c>
      <c r="AK101" s="5">
        <f t="shared" si="2"/>
        <v>6</v>
      </c>
      <c r="AL101" s="5">
        <v>2.0</v>
      </c>
      <c r="AM101" s="5">
        <f t="shared" si="3"/>
        <v>6</v>
      </c>
      <c r="AN101" s="5">
        <v>6.0</v>
      </c>
      <c r="AO101" s="5">
        <f t="shared" si="4"/>
        <v>2</v>
      </c>
      <c r="AP101" s="5">
        <v>2.0</v>
      </c>
      <c r="AQ101" s="5">
        <f t="shared" si="5"/>
        <v>6</v>
      </c>
      <c r="AR101" s="5" t="s">
        <v>270</v>
      </c>
    </row>
    <row r="102">
      <c r="A102" s="8">
        <f>IFERROR(__xludf.DUMMYFUNCTION("IF(E102="""", """", VALUE(REGEXREPLACE(E102, ""^[Pp]"", """")))"),5.0)</f>
        <v>5</v>
      </c>
      <c r="B102" s="8">
        <v>1118.0</v>
      </c>
      <c r="C102" s="7">
        <v>45869.02847222222</v>
      </c>
      <c r="D102" s="5" t="s">
        <v>535</v>
      </c>
      <c r="E102" s="5" t="s">
        <v>536</v>
      </c>
      <c r="F102" s="5" t="s">
        <v>197</v>
      </c>
      <c r="G102" s="5">
        <v>5.0</v>
      </c>
      <c r="H102" s="5">
        <v>3.0</v>
      </c>
      <c r="I102" s="5" t="s">
        <v>199</v>
      </c>
      <c r="J102" s="5">
        <v>7.0</v>
      </c>
      <c r="K102" s="5">
        <v>7.0</v>
      </c>
      <c r="L102" s="5">
        <v>5.0</v>
      </c>
      <c r="M102" s="5">
        <v>5.0</v>
      </c>
      <c r="N102" s="5">
        <v>6.0</v>
      </c>
      <c r="O102" s="5">
        <v>6.0</v>
      </c>
      <c r="P102" s="5">
        <v>7.0</v>
      </c>
      <c r="Q102" s="5">
        <v>7.0</v>
      </c>
      <c r="R102" s="5">
        <v>6.0</v>
      </c>
      <c r="S102" s="5">
        <v>2.0</v>
      </c>
      <c r="T102" s="5">
        <v>7.0</v>
      </c>
      <c r="U102" s="5">
        <v>6.0</v>
      </c>
      <c r="V102" s="5">
        <f t="shared" si="1"/>
        <v>2</v>
      </c>
      <c r="W102" s="5" t="s">
        <v>537</v>
      </c>
      <c r="X102" s="5" t="s">
        <v>206</v>
      </c>
      <c r="Y102" s="5">
        <v>4.0</v>
      </c>
      <c r="Z102" s="5">
        <v>7.0</v>
      </c>
      <c r="AA102" s="5">
        <v>7.0</v>
      </c>
      <c r="AB102" s="5">
        <v>3.0</v>
      </c>
      <c r="AC102" s="5">
        <v>5.0</v>
      </c>
      <c r="AD102" s="5">
        <v>4.0</v>
      </c>
      <c r="AE102" s="5" t="s">
        <v>538</v>
      </c>
      <c r="AG102" s="5">
        <v>7.0</v>
      </c>
      <c r="AH102" s="5">
        <v>7.0</v>
      </c>
      <c r="AI102" s="5">
        <v>7.0</v>
      </c>
      <c r="AJ102" s="5">
        <v>1.0</v>
      </c>
      <c r="AK102" s="5">
        <f t="shared" si="2"/>
        <v>7</v>
      </c>
      <c r="AL102" s="5">
        <v>1.0</v>
      </c>
      <c r="AM102" s="5">
        <f t="shared" si="3"/>
        <v>7</v>
      </c>
      <c r="AN102" s="5">
        <v>1.0</v>
      </c>
      <c r="AO102" s="5">
        <f t="shared" si="4"/>
        <v>7</v>
      </c>
      <c r="AP102" s="5">
        <v>1.0</v>
      </c>
      <c r="AQ102" s="5">
        <f t="shared" si="5"/>
        <v>7</v>
      </c>
      <c r="AR102" s="11" t="s">
        <v>539</v>
      </c>
    </row>
    <row r="103">
      <c r="A103" s="8">
        <f>IFERROR(__xludf.DUMMYFUNCTION("IF(E103="""", """", VALUE(REGEXREPLACE(E103, ""^[Pp]"", """")))"),5.0)</f>
        <v>5</v>
      </c>
      <c r="B103" s="8">
        <v>1473.0</v>
      </c>
      <c r="C103" s="7">
        <v>45869.04722222222</v>
      </c>
      <c r="D103" s="5" t="s">
        <v>544</v>
      </c>
      <c r="E103" s="5" t="s">
        <v>536</v>
      </c>
      <c r="F103" s="5" t="s">
        <v>211</v>
      </c>
      <c r="G103" s="5">
        <v>5.0</v>
      </c>
      <c r="H103" s="5">
        <v>5.0</v>
      </c>
      <c r="I103" s="5" t="s">
        <v>199</v>
      </c>
      <c r="J103" s="5">
        <v>7.0</v>
      </c>
      <c r="K103" s="5">
        <v>7.0</v>
      </c>
      <c r="L103" s="5">
        <v>5.0</v>
      </c>
      <c r="M103" s="5">
        <v>5.0</v>
      </c>
      <c r="N103" s="5">
        <v>6.0</v>
      </c>
      <c r="O103" s="5">
        <v>6.0</v>
      </c>
      <c r="P103" s="5">
        <v>7.0</v>
      </c>
      <c r="Q103" s="5">
        <v>7.0</v>
      </c>
      <c r="R103" s="5">
        <v>6.0</v>
      </c>
      <c r="S103" s="5">
        <v>2.0</v>
      </c>
      <c r="T103" s="5">
        <v>6.0</v>
      </c>
      <c r="U103" s="5">
        <v>4.0</v>
      </c>
      <c r="V103" s="5">
        <f t="shared" si="1"/>
        <v>4</v>
      </c>
      <c r="W103" s="5" t="s">
        <v>545</v>
      </c>
      <c r="X103" s="5" t="s">
        <v>206</v>
      </c>
      <c r="Y103" s="5">
        <v>4.0</v>
      </c>
      <c r="Z103" s="5">
        <v>3.0</v>
      </c>
      <c r="AA103" s="5">
        <v>6.0</v>
      </c>
      <c r="AB103" s="5">
        <v>6.0</v>
      </c>
      <c r="AC103" s="5">
        <v>5.0</v>
      </c>
      <c r="AD103" s="5">
        <v>4.0</v>
      </c>
      <c r="AE103" s="5" t="s">
        <v>546</v>
      </c>
      <c r="AF103" s="5" t="s">
        <v>206</v>
      </c>
      <c r="AG103" s="5">
        <v>6.0</v>
      </c>
      <c r="AH103" s="5">
        <v>7.0</v>
      </c>
      <c r="AI103" s="5">
        <v>7.0</v>
      </c>
      <c r="AJ103" s="5">
        <v>1.0</v>
      </c>
      <c r="AK103" s="5">
        <f t="shared" si="2"/>
        <v>7</v>
      </c>
      <c r="AL103" s="5">
        <v>1.0</v>
      </c>
      <c r="AM103" s="5">
        <f t="shared" si="3"/>
        <v>7</v>
      </c>
      <c r="AN103" s="5">
        <v>1.0</v>
      </c>
      <c r="AO103" s="5">
        <f t="shared" si="4"/>
        <v>7</v>
      </c>
      <c r="AP103" s="5">
        <v>1.0</v>
      </c>
      <c r="AQ103" s="5">
        <f t="shared" si="5"/>
        <v>7</v>
      </c>
      <c r="AR103" s="5" t="s">
        <v>547</v>
      </c>
    </row>
    <row r="104">
      <c r="A104" s="8">
        <f>IFERROR(__xludf.DUMMYFUNCTION("IF(E104="""", """", VALUE(REGEXREPLACE(E104, ""^[Pp]"", """")))"),5.0)</f>
        <v>5</v>
      </c>
      <c r="B104" s="8">
        <v>1077.0</v>
      </c>
      <c r="C104" s="7">
        <v>45869.06875</v>
      </c>
      <c r="D104" s="5" t="s">
        <v>560</v>
      </c>
      <c r="E104" s="5" t="s">
        <v>536</v>
      </c>
      <c r="F104" s="5" t="s">
        <v>216</v>
      </c>
      <c r="G104" s="5">
        <v>5.0</v>
      </c>
      <c r="H104" s="5">
        <v>5.0</v>
      </c>
      <c r="I104" s="5" t="s">
        <v>199</v>
      </c>
      <c r="J104" s="5">
        <v>7.0</v>
      </c>
      <c r="K104" s="5">
        <v>7.0</v>
      </c>
      <c r="L104" s="5">
        <v>5.0</v>
      </c>
      <c r="M104" s="5">
        <v>5.0</v>
      </c>
      <c r="N104" s="5">
        <v>6.0</v>
      </c>
      <c r="O104" s="5">
        <v>6.0</v>
      </c>
      <c r="P104" s="5">
        <v>7.0</v>
      </c>
      <c r="Q104" s="5">
        <v>7.0</v>
      </c>
      <c r="R104" s="5">
        <v>5.0</v>
      </c>
      <c r="S104" s="5">
        <v>3.0</v>
      </c>
      <c r="T104" s="5">
        <v>6.0</v>
      </c>
      <c r="U104" s="5">
        <v>3.0</v>
      </c>
      <c r="V104" s="5">
        <f t="shared" si="1"/>
        <v>5</v>
      </c>
      <c r="W104" s="5" t="s">
        <v>561</v>
      </c>
      <c r="X104" s="5" t="s">
        <v>206</v>
      </c>
      <c r="Y104" s="5">
        <v>6.0</v>
      </c>
      <c r="Z104" s="5">
        <v>7.0</v>
      </c>
      <c r="AA104" s="5">
        <v>7.0</v>
      </c>
      <c r="AB104" s="5">
        <v>7.0</v>
      </c>
      <c r="AC104" s="5">
        <v>5.0</v>
      </c>
      <c r="AD104" s="5">
        <v>4.0</v>
      </c>
      <c r="AE104" s="5" t="s">
        <v>562</v>
      </c>
      <c r="AF104" s="5" t="s">
        <v>206</v>
      </c>
      <c r="AG104" s="5">
        <v>6.0</v>
      </c>
      <c r="AH104" s="5">
        <v>7.0</v>
      </c>
      <c r="AI104" s="5">
        <v>7.0</v>
      </c>
      <c r="AJ104" s="5">
        <v>1.0</v>
      </c>
      <c r="AK104" s="5">
        <f t="shared" si="2"/>
        <v>7</v>
      </c>
      <c r="AL104" s="5">
        <v>1.0</v>
      </c>
      <c r="AM104" s="5">
        <f t="shared" si="3"/>
        <v>7</v>
      </c>
      <c r="AN104" s="5">
        <v>1.0</v>
      </c>
      <c r="AO104" s="5">
        <f t="shared" si="4"/>
        <v>7</v>
      </c>
      <c r="AP104" s="5">
        <v>1.0</v>
      </c>
      <c r="AQ104" s="5">
        <f t="shared" si="5"/>
        <v>7</v>
      </c>
      <c r="AR104" s="5" t="s">
        <v>563</v>
      </c>
    </row>
    <row r="105">
      <c r="A105" s="8">
        <f>IFERROR(__xludf.DUMMYFUNCTION("IF(E105="""", """", VALUE(REGEXREPLACE(E105, ""^[Pp]"", """")))"),5.0)</f>
        <v>5</v>
      </c>
      <c r="B105" s="8">
        <v>1139.0</v>
      </c>
      <c r="C105" s="7">
        <v>45869.08611111111</v>
      </c>
      <c r="D105" s="5" t="s">
        <v>568</v>
      </c>
      <c r="E105" s="5" t="s">
        <v>536</v>
      </c>
      <c r="F105" s="5" t="s">
        <v>263</v>
      </c>
      <c r="G105" s="5">
        <v>6.0</v>
      </c>
      <c r="H105" s="5">
        <v>3.0</v>
      </c>
      <c r="I105" s="5" t="s">
        <v>199</v>
      </c>
      <c r="J105" s="5">
        <v>7.0</v>
      </c>
      <c r="K105" s="5">
        <v>7.0</v>
      </c>
      <c r="L105" s="5">
        <v>6.0</v>
      </c>
      <c r="M105" s="5">
        <v>5.0</v>
      </c>
      <c r="N105" s="5">
        <v>6.0</v>
      </c>
      <c r="O105" s="5">
        <v>5.0</v>
      </c>
      <c r="P105" s="5">
        <v>5.0</v>
      </c>
      <c r="Q105" s="5">
        <v>7.0</v>
      </c>
      <c r="R105" s="5">
        <v>5.0</v>
      </c>
      <c r="S105" s="5">
        <v>3.0</v>
      </c>
      <c r="T105" s="5">
        <v>5.0</v>
      </c>
      <c r="U105" s="5">
        <v>4.0</v>
      </c>
      <c r="V105" s="5">
        <f t="shared" si="1"/>
        <v>4</v>
      </c>
      <c r="W105" s="5" t="s">
        <v>569</v>
      </c>
      <c r="X105" s="5" t="s">
        <v>206</v>
      </c>
      <c r="Y105" s="5">
        <v>6.0</v>
      </c>
      <c r="Z105" s="5">
        <v>6.0</v>
      </c>
      <c r="AA105" s="5">
        <v>7.0</v>
      </c>
      <c r="AB105" s="5">
        <v>7.0</v>
      </c>
      <c r="AC105" s="5">
        <v>6.0</v>
      </c>
      <c r="AD105" s="5">
        <v>4.0</v>
      </c>
      <c r="AE105" s="5" t="s">
        <v>570</v>
      </c>
      <c r="AF105" s="5" t="s">
        <v>206</v>
      </c>
      <c r="AG105" s="5">
        <v>7.0</v>
      </c>
      <c r="AH105" s="5">
        <v>7.0</v>
      </c>
      <c r="AI105" s="5">
        <v>7.0</v>
      </c>
      <c r="AJ105" s="5">
        <v>1.0</v>
      </c>
      <c r="AK105" s="5">
        <f t="shared" si="2"/>
        <v>7</v>
      </c>
      <c r="AL105" s="5">
        <v>1.0</v>
      </c>
      <c r="AM105" s="5">
        <f t="shared" si="3"/>
        <v>7</v>
      </c>
      <c r="AN105" s="5">
        <v>1.0</v>
      </c>
      <c r="AO105" s="5">
        <f t="shared" si="4"/>
        <v>7</v>
      </c>
      <c r="AP105" s="5">
        <v>1.0</v>
      </c>
      <c r="AQ105" s="5">
        <f t="shared" si="5"/>
        <v>7</v>
      </c>
      <c r="AR105" s="5" t="s">
        <v>571</v>
      </c>
    </row>
    <row r="106">
      <c r="A106" s="8">
        <f>IFERROR(__xludf.DUMMYFUNCTION("IF(E106="""", """", VALUE(REGEXREPLACE(E106, ""^[Pp]"", """")))"),6.0)</f>
        <v>6</v>
      </c>
      <c r="B106" s="8">
        <v>1275.0</v>
      </c>
      <c r="C106" s="7">
        <v>45867.02638888889</v>
      </c>
      <c r="D106" s="5" t="s">
        <v>257</v>
      </c>
      <c r="E106" s="5" t="s">
        <v>258</v>
      </c>
      <c r="F106" s="5" t="s">
        <v>211</v>
      </c>
      <c r="G106" s="5">
        <v>3.0</v>
      </c>
      <c r="H106" s="5">
        <v>3.0</v>
      </c>
      <c r="I106" s="5" t="s">
        <v>199</v>
      </c>
      <c r="J106" s="5">
        <v>6.0</v>
      </c>
      <c r="K106" s="5">
        <v>7.0</v>
      </c>
      <c r="L106" s="5">
        <v>4.0</v>
      </c>
      <c r="M106" s="5">
        <v>1.0</v>
      </c>
      <c r="N106" s="5">
        <v>2.0</v>
      </c>
      <c r="O106" s="5">
        <v>7.0</v>
      </c>
      <c r="P106" s="5">
        <v>7.0</v>
      </c>
      <c r="Q106" s="5">
        <v>6.0</v>
      </c>
      <c r="R106" s="5">
        <v>1.0</v>
      </c>
      <c r="S106" s="5">
        <v>4.0</v>
      </c>
      <c r="T106" s="5">
        <v>5.0</v>
      </c>
      <c r="U106" s="5">
        <v>7.0</v>
      </c>
      <c r="V106" s="5">
        <f t="shared" si="1"/>
        <v>1</v>
      </c>
      <c r="W106" s="5" t="s">
        <v>259</v>
      </c>
      <c r="X106" s="5" t="s">
        <v>206</v>
      </c>
      <c r="Y106" s="5">
        <v>6.0</v>
      </c>
      <c r="Z106" s="5">
        <v>6.0</v>
      </c>
      <c r="AA106" s="5">
        <v>6.0</v>
      </c>
      <c r="AB106" s="5">
        <v>6.0</v>
      </c>
      <c r="AC106" s="5">
        <v>6.0</v>
      </c>
      <c r="AD106" s="5">
        <v>6.0</v>
      </c>
      <c r="AE106" s="5" t="s">
        <v>260</v>
      </c>
      <c r="AF106" s="5" t="s">
        <v>206</v>
      </c>
      <c r="AG106" s="5">
        <v>5.0</v>
      </c>
      <c r="AH106" s="5">
        <v>7.0</v>
      </c>
      <c r="AI106" s="5">
        <v>7.0</v>
      </c>
      <c r="AJ106" s="5">
        <v>1.0</v>
      </c>
      <c r="AK106" s="5">
        <f t="shared" si="2"/>
        <v>7</v>
      </c>
      <c r="AL106" s="5">
        <v>1.0</v>
      </c>
      <c r="AM106" s="5">
        <f t="shared" si="3"/>
        <v>7</v>
      </c>
      <c r="AN106" s="5">
        <v>1.0</v>
      </c>
      <c r="AO106" s="5">
        <f t="shared" si="4"/>
        <v>7</v>
      </c>
      <c r="AP106" s="5">
        <v>1.0</v>
      </c>
      <c r="AQ106" s="5">
        <f t="shared" si="5"/>
        <v>7</v>
      </c>
      <c r="AR106" s="5" t="s">
        <v>261</v>
      </c>
    </row>
    <row r="107">
      <c r="A107" s="8">
        <f>IFERROR(__xludf.DUMMYFUNCTION("IF(E107="""", """", VALUE(REGEXREPLACE(E107, ""^[Pp]"", """")))"),6.0)</f>
        <v>6</v>
      </c>
      <c r="B107" s="8">
        <v>741.0</v>
      </c>
      <c r="C107" s="7">
        <v>45867.06041666667</v>
      </c>
      <c r="D107" s="5" t="s">
        <v>271</v>
      </c>
      <c r="E107" s="5" t="s">
        <v>258</v>
      </c>
      <c r="F107" s="5" t="s">
        <v>197</v>
      </c>
      <c r="G107" s="5">
        <v>6.0</v>
      </c>
      <c r="H107" s="5">
        <v>2.0</v>
      </c>
      <c r="I107" s="5" t="s">
        <v>199</v>
      </c>
      <c r="J107" s="5">
        <v>7.0</v>
      </c>
      <c r="K107" s="5">
        <v>7.0</v>
      </c>
      <c r="L107" s="5">
        <v>7.0</v>
      </c>
      <c r="M107" s="5">
        <v>1.0</v>
      </c>
      <c r="N107" s="5">
        <v>3.0</v>
      </c>
      <c r="O107" s="5">
        <v>7.0</v>
      </c>
      <c r="P107" s="5">
        <v>7.0</v>
      </c>
      <c r="Q107" s="5">
        <v>7.0</v>
      </c>
      <c r="R107" s="5">
        <v>1.0</v>
      </c>
      <c r="S107" s="5">
        <v>1.0</v>
      </c>
      <c r="T107" s="5">
        <v>7.0</v>
      </c>
      <c r="U107" s="5">
        <v>7.0</v>
      </c>
      <c r="V107" s="5">
        <f t="shared" si="1"/>
        <v>1</v>
      </c>
      <c r="W107" s="5" t="s">
        <v>272</v>
      </c>
      <c r="X107" s="5" t="s">
        <v>206</v>
      </c>
      <c r="Y107" s="5">
        <v>6.0</v>
      </c>
      <c r="Z107" s="5">
        <v>7.0</v>
      </c>
      <c r="AA107" s="5">
        <v>6.0</v>
      </c>
      <c r="AB107" s="5">
        <v>6.0</v>
      </c>
      <c r="AC107" s="5">
        <v>7.0</v>
      </c>
      <c r="AD107" s="5">
        <v>7.0</v>
      </c>
      <c r="AE107" s="5" t="s">
        <v>273</v>
      </c>
      <c r="AF107" s="5" t="s">
        <v>206</v>
      </c>
      <c r="AG107" s="5">
        <v>7.0</v>
      </c>
      <c r="AH107" s="5">
        <v>6.0</v>
      </c>
      <c r="AI107" s="5">
        <v>7.0</v>
      </c>
      <c r="AJ107" s="5">
        <v>3.0</v>
      </c>
      <c r="AK107" s="5">
        <f t="shared" si="2"/>
        <v>5</v>
      </c>
      <c r="AL107" s="5">
        <v>3.0</v>
      </c>
      <c r="AM107" s="5">
        <f t="shared" si="3"/>
        <v>5</v>
      </c>
      <c r="AN107" s="5">
        <v>7.0</v>
      </c>
      <c r="AO107" s="5">
        <f t="shared" si="4"/>
        <v>1</v>
      </c>
      <c r="AP107" s="5">
        <v>2.0</v>
      </c>
      <c r="AQ107" s="5">
        <f t="shared" si="5"/>
        <v>6</v>
      </c>
      <c r="AR107" s="5" t="s">
        <v>274</v>
      </c>
    </row>
    <row r="108">
      <c r="A108" s="8">
        <f>IFERROR(__xludf.DUMMYFUNCTION("IF(E108="""", """", VALUE(REGEXREPLACE(E108, ""^[Pp]"", """")))"),6.0)</f>
        <v>6</v>
      </c>
      <c r="B108" s="8">
        <v>538.0</v>
      </c>
      <c r="C108" s="7">
        <v>45867.06180555555</v>
      </c>
      <c r="D108" s="5" t="s">
        <v>275</v>
      </c>
      <c r="E108" s="5" t="s">
        <v>258</v>
      </c>
      <c r="F108" s="5" t="s">
        <v>263</v>
      </c>
      <c r="G108" s="5">
        <v>5.0</v>
      </c>
      <c r="H108" s="5">
        <v>1.0</v>
      </c>
      <c r="I108" s="5" t="s">
        <v>199</v>
      </c>
      <c r="J108" s="5">
        <v>6.0</v>
      </c>
      <c r="K108" s="5">
        <v>7.0</v>
      </c>
      <c r="L108" s="5">
        <v>6.0</v>
      </c>
      <c r="M108" s="5">
        <v>1.0</v>
      </c>
      <c r="N108" s="5">
        <v>1.0</v>
      </c>
      <c r="O108" s="5">
        <v>7.0</v>
      </c>
      <c r="P108" s="5">
        <v>6.0</v>
      </c>
      <c r="Q108" s="5">
        <v>7.0</v>
      </c>
      <c r="R108" s="5">
        <v>2.0</v>
      </c>
      <c r="S108" s="5">
        <v>1.0</v>
      </c>
      <c r="T108" s="5">
        <v>7.0</v>
      </c>
      <c r="U108" s="5">
        <v>1.0</v>
      </c>
      <c r="V108" s="5">
        <f t="shared" si="1"/>
        <v>7</v>
      </c>
      <c r="W108" s="5" t="s">
        <v>276</v>
      </c>
      <c r="X108" s="5" t="s">
        <v>206</v>
      </c>
      <c r="Y108" s="5">
        <v>7.0</v>
      </c>
      <c r="Z108" s="5">
        <v>7.0</v>
      </c>
      <c r="AA108" s="5">
        <v>7.0</v>
      </c>
      <c r="AB108" s="5">
        <v>7.0</v>
      </c>
      <c r="AC108" s="5">
        <v>5.0</v>
      </c>
      <c r="AD108" s="5">
        <v>7.0</v>
      </c>
      <c r="AE108" s="5" t="s">
        <v>277</v>
      </c>
      <c r="AF108" s="5" t="s">
        <v>206</v>
      </c>
      <c r="AG108" s="5">
        <v>7.0</v>
      </c>
      <c r="AH108" s="5">
        <v>7.0</v>
      </c>
      <c r="AI108" s="5">
        <v>6.0</v>
      </c>
      <c r="AJ108" s="5">
        <v>2.0</v>
      </c>
      <c r="AK108" s="5">
        <f t="shared" si="2"/>
        <v>6</v>
      </c>
      <c r="AL108" s="5">
        <v>2.0</v>
      </c>
      <c r="AM108" s="5">
        <f t="shared" si="3"/>
        <v>6</v>
      </c>
      <c r="AN108" s="5">
        <v>7.0</v>
      </c>
      <c r="AO108" s="5">
        <f t="shared" si="4"/>
        <v>1</v>
      </c>
      <c r="AP108" s="5">
        <v>2.0</v>
      </c>
      <c r="AQ108" s="5">
        <f t="shared" si="5"/>
        <v>6</v>
      </c>
      <c r="AR108" s="5" t="s">
        <v>278</v>
      </c>
    </row>
    <row r="109">
      <c r="A109" s="8">
        <f>IFERROR(__xludf.DUMMYFUNCTION("IF(E109="""", """", VALUE(REGEXREPLACE(E109, ""^[Pp]"", """")))"),6.0)</f>
        <v>6</v>
      </c>
      <c r="B109" s="8">
        <v>1656.0</v>
      </c>
      <c r="C109" s="7">
        <v>45867.07361111111</v>
      </c>
      <c r="D109" s="5" t="s">
        <v>279</v>
      </c>
      <c r="E109" s="5" t="s">
        <v>258</v>
      </c>
      <c r="F109" s="5" t="s">
        <v>216</v>
      </c>
      <c r="G109" s="5">
        <v>7.0</v>
      </c>
      <c r="H109" s="5">
        <v>1.0</v>
      </c>
      <c r="I109" s="5" t="s">
        <v>199</v>
      </c>
      <c r="J109" s="5">
        <v>7.0</v>
      </c>
      <c r="K109" s="5">
        <v>7.0</v>
      </c>
      <c r="L109" s="5">
        <v>7.0</v>
      </c>
      <c r="M109" s="5">
        <v>1.0</v>
      </c>
      <c r="N109" s="5">
        <v>1.0</v>
      </c>
      <c r="O109" s="5">
        <v>7.0</v>
      </c>
      <c r="P109" s="5">
        <v>7.0</v>
      </c>
      <c r="Q109" s="5">
        <v>7.0</v>
      </c>
      <c r="R109" s="5">
        <v>1.0</v>
      </c>
      <c r="S109" s="5">
        <v>1.0</v>
      </c>
      <c r="T109" s="5">
        <v>7.0</v>
      </c>
      <c r="U109" s="5">
        <v>1.0</v>
      </c>
      <c r="V109" s="5">
        <f t="shared" si="1"/>
        <v>7</v>
      </c>
      <c r="W109" s="5" t="s">
        <v>280</v>
      </c>
      <c r="X109" s="5" t="s">
        <v>206</v>
      </c>
      <c r="Y109" s="5">
        <v>7.0</v>
      </c>
      <c r="Z109" s="5">
        <v>6.0</v>
      </c>
      <c r="AA109" s="5">
        <v>7.0</v>
      </c>
      <c r="AB109" s="5">
        <v>7.0</v>
      </c>
      <c r="AC109" s="5">
        <v>6.0</v>
      </c>
      <c r="AD109" s="5">
        <v>7.0</v>
      </c>
      <c r="AE109" s="5" t="s">
        <v>281</v>
      </c>
      <c r="AF109" s="5" t="s">
        <v>206</v>
      </c>
      <c r="AG109" s="5">
        <v>7.0</v>
      </c>
      <c r="AH109" s="5">
        <v>7.0</v>
      </c>
      <c r="AI109" s="5">
        <v>7.0</v>
      </c>
      <c r="AJ109" s="5">
        <v>7.0</v>
      </c>
      <c r="AK109" s="5">
        <f t="shared" si="2"/>
        <v>1</v>
      </c>
      <c r="AL109" s="5">
        <v>7.0</v>
      </c>
      <c r="AM109" s="5">
        <f t="shared" si="3"/>
        <v>1</v>
      </c>
      <c r="AN109" s="5">
        <v>1.0</v>
      </c>
      <c r="AO109" s="5">
        <f t="shared" si="4"/>
        <v>7</v>
      </c>
      <c r="AP109" s="5">
        <v>7.0</v>
      </c>
      <c r="AQ109" s="5">
        <f t="shared" si="5"/>
        <v>1</v>
      </c>
      <c r="AR109" s="5" t="s">
        <v>282</v>
      </c>
    </row>
    <row r="110">
      <c r="A110" s="8">
        <f>IFERROR(__xludf.DUMMYFUNCTION("IF(E110="""", """", VALUE(REGEXREPLACE(E110, ""^[Pp]"", """")))"),7.0)</f>
        <v>7</v>
      </c>
      <c r="B110" s="8">
        <v>797.0</v>
      </c>
      <c r="C110" s="7">
        <v>45867.095138888886</v>
      </c>
      <c r="D110" s="5" t="s">
        <v>283</v>
      </c>
      <c r="E110" s="5" t="s">
        <v>284</v>
      </c>
      <c r="F110" s="5" t="s">
        <v>263</v>
      </c>
      <c r="G110" s="5">
        <v>5.0</v>
      </c>
      <c r="H110" s="5">
        <v>6.0</v>
      </c>
      <c r="I110" s="5" t="s">
        <v>199</v>
      </c>
      <c r="J110" s="5">
        <v>6.0</v>
      </c>
      <c r="K110" s="5">
        <v>2.0</v>
      </c>
      <c r="L110" s="5">
        <v>2.0</v>
      </c>
      <c r="M110" s="5">
        <v>6.0</v>
      </c>
      <c r="N110" s="5">
        <v>3.0</v>
      </c>
      <c r="O110" s="5">
        <v>6.0</v>
      </c>
      <c r="P110" s="5">
        <v>6.0</v>
      </c>
      <c r="Q110" s="5">
        <v>3.0</v>
      </c>
      <c r="R110" s="5">
        <v>2.0</v>
      </c>
      <c r="S110" s="5">
        <v>6.0</v>
      </c>
      <c r="T110" s="5">
        <v>6.0</v>
      </c>
      <c r="U110" s="5">
        <v>5.0</v>
      </c>
      <c r="V110" s="5">
        <f t="shared" si="1"/>
        <v>3</v>
      </c>
      <c r="W110" s="5" t="s">
        <v>285</v>
      </c>
      <c r="X110" s="5" t="s">
        <v>206</v>
      </c>
      <c r="Y110" s="5">
        <v>4.0</v>
      </c>
      <c r="Z110" s="5">
        <v>6.0</v>
      </c>
      <c r="AA110" s="5">
        <v>6.0</v>
      </c>
      <c r="AB110" s="5">
        <v>6.0</v>
      </c>
      <c r="AC110" s="5">
        <v>5.0</v>
      </c>
      <c r="AD110" s="5">
        <v>2.0</v>
      </c>
      <c r="AE110" s="5" t="s">
        <v>286</v>
      </c>
      <c r="AF110" s="5" t="s">
        <v>206</v>
      </c>
      <c r="AG110" s="5">
        <v>6.0</v>
      </c>
      <c r="AH110" s="5">
        <v>3.0</v>
      </c>
      <c r="AI110" s="5">
        <v>6.0</v>
      </c>
      <c r="AJ110" s="5">
        <v>1.0</v>
      </c>
      <c r="AK110" s="5">
        <f t="shared" si="2"/>
        <v>7</v>
      </c>
      <c r="AL110" s="5">
        <v>2.0</v>
      </c>
      <c r="AM110" s="5">
        <f t="shared" si="3"/>
        <v>6</v>
      </c>
      <c r="AN110" s="5">
        <v>5.0</v>
      </c>
      <c r="AO110" s="5">
        <f t="shared" si="4"/>
        <v>3</v>
      </c>
      <c r="AP110" s="5">
        <v>1.0</v>
      </c>
      <c r="AQ110" s="5">
        <f t="shared" si="5"/>
        <v>7</v>
      </c>
      <c r="AR110" s="5" t="s">
        <v>287</v>
      </c>
    </row>
    <row r="111">
      <c r="A111" s="8">
        <f>IFERROR(__xludf.DUMMYFUNCTION("IF(E111="""", """", VALUE(REGEXREPLACE(E111, ""^[Pp]"", """")))"),7.0)</f>
        <v>7</v>
      </c>
      <c r="B111" s="8">
        <v>986.0</v>
      </c>
      <c r="C111" s="7">
        <v>45867.10902777778</v>
      </c>
      <c r="D111" s="5" t="s">
        <v>293</v>
      </c>
      <c r="E111" s="5" t="s">
        <v>284</v>
      </c>
      <c r="F111" s="5" t="s">
        <v>211</v>
      </c>
      <c r="G111" s="5">
        <v>3.0</v>
      </c>
      <c r="H111" s="5">
        <v>3.0</v>
      </c>
      <c r="I111" s="5" t="s">
        <v>199</v>
      </c>
      <c r="J111" s="5">
        <v>5.0</v>
      </c>
      <c r="K111" s="5">
        <v>5.0</v>
      </c>
      <c r="L111" s="5">
        <v>2.0</v>
      </c>
      <c r="M111" s="5">
        <v>3.0</v>
      </c>
      <c r="N111" s="5">
        <v>3.0</v>
      </c>
      <c r="O111" s="5">
        <v>6.0</v>
      </c>
      <c r="P111" s="5">
        <v>5.0</v>
      </c>
      <c r="Q111" s="5">
        <v>6.0</v>
      </c>
      <c r="R111" s="5">
        <v>2.0</v>
      </c>
      <c r="S111" s="5">
        <v>3.0</v>
      </c>
      <c r="T111" s="5">
        <v>6.0</v>
      </c>
      <c r="U111" s="5">
        <v>6.0</v>
      </c>
      <c r="V111" s="5">
        <f t="shared" si="1"/>
        <v>2</v>
      </c>
      <c r="W111" s="5" t="s">
        <v>294</v>
      </c>
      <c r="X111" s="5" t="s">
        <v>206</v>
      </c>
      <c r="Y111" s="5">
        <v>3.0</v>
      </c>
      <c r="Z111" s="5">
        <v>5.0</v>
      </c>
      <c r="AA111" s="5">
        <v>5.0</v>
      </c>
      <c r="AB111" s="5">
        <v>5.0</v>
      </c>
      <c r="AC111" s="5">
        <v>5.0</v>
      </c>
      <c r="AD111" s="5">
        <v>5.0</v>
      </c>
      <c r="AE111" s="5" t="s">
        <v>295</v>
      </c>
      <c r="AF111" s="5" t="s">
        <v>206</v>
      </c>
      <c r="AG111" s="5">
        <v>5.0</v>
      </c>
      <c r="AH111" s="5">
        <v>5.0</v>
      </c>
      <c r="AI111" s="5">
        <v>5.0</v>
      </c>
      <c r="AJ111" s="5">
        <v>2.0</v>
      </c>
      <c r="AK111" s="5">
        <f t="shared" si="2"/>
        <v>6</v>
      </c>
      <c r="AL111" s="5">
        <v>2.0</v>
      </c>
      <c r="AM111" s="5">
        <f t="shared" si="3"/>
        <v>6</v>
      </c>
      <c r="AN111" s="5">
        <v>2.0</v>
      </c>
      <c r="AO111" s="5">
        <f t="shared" si="4"/>
        <v>6</v>
      </c>
      <c r="AP111" s="5">
        <v>1.0</v>
      </c>
      <c r="AQ111" s="5">
        <f t="shared" si="5"/>
        <v>7</v>
      </c>
      <c r="AR111" s="5" t="s">
        <v>296</v>
      </c>
    </row>
    <row r="112">
      <c r="A112" s="8">
        <f>IFERROR(__xludf.DUMMYFUNCTION("IF(E112="""", """", VALUE(REGEXREPLACE(E112, ""^[Pp]"", """")))"),7.0)</f>
        <v>7</v>
      </c>
      <c r="B112" s="8">
        <v>845.0</v>
      </c>
      <c r="C112" s="7">
        <v>45867.11944444444</v>
      </c>
      <c r="D112" s="5" t="s">
        <v>301</v>
      </c>
      <c r="E112" s="5" t="s">
        <v>284</v>
      </c>
      <c r="F112" s="5" t="s">
        <v>216</v>
      </c>
      <c r="G112" s="5">
        <v>3.0</v>
      </c>
      <c r="H112" s="5">
        <v>2.0</v>
      </c>
      <c r="I112" s="5" t="s">
        <v>199</v>
      </c>
      <c r="J112" s="5">
        <v>5.0</v>
      </c>
      <c r="K112" s="5">
        <v>3.0</v>
      </c>
      <c r="L112" s="5">
        <v>3.0</v>
      </c>
      <c r="M112" s="5">
        <v>3.0</v>
      </c>
      <c r="N112" s="5">
        <v>3.0</v>
      </c>
      <c r="O112" s="5">
        <v>6.0</v>
      </c>
      <c r="P112" s="5">
        <v>6.0</v>
      </c>
      <c r="Q112" s="5">
        <v>6.0</v>
      </c>
      <c r="R112" s="5">
        <v>2.0</v>
      </c>
      <c r="S112" s="5">
        <v>3.0</v>
      </c>
      <c r="T112" s="5">
        <v>6.0</v>
      </c>
      <c r="U112" s="5">
        <v>5.0</v>
      </c>
      <c r="V112" s="5">
        <f t="shared" si="1"/>
        <v>3</v>
      </c>
      <c r="W112" s="5" t="s">
        <v>302</v>
      </c>
      <c r="X112" s="5" t="s">
        <v>206</v>
      </c>
      <c r="Y112" s="5">
        <v>5.0</v>
      </c>
      <c r="Z112" s="5">
        <v>6.0</v>
      </c>
      <c r="AA112" s="5">
        <v>6.0</v>
      </c>
      <c r="AB112" s="5">
        <v>6.0</v>
      </c>
      <c r="AC112" s="5">
        <v>5.0</v>
      </c>
      <c r="AD112" s="5">
        <v>5.0</v>
      </c>
      <c r="AE112" s="5" t="s">
        <v>303</v>
      </c>
      <c r="AF112" s="5" t="s">
        <v>206</v>
      </c>
      <c r="AG112" s="5">
        <v>6.0</v>
      </c>
      <c r="AH112" s="5">
        <v>6.0</v>
      </c>
      <c r="AI112" s="5">
        <v>3.0</v>
      </c>
      <c r="AJ112" s="5">
        <v>2.0</v>
      </c>
      <c r="AK112" s="5">
        <f t="shared" si="2"/>
        <v>6</v>
      </c>
      <c r="AL112" s="5">
        <v>2.0</v>
      </c>
      <c r="AM112" s="5">
        <f t="shared" si="3"/>
        <v>6</v>
      </c>
      <c r="AN112" s="5">
        <v>2.0</v>
      </c>
      <c r="AO112" s="5">
        <f t="shared" si="4"/>
        <v>6</v>
      </c>
      <c r="AP112" s="5">
        <v>1.0</v>
      </c>
      <c r="AQ112" s="5">
        <f t="shared" si="5"/>
        <v>7</v>
      </c>
      <c r="AR112" s="5" t="s">
        <v>304</v>
      </c>
    </row>
    <row r="113">
      <c r="A113" s="8">
        <f>IFERROR(__xludf.DUMMYFUNCTION("IF(E113="""", """", VALUE(REGEXREPLACE(E113, ""^[Pp]"", """")))"),7.0)</f>
        <v>7</v>
      </c>
      <c r="B113" s="8">
        <v>559.0</v>
      </c>
      <c r="C113" s="7">
        <v>45867.131944444445</v>
      </c>
      <c r="D113" s="5" t="s">
        <v>313</v>
      </c>
      <c r="E113" s="5" t="s">
        <v>284</v>
      </c>
      <c r="F113" s="5" t="s">
        <v>197</v>
      </c>
      <c r="G113" s="5">
        <v>6.0</v>
      </c>
      <c r="H113" s="6">
        <v>4.0</v>
      </c>
      <c r="I113" s="5" t="s">
        <v>199</v>
      </c>
      <c r="J113" s="5">
        <v>5.0</v>
      </c>
      <c r="K113" s="5">
        <v>6.0</v>
      </c>
      <c r="L113" s="5">
        <v>2.0</v>
      </c>
      <c r="M113" s="5">
        <v>3.0</v>
      </c>
      <c r="N113" s="5">
        <v>2.0</v>
      </c>
      <c r="O113" s="5">
        <v>6.0</v>
      </c>
      <c r="P113" s="5">
        <v>6.0</v>
      </c>
      <c r="Q113" s="5">
        <v>6.0</v>
      </c>
      <c r="R113" s="5">
        <v>2.0</v>
      </c>
      <c r="S113" s="5">
        <v>2.0</v>
      </c>
      <c r="T113" s="5">
        <v>2.0</v>
      </c>
      <c r="U113" s="5">
        <v>5.0</v>
      </c>
      <c r="V113" s="5">
        <f t="shared" si="1"/>
        <v>3</v>
      </c>
      <c r="W113" s="5" t="s">
        <v>314</v>
      </c>
      <c r="X113" s="5" t="s">
        <v>206</v>
      </c>
      <c r="Y113" s="5">
        <v>6.0</v>
      </c>
      <c r="Z113" s="5">
        <v>6.0</v>
      </c>
      <c r="AA113" s="5">
        <v>6.0</v>
      </c>
      <c r="AB113" s="5">
        <v>6.0</v>
      </c>
      <c r="AC113" s="5">
        <v>6.0</v>
      </c>
      <c r="AD113" s="5">
        <v>5.0</v>
      </c>
      <c r="AE113" s="5" t="s">
        <v>315</v>
      </c>
      <c r="AF113" s="5" t="s">
        <v>206</v>
      </c>
      <c r="AG113" s="5">
        <v>6.0</v>
      </c>
      <c r="AH113" s="5">
        <v>6.0</v>
      </c>
      <c r="AI113" s="5">
        <v>5.0</v>
      </c>
      <c r="AJ113" s="5">
        <v>2.0</v>
      </c>
      <c r="AK113" s="5">
        <f t="shared" si="2"/>
        <v>6</v>
      </c>
      <c r="AL113" s="5">
        <v>4.0</v>
      </c>
      <c r="AM113" s="5">
        <f t="shared" si="3"/>
        <v>4</v>
      </c>
      <c r="AN113" s="5">
        <v>5.0</v>
      </c>
      <c r="AO113" s="5">
        <f t="shared" si="4"/>
        <v>3</v>
      </c>
      <c r="AP113" s="5">
        <v>2.0</v>
      </c>
      <c r="AQ113" s="5">
        <f t="shared" si="5"/>
        <v>6</v>
      </c>
      <c r="AR113" s="5" t="s">
        <v>316</v>
      </c>
    </row>
    <row r="114">
      <c r="A114" s="8">
        <f>IFERROR(__xludf.DUMMYFUNCTION("IF(E114="""", """", VALUE(REGEXREPLACE(E114, ""^[Pp]"", """")))"),8.0)</f>
        <v>8</v>
      </c>
      <c r="B114" s="8">
        <v>1356.0</v>
      </c>
      <c r="C114" s="7">
        <v>45867.09652777778</v>
      </c>
      <c r="D114" s="5" t="s">
        <v>288</v>
      </c>
      <c r="E114" s="5" t="s">
        <v>289</v>
      </c>
      <c r="F114" s="5" t="s">
        <v>216</v>
      </c>
      <c r="G114" s="5">
        <v>6.0</v>
      </c>
      <c r="H114" s="5">
        <v>5.0</v>
      </c>
      <c r="I114" s="5" t="s">
        <v>199</v>
      </c>
      <c r="J114" s="5">
        <v>6.0</v>
      </c>
      <c r="K114" s="5">
        <v>7.0</v>
      </c>
      <c r="L114" s="5">
        <v>6.0</v>
      </c>
      <c r="M114" s="5">
        <v>4.0</v>
      </c>
      <c r="N114" s="5">
        <v>6.0</v>
      </c>
      <c r="O114" s="5">
        <v>6.0</v>
      </c>
      <c r="P114" s="5">
        <v>6.0</v>
      </c>
      <c r="Q114" s="5">
        <v>7.0</v>
      </c>
      <c r="R114" s="5">
        <v>2.0</v>
      </c>
      <c r="S114" s="5">
        <v>2.0</v>
      </c>
      <c r="T114" s="5">
        <v>7.0</v>
      </c>
      <c r="U114" s="5">
        <v>4.0</v>
      </c>
      <c r="V114" s="5">
        <f t="shared" si="1"/>
        <v>4</v>
      </c>
      <c r="W114" s="5" t="s">
        <v>290</v>
      </c>
      <c r="X114" s="5" t="s">
        <v>206</v>
      </c>
      <c r="Y114" s="5">
        <v>4.0</v>
      </c>
      <c r="Z114" s="5">
        <v>5.0</v>
      </c>
      <c r="AA114" s="5">
        <v>6.0</v>
      </c>
      <c r="AB114" s="5">
        <v>5.0</v>
      </c>
      <c r="AC114" s="5">
        <v>6.0</v>
      </c>
      <c r="AD114" s="5">
        <v>6.0</v>
      </c>
      <c r="AE114" s="5" t="s">
        <v>291</v>
      </c>
      <c r="AF114" s="5" t="s">
        <v>206</v>
      </c>
      <c r="AG114" s="5">
        <v>6.0</v>
      </c>
      <c r="AH114" s="5">
        <v>7.0</v>
      </c>
      <c r="AI114" s="5">
        <v>7.0</v>
      </c>
      <c r="AJ114" s="5">
        <v>1.0</v>
      </c>
      <c r="AK114" s="5">
        <f t="shared" si="2"/>
        <v>7</v>
      </c>
      <c r="AL114" s="5">
        <v>1.0</v>
      </c>
      <c r="AM114" s="5">
        <f t="shared" si="3"/>
        <v>7</v>
      </c>
      <c r="AN114" s="5">
        <v>1.0</v>
      </c>
      <c r="AO114" s="5">
        <f t="shared" si="4"/>
        <v>7</v>
      </c>
      <c r="AP114" s="5">
        <v>1.0</v>
      </c>
      <c r="AQ114" s="5">
        <f t="shared" si="5"/>
        <v>7</v>
      </c>
      <c r="AR114" s="5" t="s">
        <v>292</v>
      </c>
    </row>
    <row r="115">
      <c r="A115" s="8">
        <f>IFERROR(__xludf.DUMMYFUNCTION("IF(E115="""", """", VALUE(REGEXREPLACE(E115, ""^[Pp]"", """")))"),8.0)</f>
        <v>8</v>
      </c>
      <c r="B115" s="8">
        <v>401.0</v>
      </c>
      <c r="C115" s="7">
        <v>45867.11041666667</v>
      </c>
      <c r="D115" s="5" t="s">
        <v>297</v>
      </c>
      <c r="E115" s="5" t="s">
        <v>289</v>
      </c>
      <c r="F115" s="5" t="s">
        <v>197</v>
      </c>
      <c r="G115" s="5">
        <v>7.0</v>
      </c>
      <c r="H115" s="5">
        <v>6.0</v>
      </c>
      <c r="I115" s="5" t="s">
        <v>199</v>
      </c>
      <c r="J115" s="5">
        <v>6.0</v>
      </c>
      <c r="K115" s="5">
        <v>7.0</v>
      </c>
      <c r="L115" s="5">
        <v>5.0</v>
      </c>
      <c r="M115" s="5">
        <v>7.0</v>
      </c>
      <c r="N115" s="5">
        <v>7.0</v>
      </c>
      <c r="O115" s="5">
        <v>7.0</v>
      </c>
      <c r="P115" s="5">
        <v>6.0</v>
      </c>
      <c r="Q115" s="5">
        <v>6.0</v>
      </c>
      <c r="R115" s="5">
        <v>3.0</v>
      </c>
      <c r="S115" s="5">
        <v>4.0</v>
      </c>
      <c r="T115" s="5">
        <v>7.0</v>
      </c>
      <c r="U115" s="5">
        <v>6.0</v>
      </c>
      <c r="V115" s="5">
        <f t="shared" si="1"/>
        <v>2</v>
      </c>
      <c r="W115" s="5" t="s">
        <v>298</v>
      </c>
      <c r="X115" s="5" t="s">
        <v>206</v>
      </c>
      <c r="Y115" s="5">
        <v>6.0</v>
      </c>
      <c r="Z115" s="5">
        <v>6.0</v>
      </c>
      <c r="AA115" s="5">
        <v>7.0</v>
      </c>
      <c r="AB115" s="5">
        <v>7.0</v>
      </c>
      <c r="AC115" s="5">
        <v>7.0</v>
      </c>
      <c r="AD115" s="5">
        <v>5.0</v>
      </c>
      <c r="AE115" s="5" t="s">
        <v>299</v>
      </c>
      <c r="AF115" s="5" t="s">
        <v>206</v>
      </c>
      <c r="AG115" s="5">
        <v>6.0</v>
      </c>
      <c r="AH115" s="5">
        <v>5.0</v>
      </c>
      <c r="AI115" s="5">
        <v>7.0</v>
      </c>
      <c r="AJ115" s="5">
        <v>2.0</v>
      </c>
      <c r="AK115" s="5">
        <f t="shared" si="2"/>
        <v>6</v>
      </c>
      <c r="AL115" s="5">
        <v>1.0</v>
      </c>
      <c r="AM115" s="5">
        <f t="shared" si="3"/>
        <v>7</v>
      </c>
      <c r="AN115" s="5">
        <v>3.0</v>
      </c>
      <c r="AO115" s="5">
        <f t="shared" si="4"/>
        <v>5</v>
      </c>
      <c r="AP115" s="5">
        <v>2.0</v>
      </c>
      <c r="AQ115" s="5">
        <f t="shared" si="5"/>
        <v>6</v>
      </c>
      <c r="AR115" s="5" t="s">
        <v>300</v>
      </c>
    </row>
    <row r="116">
      <c r="A116" s="8">
        <f>IFERROR(__xludf.DUMMYFUNCTION("IF(E116="""", """", VALUE(REGEXREPLACE(E116, ""^[Pp]"", """")))"),8.0)</f>
        <v>8</v>
      </c>
      <c r="B116" s="8">
        <v>341.0</v>
      </c>
      <c r="C116" s="7">
        <v>45867.12013888889</v>
      </c>
      <c r="D116" s="5" t="s">
        <v>305</v>
      </c>
      <c r="E116" s="5" t="s">
        <v>289</v>
      </c>
      <c r="F116" s="5" t="s">
        <v>263</v>
      </c>
      <c r="G116" s="5">
        <v>7.0</v>
      </c>
      <c r="H116" s="5">
        <v>5.0</v>
      </c>
      <c r="I116" s="5" t="s">
        <v>199</v>
      </c>
      <c r="J116" s="5">
        <v>7.0</v>
      </c>
      <c r="K116" s="5">
        <v>7.0</v>
      </c>
      <c r="L116" s="5">
        <v>7.0</v>
      </c>
      <c r="M116" s="5">
        <v>5.0</v>
      </c>
      <c r="N116" s="5">
        <v>7.0</v>
      </c>
      <c r="O116" s="5">
        <v>6.0</v>
      </c>
      <c r="P116" s="5">
        <v>6.0</v>
      </c>
      <c r="Q116" s="5">
        <v>5.0</v>
      </c>
      <c r="R116" s="5">
        <v>6.0</v>
      </c>
      <c r="S116" s="5">
        <v>4.0</v>
      </c>
      <c r="T116" s="5">
        <v>6.0</v>
      </c>
      <c r="U116" s="5">
        <v>2.0</v>
      </c>
      <c r="V116" s="5">
        <f t="shared" si="1"/>
        <v>6</v>
      </c>
      <c r="W116" s="5" t="s">
        <v>306</v>
      </c>
      <c r="X116" s="5" t="s">
        <v>206</v>
      </c>
      <c r="Y116" s="5">
        <v>6.0</v>
      </c>
      <c r="Z116" s="5">
        <v>7.0</v>
      </c>
      <c r="AA116" s="5">
        <v>7.0</v>
      </c>
      <c r="AB116" s="5">
        <v>7.0</v>
      </c>
      <c r="AC116" s="5">
        <v>7.0</v>
      </c>
      <c r="AD116" s="5">
        <v>6.0</v>
      </c>
      <c r="AE116" s="5" t="s">
        <v>307</v>
      </c>
      <c r="AF116" s="5" t="s">
        <v>206</v>
      </c>
      <c r="AG116" s="5">
        <v>7.0</v>
      </c>
      <c r="AH116" s="5">
        <v>6.0</v>
      </c>
      <c r="AI116" s="5">
        <v>7.0</v>
      </c>
      <c r="AJ116" s="5">
        <v>2.0</v>
      </c>
      <c r="AK116" s="5">
        <f t="shared" si="2"/>
        <v>6</v>
      </c>
      <c r="AL116" s="5">
        <v>1.0</v>
      </c>
      <c r="AM116" s="5">
        <f t="shared" si="3"/>
        <v>7</v>
      </c>
      <c r="AN116" s="5">
        <v>1.0</v>
      </c>
      <c r="AO116" s="5">
        <f t="shared" si="4"/>
        <v>7</v>
      </c>
      <c r="AP116" s="5">
        <v>1.0</v>
      </c>
      <c r="AQ116" s="5">
        <f t="shared" si="5"/>
        <v>7</v>
      </c>
      <c r="AR116" s="5" t="s">
        <v>308</v>
      </c>
    </row>
    <row r="117">
      <c r="A117" s="8">
        <f>IFERROR(__xludf.DUMMYFUNCTION("IF(E117="""", """", VALUE(REGEXREPLACE(E117, ""^[Pp]"", """")))"),8.0)</f>
        <v>8</v>
      </c>
      <c r="B117" s="8">
        <v>465.0</v>
      </c>
      <c r="C117" s="7">
        <v>45867.12847222222</v>
      </c>
      <c r="D117" s="5" t="s">
        <v>309</v>
      </c>
      <c r="E117" s="5" t="s">
        <v>289</v>
      </c>
      <c r="F117" s="5" t="s">
        <v>216</v>
      </c>
      <c r="G117" s="5">
        <v>7.0</v>
      </c>
      <c r="H117" s="5">
        <v>6.0</v>
      </c>
      <c r="I117" s="5" t="s">
        <v>199</v>
      </c>
      <c r="J117" s="5">
        <v>7.0</v>
      </c>
      <c r="K117" s="5">
        <v>7.0</v>
      </c>
      <c r="L117" s="5">
        <v>6.0</v>
      </c>
      <c r="M117" s="5">
        <v>7.0</v>
      </c>
      <c r="N117" s="5">
        <v>7.0</v>
      </c>
      <c r="O117" s="5">
        <v>7.0</v>
      </c>
      <c r="P117" s="5">
        <v>7.0</v>
      </c>
      <c r="Q117" s="5">
        <v>7.0</v>
      </c>
      <c r="R117" s="5">
        <v>6.0</v>
      </c>
      <c r="S117" s="5">
        <v>4.0</v>
      </c>
      <c r="T117" s="5">
        <v>7.0</v>
      </c>
      <c r="U117" s="5">
        <v>6.0</v>
      </c>
      <c r="V117" s="5">
        <f t="shared" si="1"/>
        <v>2</v>
      </c>
      <c r="W117" s="5" t="s">
        <v>310</v>
      </c>
      <c r="X117" s="5" t="s">
        <v>206</v>
      </c>
      <c r="Y117" s="5">
        <v>7.0</v>
      </c>
      <c r="Z117" s="5">
        <v>6.0</v>
      </c>
      <c r="AA117" s="5">
        <v>6.0</v>
      </c>
      <c r="AB117" s="5">
        <v>6.0</v>
      </c>
      <c r="AC117" s="5">
        <v>7.0</v>
      </c>
      <c r="AD117" s="5">
        <v>6.0</v>
      </c>
      <c r="AE117" s="5" t="s">
        <v>311</v>
      </c>
      <c r="AF117" s="5" t="s">
        <v>206</v>
      </c>
      <c r="AG117" s="5">
        <v>6.0</v>
      </c>
      <c r="AH117" s="5">
        <v>7.0</v>
      </c>
      <c r="AI117" s="5">
        <v>7.0</v>
      </c>
      <c r="AJ117" s="5">
        <v>1.0</v>
      </c>
      <c r="AK117" s="5">
        <f t="shared" si="2"/>
        <v>7</v>
      </c>
      <c r="AL117" s="5">
        <v>1.0</v>
      </c>
      <c r="AM117" s="5">
        <f t="shared" si="3"/>
        <v>7</v>
      </c>
      <c r="AN117" s="5">
        <v>1.0</v>
      </c>
      <c r="AO117" s="5">
        <f t="shared" si="4"/>
        <v>7</v>
      </c>
      <c r="AP117" s="5">
        <v>1.0</v>
      </c>
      <c r="AQ117" s="5">
        <f t="shared" si="5"/>
        <v>7</v>
      </c>
      <c r="AR117" s="5" t="s">
        <v>312</v>
      </c>
    </row>
    <row r="118">
      <c r="A118" s="8">
        <f>IFERROR(__xludf.DUMMYFUNCTION("IF(E118="""", """", VALUE(REGEXREPLACE(E118, ""^[Pp]"", """")))"),9.0)</f>
        <v>9</v>
      </c>
      <c r="B118" s="8">
        <v>845.0</v>
      </c>
      <c r="C118" s="7">
        <v>45867.2125</v>
      </c>
      <c r="D118" s="5" t="s">
        <v>317</v>
      </c>
      <c r="E118" s="5" t="s">
        <v>318</v>
      </c>
      <c r="F118" s="5" t="s">
        <v>197</v>
      </c>
      <c r="G118" s="5">
        <v>3.0</v>
      </c>
      <c r="H118" s="5">
        <v>2.0</v>
      </c>
      <c r="I118" s="5" t="s">
        <v>199</v>
      </c>
      <c r="J118" s="5">
        <v>3.0</v>
      </c>
      <c r="K118" s="5">
        <v>5.0</v>
      </c>
      <c r="L118" s="5">
        <v>3.0</v>
      </c>
      <c r="M118" s="5">
        <v>4.0</v>
      </c>
      <c r="N118" s="5">
        <v>3.0</v>
      </c>
      <c r="O118" s="5">
        <v>5.0</v>
      </c>
      <c r="P118" s="5">
        <v>6.0</v>
      </c>
      <c r="Q118" s="5">
        <v>4.0</v>
      </c>
      <c r="R118" s="5">
        <v>2.0</v>
      </c>
      <c r="S118" s="5">
        <v>1.0</v>
      </c>
      <c r="T118" s="5">
        <v>4.0</v>
      </c>
      <c r="U118" s="5">
        <v>6.0</v>
      </c>
      <c r="V118" s="5">
        <f t="shared" si="1"/>
        <v>2</v>
      </c>
      <c r="W118" s="5" t="s">
        <v>319</v>
      </c>
      <c r="X118" s="5" t="s">
        <v>206</v>
      </c>
      <c r="Y118" s="5">
        <v>3.0</v>
      </c>
      <c r="Z118" s="5">
        <v>5.0</v>
      </c>
      <c r="AA118" s="5">
        <v>5.0</v>
      </c>
      <c r="AB118" s="5">
        <v>6.0</v>
      </c>
      <c r="AC118" s="5">
        <v>5.0</v>
      </c>
      <c r="AD118" s="5">
        <v>6.0</v>
      </c>
      <c r="AE118" s="5" t="s">
        <v>320</v>
      </c>
      <c r="AF118" s="5" t="s">
        <v>206</v>
      </c>
      <c r="AG118" s="5">
        <v>5.0</v>
      </c>
      <c r="AH118" s="5">
        <v>6.0</v>
      </c>
      <c r="AI118" s="5">
        <v>6.0</v>
      </c>
      <c r="AJ118" s="5">
        <v>1.0</v>
      </c>
      <c r="AK118" s="5">
        <f t="shared" si="2"/>
        <v>7</v>
      </c>
      <c r="AL118" s="5">
        <v>1.0</v>
      </c>
      <c r="AM118" s="5">
        <f t="shared" si="3"/>
        <v>7</v>
      </c>
      <c r="AN118" s="5">
        <v>1.0</v>
      </c>
      <c r="AO118" s="5">
        <f t="shared" si="4"/>
        <v>7</v>
      </c>
      <c r="AP118" s="5">
        <v>1.0</v>
      </c>
      <c r="AQ118" s="5">
        <f t="shared" si="5"/>
        <v>7</v>
      </c>
      <c r="AR118" s="5" t="s">
        <v>321</v>
      </c>
    </row>
    <row r="119">
      <c r="A119" s="8">
        <f>IFERROR(__xludf.DUMMYFUNCTION("IF(E119="""", """", VALUE(REGEXREPLACE(E119, ""^[Pp]"", """")))"),9.0)</f>
        <v>9</v>
      </c>
      <c r="B119" s="8">
        <v>353.0</v>
      </c>
      <c r="C119" s="7">
        <v>45867.22222222222</v>
      </c>
      <c r="D119" s="5" t="s">
        <v>322</v>
      </c>
      <c r="E119" s="5" t="s">
        <v>318</v>
      </c>
      <c r="F119" s="5" t="s">
        <v>211</v>
      </c>
      <c r="G119" s="5">
        <v>5.0</v>
      </c>
      <c r="H119" s="5">
        <v>4.0</v>
      </c>
      <c r="I119" s="5" t="s">
        <v>199</v>
      </c>
      <c r="J119" s="5">
        <v>6.0</v>
      </c>
      <c r="K119" s="5">
        <v>5.0</v>
      </c>
      <c r="L119" s="5">
        <v>3.0</v>
      </c>
      <c r="M119" s="5">
        <v>4.0</v>
      </c>
      <c r="N119" s="5">
        <v>4.0</v>
      </c>
      <c r="O119" s="5">
        <v>6.0</v>
      </c>
      <c r="P119" s="5">
        <v>6.0</v>
      </c>
      <c r="Q119" s="5">
        <v>6.0</v>
      </c>
      <c r="R119" s="5">
        <v>2.0</v>
      </c>
      <c r="S119" s="5">
        <v>3.0</v>
      </c>
      <c r="T119" s="5">
        <v>4.0</v>
      </c>
      <c r="U119" s="5">
        <v>5.0</v>
      </c>
      <c r="V119" s="5">
        <f t="shared" si="1"/>
        <v>3</v>
      </c>
      <c r="W119" s="5" t="s">
        <v>323</v>
      </c>
      <c r="X119" s="5" t="s">
        <v>206</v>
      </c>
      <c r="Y119" s="5">
        <v>6.0</v>
      </c>
      <c r="Z119" s="5">
        <v>6.0</v>
      </c>
      <c r="AA119" s="5">
        <v>6.0</v>
      </c>
      <c r="AB119" s="5">
        <v>7.0</v>
      </c>
      <c r="AC119" s="5">
        <v>7.0</v>
      </c>
      <c r="AD119" s="5">
        <v>6.0</v>
      </c>
      <c r="AE119" s="5" t="s">
        <v>324</v>
      </c>
      <c r="AF119" s="5" t="s">
        <v>206</v>
      </c>
      <c r="AG119" s="5">
        <v>6.0</v>
      </c>
      <c r="AH119" s="5">
        <v>6.0</v>
      </c>
      <c r="AI119" s="5">
        <v>6.0</v>
      </c>
      <c r="AJ119" s="5">
        <v>1.0</v>
      </c>
      <c r="AK119" s="5">
        <f t="shared" si="2"/>
        <v>7</v>
      </c>
      <c r="AL119" s="5">
        <v>1.0</v>
      </c>
      <c r="AM119" s="5">
        <f t="shared" si="3"/>
        <v>7</v>
      </c>
      <c r="AN119" s="5">
        <v>1.0</v>
      </c>
      <c r="AO119" s="5">
        <f t="shared" si="4"/>
        <v>7</v>
      </c>
      <c r="AP119" s="5">
        <v>1.0</v>
      </c>
      <c r="AQ119" s="5">
        <f t="shared" si="5"/>
        <v>7</v>
      </c>
      <c r="AR119" s="5" t="s">
        <v>325</v>
      </c>
    </row>
    <row r="120">
      <c r="A120" s="8">
        <f>IFERROR(__xludf.DUMMYFUNCTION("IF(E120="""", """", VALUE(REGEXREPLACE(E120, ""^[Pp]"", """")))"),9.0)</f>
        <v>9</v>
      </c>
      <c r="B120" s="8">
        <v>560.0</v>
      </c>
      <c r="C120" s="7">
        <v>45867.23125</v>
      </c>
      <c r="D120" s="5" t="s">
        <v>326</v>
      </c>
      <c r="E120" s="5" t="s">
        <v>318</v>
      </c>
      <c r="F120" s="5" t="s">
        <v>216</v>
      </c>
      <c r="G120" s="5">
        <v>4.0</v>
      </c>
      <c r="H120" s="5">
        <v>3.0</v>
      </c>
      <c r="I120" s="5" t="s">
        <v>199</v>
      </c>
      <c r="J120" s="5">
        <v>6.0</v>
      </c>
      <c r="K120" s="5">
        <v>6.0</v>
      </c>
      <c r="L120" s="5">
        <v>3.0</v>
      </c>
      <c r="M120" s="5">
        <v>3.0</v>
      </c>
      <c r="N120" s="5">
        <v>5.0</v>
      </c>
      <c r="O120" s="5">
        <v>6.0</v>
      </c>
      <c r="P120" s="5">
        <v>6.0</v>
      </c>
      <c r="Q120" s="5">
        <v>5.0</v>
      </c>
      <c r="R120" s="5">
        <v>3.0</v>
      </c>
      <c r="S120" s="5">
        <v>4.0</v>
      </c>
      <c r="T120" s="5">
        <v>3.0</v>
      </c>
      <c r="U120" s="5">
        <v>5.0</v>
      </c>
      <c r="V120" s="5">
        <f t="shared" si="1"/>
        <v>3</v>
      </c>
      <c r="W120" s="5" t="s">
        <v>327</v>
      </c>
      <c r="X120" s="5" t="s">
        <v>206</v>
      </c>
      <c r="Y120" s="5">
        <v>6.0</v>
      </c>
      <c r="Z120" s="5">
        <v>7.0</v>
      </c>
      <c r="AA120" s="5">
        <v>6.0</v>
      </c>
      <c r="AB120" s="5">
        <v>7.0</v>
      </c>
      <c r="AC120" s="5">
        <v>7.0</v>
      </c>
      <c r="AD120" s="5">
        <v>7.0</v>
      </c>
      <c r="AE120" s="5" t="s">
        <v>328</v>
      </c>
      <c r="AF120" s="5" t="s">
        <v>206</v>
      </c>
      <c r="AG120" s="5">
        <v>6.0</v>
      </c>
      <c r="AH120" s="5">
        <v>7.0</v>
      </c>
      <c r="AI120" s="5">
        <v>5.0</v>
      </c>
      <c r="AJ120" s="5">
        <v>1.0</v>
      </c>
      <c r="AK120" s="5">
        <f t="shared" si="2"/>
        <v>7</v>
      </c>
      <c r="AL120" s="5">
        <v>1.0</v>
      </c>
      <c r="AM120" s="5">
        <f t="shared" si="3"/>
        <v>7</v>
      </c>
      <c r="AN120" s="5">
        <v>1.0</v>
      </c>
      <c r="AO120" s="5">
        <f t="shared" si="4"/>
        <v>7</v>
      </c>
      <c r="AP120" s="5">
        <v>1.0</v>
      </c>
      <c r="AQ120" s="5">
        <f t="shared" si="5"/>
        <v>7</v>
      </c>
      <c r="AR120" s="5" t="s">
        <v>329</v>
      </c>
    </row>
    <row r="121">
      <c r="A121" s="8">
        <f>IFERROR(__xludf.DUMMYFUNCTION("IF(E121="""", """", VALUE(REGEXREPLACE(E121, ""^[Pp]"", """")))"),9.0)</f>
        <v>9</v>
      </c>
      <c r="B121" s="8">
        <v>468.0</v>
      </c>
      <c r="C121" s="7">
        <v>45867.25486111111</v>
      </c>
      <c r="D121" s="5" t="s">
        <v>339</v>
      </c>
      <c r="E121" s="5" t="s">
        <v>318</v>
      </c>
      <c r="F121" s="5" t="s">
        <v>263</v>
      </c>
      <c r="G121" s="5">
        <v>5.0</v>
      </c>
      <c r="H121" s="5">
        <v>4.0</v>
      </c>
      <c r="I121" s="5" t="s">
        <v>199</v>
      </c>
      <c r="J121" s="5">
        <v>5.0</v>
      </c>
      <c r="K121" s="5">
        <v>6.0</v>
      </c>
      <c r="L121" s="5">
        <v>4.0</v>
      </c>
      <c r="M121" s="5">
        <v>2.0</v>
      </c>
      <c r="N121" s="5">
        <v>4.0</v>
      </c>
      <c r="O121" s="5">
        <v>6.0</v>
      </c>
      <c r="P121" s="5">
        <v>6.0</v>
      </c>
      <c r="Q121" s="5">
        <v>5.0</v>
      </c>
      <c r="R121" s="5">
        <v>4.0</v>
      </c>
      <c r="S121" s="5">
        <v>3.0</v>
      </c>
      <c r="T121" s="5">
        <v>5.0</v>
      </c>
      <c r="U121" s="5">
        <v>5.0</v>
      </c>
      <c r="V121" s="5">
        <f t="shared" si="1"/>
        <v>3</v>
      </c>
      <c r="W121" s="5" t="s">
        <v>340</v>
      </c>
      <c r="X121" s="5" t="s">
        <v>206</v>
      </c>
      <c r="Y121" s="5">
        <v>5.0</v>
      </c>
      <c r="Z121" s="5">
        <v>7.0</v>
      </c>
      <c r="AA121" s="5">
        <v>6.0</v>
      </c>
      <c r="AB121" s="5">
        <v>7.0</v>
      </c>
      <c r="AC121" s="5">
        <v>7.0</v>
      </c>
      <c r="AD121" s="5">
        <v>7.0</v>
      </c>
      <c r="AE121" s="5" t="s">
        <v>341</v>
      </c>
      <c r="AF121" s="5" t="s">
        <v>206</v>
      </c>
      <c r="AG121" s="5">
        <v>6.0</v>
      </c>
      <c r="AH121" s="5">
        <v>3.0</v>
      </c>
      <c r="AI121" s="5">
        <v>5.0</v>
      </c>
      <c r="AJ121" s="5">
        <v>4.0</v>
      </c>
      <c r="AK121" s="5">
        <f t="shared" si="2"/>
        <v>4</v>
      </c>
      <c r="AL121" s="5">
        <v>1.0</v>
      </c>
      <c r="AM121" s="5">
        <f t="shared" si="3"/>
        <v>7</v>
      </c>
      <c r="AN121" s="5">
        <v>5.0</v>
      </c>
      <c r="AO121" s="5">
        <f t="shared" si="4"/>
        <v>3</v>
      </c>
      <c r="AP121" s="5">
        <v>3.0</v>
      </c>
      <c r="AQ121" s="5">
        <f t="shared" si="5"/>
        <v>5</v>
      </c>
      <c r="AR121" s="5" t="s">
        <v>342</v>
      </c>
    </row>
  </sheetData>
  <mergeCells count="3">
    <mergeCell ref="AE55:AF55"/>
    <mergeCell ref="AE56:AF56"/>
    <mergeCell ref="AE102:AF10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12.88"/>
    <col customWidth="1" min="4" max="4" width="20.88"/>
    <col customWidth="1" min="7" max="9" width="22.75"/>
    <col customWidth="1" min="10" max="10" width="19.5"/>
  </cols>
  <sheetData>
    <row r="1">
      <c r="A1" s="6" t="s">
        <v>723</v>
      </c>
      <c r="B1" s="5" t="s">
        <v>49</v>
      </c>
      <c r="C1" s="5" t="s">
        <v>51</v>
      </c>
      <c r="D1" s="5" t="s">
        <v>52</v>
      </c>
      <c r="E1" s="5" t="s">
        <v>61</v>
      </c>
      <c r="F1" s="5" t="s">
        <v>62</v>
      </c>
      <c r="G1" s="6" t="s">
        <v>724</v>
      </c>
      <c r="H1" s="5" t="s">
        <v>63</v>
      </c>
      <c r="I1" s="5" t="s">
        <v>64</v>
      </c>
      <c r="J1" s="5" t="s">
        <v>65</v>
      </c>
      <c r="K1" s="5" t="s">
        <v>66</v>
      </c>
      <c r="L1" s="5" t="s">
        <v>67</v>
      </c>
      <c r="M1" s="5" t="s">
        <v>68</v>
      </c>
      <c r="N1" s="5" t="s">
        <v>69</v>
      </c>
      <c r="O1" s="5" t="s">
        <v>70</v>
      </c>
      <c r="P1" s="5" t="s">
        <v>71</v>
      </c>
      <c r="Q1" s="5" t="s">
        <v>72</v>
      </c>
      <c r="R1" s="5" t="s">
        <v>73</v>
      </c>
      <c r="S1" s="5" t="s">
        <v>74</v>
      </c>
      <c r="T1" s="5" t="s">
        <v>75</v>
      </c>
      <c r="U1" s="5" t="s">
        <v>76</v>
      </c>
      <c r="V1" s="5" t="s">
        <v>77</v>
      </c>
      <c r="W1" s="6" t="s">
        <v>718</v>
      </c>
      <c r="X1" s="5" t="s">
        <v>78</v>
      </c>
      <c r="Y1" s="5" t="s">
        <v>79</v>
      </c>
      <c r="Z1" s="5" t="s">
        <v>80</v>
      </c>
      <c r="AA1" s="5" t="s">
        <v>81</v>
      </c>
      <c r="AB1" s="5" t="s">
        <v>82</v>
      </c>
      <c r="AC1" s="5" t="s">
        <v>83</v>
      </c>
      <c r="AD1" s="5" t="s">
        <v>84</v>
      </c>
      <c r="AE1" s="5" t="s">
        <v>85</v>
      </c>
      <c r="AF1" s="5" t="s">
        <v>86</v>
      </c>
      <c r="AG1" s="5" t="s">
        <v>87</v>
      </c>
      <c r="AH1" s="5" t="s">
        <v>88</v>
      </c>
      <c r="AI1" s="5" t="s">
        <v>89</v>
      </c>
      <c r="AJ1" s="5" t="s">
        <v>90</v>
      </c>
      <c r="AK1" s="5" t="s">
        <v>91</v>
      </c>
      <c r="AL1" s="6" t="s">
        <v>719</v>
      </c>
      <c r="AM1" s="5" t="s">
        <v>92</v>
      </c>
      <c r="AN1" s="6" t="s">
        <v>720</v>
      </c>
      <c r="AO1" s="5" t="s">
        <v>93</v>
      </c>
      <c r="AP1" s="6" t="s">
        <v>721</v>
      </c>
      <c r="AQ1" s="5" t="s">
        <v>94</v>
      </c>
      <c r="AR1" s="6" t="s">
        <v>722</v>
      </c>
      <c r="AS1" s="5" t="s">
        <v>95</v>
      </c>
    </row>
    <row r="2">
      <c r="A2" s="8">
        <f>IFERROR(__xludf.DUMMYFUNCTION("IF(E2="""", """", VALUE(REGEXREPLACE(E2, ""^[Pp]"", """")))"),2.0)</f>
        <v>2</v>
      </c>
      <c r="B2" s="8">
        <v>913.0</v>
      </c>
      <c r="C2" s="7">
        <v>45866.260416666664</v>
      </c>
      <c r="D2" s="5" t="s">
        <v>220</v>
      </c>
      <c r="E2" s="5" t="s">
        <v>221</v>
      </c>
      <c r="F2" s="5" t="s">
        <v>211</v>
      </c>
      <c r="G2" s="6">
        <v>1.0</v>
      </c>
      <c r="H2" s="5">
        <v>1.0</v>
      </c>
      <c r="I2" s="5">
        <v>1.0</v>
      </c>
      <c r="J2" s="5" t="s">
        <v>199</v>
      </c>
      <c r="K2" s="5">
        <v>7.0</v>
      </c>
      <c r="L2" s="5">
        <v>4.0</v>
      </c>
      <c r="M2" s="5">
        <v>1.0</v>
      </c>
      <c r="N2" s="5">
        <v>1.0</v>
      </c>
      <c r="O2" s="5">
        <v>1.0</v>
      </c>
      <c r="P2" s="5">
        <v>2.0</v>
      </c>
      <c r="Q2" s="5">
        <v>7.0</v>
      </c>
      <c r="R2" s="5">
        <v>6.0</v>
      </c>
      <c r="S2" s="5">
        <v>1.0</v>
      </c>
      <c r="T2" s="5">
        <v>1.0</v>
      </c>
      <c r="U2" s="5">
        <v>4.0</v>
      </c>
      <c r="V2" s="5">
        <v>7.0</v>
      </c>
      <c r="W2" s="5">
        <f t="shared" ref="W2:W121" si="1">8-V2</f>
        <v>1</v>
      </c>
      <c r="X2" s="5" t="s">
        <v>222</v>
      </c>
      <c r="Y2" s="5" t="s">
        <v>206</v>
      </c>
      <c r="Z2" s="5">
        <v>1.0</v>
      </c>
      <c r="AA2" s="5">
        <v>5.0</v>
      </c>
      <c r="AB2" s="5">
        <v>4.0</v>
      </c>
      <c r="AC2" s="5">
        <v>5.0</v>
      </c>
      <c r="AD2" s="5">
        <v>5.0</v>
      </c>
      <c r="AE2" s="5">
        <v>7.0</v>
      </c>
      <c r="AF2" s="5" t="s">
        <v>223</v>
      </c>
      <c r="AG2" s="5" t="s">
        <v>206</v>
      </c>
      <c r="AH2" s="5">
        <v>1.0</v>
      </c>
      <c r="AI2" s="5">
        <v>7.0</v>
      </c>
      <c r="AJ2" s="5">
        <v>4.0</v>
      </c>
      <c r="AK2" s="5">
        <v>1.0</v>
      </c>
      <c r="AL2" s="5">
        <f t="shared" ref="AL2:AL121" si="2">8-AK2</f>
        <v>7</v>
      </c>
      <c r="AM2" s="5">
        <v>1.0</v>
      </c>
      <c r="AN2" s="5">
        <f t="shared" ref="AN2:AN121" si="3">8-AM2</f>
        <v>7</v>
      </c>
      <c r="AO2" s="5">
        <v>1.0</v>
      </c>
      <c r="AP2" s="5">
        <f t="shared" ref="AP2:AP121" si="4">8-AO2</f>
        <v>7</v>
      </c>
      <c r="AQ2" s="5">
        <v>1.0</v>
      </c>
      <c r="AR2" s="5">
        <f t="shared" ref="AR2:AR121" si="5">8-AQ2</f>
        <v>7</v>
      </c>
      <c r="AS2" s="5" t="s">
        <v>224</v>
      </c>
    </row>
    <row r="3">
      <c r="A3" s="8">
        <f>IFERROR(__xludf.DUMMYFUNCTION("IF(E3="""", """", VALUE(REGEXREPLACE(E3, ""^[Pp]"", """")))"),2.0)</f>
        <v>2</v>
      </c>
      <c r="B3" s="8">
        <v>512.0</v>
      </c>
      <c r="C3" s="7">
        <v>45866.27291666667</v>
      </c>
      <c r="D3" s="5" t="s">
        <v>225</v>
      </c>
      <c r="E3" s="5" t="s">
        <v>221</v>
      </c>
      <c r="F3" s="5" t="s">
        <v>216</v>
      </c>
      <c r="G3" s="6">
        <v>2.0</v>
      </c>
      <c r="H3" s="5">
        <v>5.0</v>
      </c>
      <c r="I3" s="5">
        <v>1.0</v>
      </c>
      <c r="J3" s="5" t="s">
        <v>199</v>
      </c>
      <c r="K3" s="5">
        <v>7.0</v>
      </c>
      <c r="L3" s="5">
        <v>4.0</v>
      </c>
      <c r="M3" s="5">
        <v>7.0</v>
      </c>
      <c r="N3" s="5">
        <v>1.0</v>
      </c>
      <c r="O3" s="5">
        <v>1.0</v>
      </c>
      <c r="P3" s="5">
        <v>5.0</v>
      </c>
      <c r="Q3" s="5">
        <v>7.0</v>
      </c>
      <c r="R3" s="5">
        <v>1.0</v>
      </c>
      <c r="S3" s="5">
        <v>1.0</v>
      </c>
      <c r="T3" s="5">
        <v>1.0</v>
      </c>
      <c r="U3" s="5">
        <v>4.0</v>
      </c>
      <c r="V3" s="5">
        <v>7.0</v>
      </c>
      <c r="W3" s="5">
        <f t="shared" si="1"/>
        <v>1</v>
      </c>
      <c r="X3" s="5" t="s">
        <v>226</v>
      </c>
      <c r="Y3" s="5" t="s">
        <v>206</v>
      </c>
      <c r="Z3" s="5">
        <v>1.0</v>
      </c>
      <c r="AA3" s="5">
        <v>7.0</v>
      </c>
      <c r="AB3" s="5">
        <v>5.0</v>
      </c>
      <c r="AC3" s="5">
        <v>7.0</v>
      </c>
      <c r="AD3" s="5">
        <v>7.0</v>
      </c>
      <c r="AE3" s="5">
        <v>7.0</v>
      </c>
      <c r="AF3" s="5" t="s">
        <v>227</v>
      </c>
      <c r="AG3" s="5" t="s">
        <v>206</v>
      </c>
      <c r="AH3" s="5">
        <v>5.0</v>
      </c>
      <c r="AI3" s="5">
        <v>1.0</v>
      </c>
      <c r="AJ3" s="5">
        <v>5.0</v>
      </c>
      <c r="AK3" s="5">
        <v>7.0</v>
      </c>
      <c r="AL3" s="5">
        <f t="shared" si="2"/>
        <v>1</v>
      </c>
      <c r="AM3" s="5">
        <v>4.0</v>
      </c>
      <c r="AN3" s="5">
        <f t="shared" si="3"/>
        <v>4</v>
      </c>
      <c r="AO3" s="5">
        <v>5.0</v>
      </c>
      <c r="AP3" s="5">
        <f t="shared" si="4"/>
        <v>3</v>
      </c>
      <c r="AQ3" s="5">
        <v>5.0</v>
      </c>
      <c r="AR3" s="5">
        <f t="shared" si="5"/>
        <v>3</v>
      </c>
      <c r="AS3" s="5" t="s">
        <v>228</v>
      </c>
    </row>
    <row r="4">
      <c r="A4" s="8">
        <f>IFERROR(__xludf.DUMMYFUNCTION("IF(E4="""", """", VALUE(REGEXREPLACE(E4, ""^[Pp]"", """")))"),2.0)</f>
        <v>2</v>
      </c>
      <c r="B4" s="8">
        <v>378.0</v>
      </c>
      <c r="C4" s="7">
        <v>45866.28472222222</v>
      </c>
      <c r="D4" s="5" t="s">
        <v>229</v>
      </c>
      <c r="E4" s="5" t="s">
        <v>221</v>
      </c>
      <c r="F4" s="5" t="s">
        <v>197</v>
      </c>
      <c r="G4" s="6">
        <v>3.0</v>
      </c>
      <c r="H4" s="5">
        <v>1.0</v>
      </c>
      <c r="I4" s="5">
        <v>1.0</v>
      </c>
      <c r="J4" s="5" t="s">
        <v>199</v>
      </c>
      <c r="K4" s="5">
        <v>3.0</v>
      </c>
      <c r="L4" s="5">
        <v>4.0</v>
      </c>
      <c r="M4" s="5">
        <v>7.0</v>
      </c>
      <c r="N4" s="5">
        <v>1.0</v>
      </c>
      <c r="O4" s="5">
        <v>1.0</v>
      </c>
      <c r="P4" s="5">
        <v>7.0</v>
      </c>
      <c r="Q4" s="5">
        <v>4.0</v>
      </c>
      <c r="R4" s="5">
        <v>3.0</v>
      </c>
      <c r="S4" s="5">
        <v>1.0</v>
      </c>
      <c r="T4" s="5">
        <v>1.0</v>
      </c>
      <c r="U4" s="5">
        <v>7.0</v>
      </c>
      <c r="V4" s="5">
        <v>7.0</v>
      </c>
      <c r="W4" s="5">
        <f t="shared" si="1"/>
        <v>1</v>
      </c>
      <c r="X4" s="11" t="s">
        <v>230</v>
      </c>
      <c r="Y4" s="5" t="s">
        <v>206</v>
      </c>
      <c r="Z4" s="5">
        <v>1.0</v>
      </c>
      <c r="AA4" s="5">
        <v>4.0</v>
      </c>
      <c r="AB4" s="5">
        <v>1.0</v>
      </c>
      <c r="AC4" s="5">
        <v>5.0</v>
      </c>
      <c r="AD4" s="5">
        <v>1.0</v>
      </c>
      <c r="AE4" s="5">
        <v>2.0</v>
      </c>
      <c r="AF4" s="5" t="s">
        <v>231</v>
      </c>
      <c r="AG4" s="5" t="s">
        <v>206</v>
      </c>
      <c r="AH4" s="5">
        <v>1.0</v>
      </c>
      <c r="AI4" s="5">
        <v>4.0</v>
      </c>
      <c r="AJ4" s="5">
        <v>5.0</v>
      </c>
      <c r="AK4" s="5">
        <v>1.0</v>
      </c>
      <c r="AL4" s="5">
        <f t="shared" si="2"/>
        <v>7</v>
      </c>
      <c r="AM4" s="5">
        <v>1.0</v>
      </c>
      <c r="AN4" s="5">
        <f t="shared" si="3"/>
        <v>7</v>
      </c>
      <c r="AO4" s="5">
        <v>4.0</v>
      </c>
      <c r="AP4" s="5">
        <f t="shared" si="4"/>
        <v>4</v>
      </c>
      <c r="AQ4" s="5">
        <v>1.0</v>
      </c>
      <c r="AR4" s="5">
        <f t="shared" si="5"/>
        <v>7</v>
      </c>
      <c r="AS4" s="11" t="s">
        <v>232</v>
      </c>
    </row>
    <row r="5">
      <c r="A5" s="8">
        <f>IFERROR(__xludf.DUMMYFUNCTION("IF(E5="""", """", VALUE(REGEXREPLACE(E5, ""^[Pp]"", """")))"),2.0)</f>
        <v>2</v>
      </c>
      <c r="B5" s="8">
        <v>237.0</v>
      </c>
      <c r="C5" s="7">
        <v>45866.290972222225</v>
      </c>
      <c r="D5" s="5" t="s">
        <v>233</v>
      </c>
      <c r="E5" s="5" t="s">
        <v>221</v>
      </c>
      <c r="F5" s="5" t="s">
        <v>216</v>
      </c>
      <c r="G5" s="6">
        <v>4.0</v>
      </c>
      <c r="H5" s="5">
        <v>1.0</v>
      </c>
      <c r="I5" s="5">
        <v>1.0</v>
      </c>
      <c r="J5" s="5" t="s">
        <v>199</v>
      </c>
      <c r="K5" s="5">
        <v>7.0</v>
      </c>
      <c r="L5" s="5">
        <v>1.0</v>
      </c>
      <c r="M5" s="5">
        <v>1.0</v>
      </c>
      <c r="N5" s="5">
        <v>1.0</v>
      </c>
      <c r="O5" s="5">
        <v>1.0</v>
      </c>
      <c r="P5" s="5">
        <v>7.0</v>
      </c>
      <c r="Q5" s="5">
        <v>7.0</v>
      </c>
      <c r="R5" s="5">
        <v>1.0</v>
      </c>
      <c r="S5" s="5">
        <v>1.0</v>
      </c>
      <c r="T5" s="5">
        <v>1.0</v>
      </c>
      <c r="U5" s="5">
        <v>7.0</v>
      </c>
      <c r="V5" s="5">
        <v>7.0</v>
      </c>
      <c r="W5" s="5">
        <f t="shared" si="1"/>
        <v>1</v>
      </c>
      <c r="X5" s="5" t="s">
        <v>234</v>
      </c>
      <c r="Y5" s="5" t="s">
        <v>206</v>
      </c>
      <c r="Z5" s="5">
        <v>1.0</v>
      </c>
      <c r="AA5" s="5">
        <v>7.0</v>
      </c>
      <c r="AB5" s="5">
        <v>1.0</v>
      </c>
      <c r="AC5" s="5">
        <v>1.0</v>
      </c>
      <c r="AD5" s="5">
        <v>1.0</v>
      </c>
      <c r="AE5" s="5">
        <v>2.0</v>
      </c>
      <c r="AF5" s="5" t="s">
        <v>235</v>
      </c>
      <c r="AG5" s="5" t="s">
        <v>206</v>
      </c>
      <c r="AH5" s="5">
        <v>1.0</v>
      </c>
      <c r="AI5" s="5">
        <v>1.0</v>
      </c>
      <c r="AJ5" s="5">
        <v>1.0</v>
      </c>
      <c r="AK5" s="5">
        <v>4.0</v>
      </c>
      <c r="AL5" s="5">
        <f t="shared" si="2"/>
        <v>4</v>
      </c>
      <c r="AM5" s="5">
        <v>4.0</v>
      </c>
      <c r="AN5" s="5">
        <f t="shared" si="3"/>
        <v>4</v>
      </c>
      <c r="AO5" s="5">
        <v>4.0</v>
      </c>
      <c r="AP5" s="5">
        <f t="shared" si="4"/>
        <v>4</v>
      </c>
      <c r="AQ5" s="5">
        <v>4.0</v>
      </c>
      <c r="AR5" s="5">
        <f t="shared" si="5"/>
        <v>4</v>
      </c>
      <c r="AS5" s="5" t="s">
        <v>236</v>
      </c>
    </row>
    <row r="6">
      <c r="A6" s="8">
        <f>IFERROR(__xludf.DUMMYFUNCTION("IF(E6="""", """", VALUE(REGEXREPLACE(E6, ""^[Pp]"", """")))"),3.0)</f>
        <v>3</v>
      </c>
      <c r="B6" s="8">
        <v>822.0</v>
      </c>
      <c r="C6" s="7">
        <v>45866.3125</v>
      </c>
      <c r="D6" s="5" t="s">
        <v>243</v>
      </c>
      <c r="E6" s="5" t="s">
        <v>244</v>
      </c>
      <c r="F6" s="5" t="s">
        <v>197</v>
      </c>
      <c r="G6" s="6">
        <v>1.0</v>
      </c>
      <c r="H6" s="5">
        <v>2.0</v>
      </c>
      <c r="I6" s="5">
        <v>2.0</v>
      </c>
      <c r="J6" s="5" t="s">
        <v>199</v>
      </c>
      <c r="K6" s="5">
        <v>7.0</v>
      </c>
      <c r="L6" s="5">
        <v>3.0</v>
      </c>
      <c r="M6" s="5">
        <v>5.0</v>
      </c>
      <c r="N6" s="5">
        <v>3.0</v>
      </c>
      <c r="O6" s="5">
        <v>1.0</v>
      </c>
      <c r="P6" s="5">
        <v>5.0</v>
      </c>
      <c r="Q6" s="5">
        <v>6.0</v>
      </c>
      <c r="R6" s="5">
        <v>6.0</v>
      </c>
      <c r="S6" s="5">
        <v>1.0</v>
      </c>
      <c r="T6" s="5">
        <v>4.0</v>
      </c>
      <c r="U6" s="5">
        <v>7.0</v>
      </c>
      <c r="V6" s="5">
        <v>7.0</v>
      </c>
      <c r="W6" s="5">
        <f t="shared" si="1"/>
        <v>1</v>
      </c>
      <c r="X6" s="5" t="s">
        <v>245</v>
      </c>
      <c r="Y6" s="5" t="s">
        <v>206</v>
      </c>
      <c r="Z6" s="5">
        <v>5.0</v>
      </c>
      <c r="AA6" s="5">
        <v>6.0</v>
      </c>
      <c r="AB6" s="5">
        <v>6.0</v>
      </c>
      <c r="AC6" s="5">
        <v>5.0</v>
      </c>
      <c r="AD6" s="5">
        <v>5.0</v>
      </c>
      <c r="AE6" s="5">
        <v>4.0</v>
      </c>
      <c r="AF6" s="5" t="s">
        <v>246</v>
      </c>
      <c r="AG6" s="5" t="s">
        <v>206</v>
      </c>
      <c r="AH6" s="5">
        <v>5.0</v>
      </c>
      <c r="AI6" s="5">
        <v>3.0</v>
      </c>
      <c r="AJ6" s="5">
        <v>6.0</v>
      </c>
      <c r="AK6" s="5">
        <v>2.0</v>
      </c>
      <c r="AL6" s="5">
        <f t="shared" si="2"/>
        <v>6</v>
      </c>
      <c r="AM6" s="5">
        <v>1.0</v>
      </c>
      <c r="AN6" s="5">
        <f t="shared" si="3"/>
        <v>7</v>
      </c>
      <c r="AO6" s="5">
        <v>5.0</v>
      </c>
      <c r="AP6" s="5">
        <f t="shared" si="4"/>
        <v>3</v>
      </c>
      <c r="AQ6" s="5">
        <v>5.0</v>
      </c>
      <c r="AR6" s="5">
        <f t="shared" si="5"/>
        <v>3</v>
      </c>
      <c r="AS6" s="5" t="s">
        <v>247</v>
      </c>
    </row>
    <row r="7">
      <c r="A7" s="8">
        <f>IFERROR(__xludf.DUMMYFUNCTION("IF(E7="""", """", VALUE(REGEXREPLACE(E7, ""^[Pp]"", """")))"),3.0)</f>
        <v>3</v>
      </c>
      <c r="B7" s="8">
        <v>1106.0</v>
      </c>
      <c r="C7" s="7">
        <v>45866.32777777778</v>
      </c>
      <c r="D7" s="5" t="s">
        <v>248</v>
      </c>
      <c r="E7" s="5" t="s">
        <v>244</v>
      </c>
      <c r="F7" s="5" t="s">
        <v>211</v>
      </c>
      <c r="G7" s="6">
        <v>2.0</v>
      </c>
      <c r="H7" s="5">
        <v>3.0</v>
      </c>
      <c r="I7" s="5">
        <v>1.0</v>
      </c>
      <c r="J7" s="5" t="s">
        <v>199</v>
      </c>
      <c r="K7" s="5">
        <v>5.0</v>
      </c>
      <c r="L7" s="5">
        <v>2.0</v>
      </c>
      <c r="M7" s="5">
        <v>1.0</v>
      </c>
      <c r="N7" s="5">
        <v>3.0</v>
      </c>
      <c r="O7" s="5">
        <v>1.0</v>
      </c>
      <c r="P7" s="5">
        <v>5.0</v>
      </c>
      <c r="Q7" s="5">
        <v>6.0</v>
      </c>
      <c r="R7" s="5">
        <v>2.0</v>
      </c>
      <c r="S7" s="5">
        <v>1.0</v>
      </c>
      <c r="T7" s="5">
        <v>2.0</v>
      </c>
      <c r="U7" s="5">
        <v>5.0</v>
      </c>
      <c r="V7" s="5">
        <v>7.0</v>
      </c>
      <c r="W7" s="5">
        <f t="shared" si="1"/>
        <v>1</v>
      </c>
      <c r="X7" s="5" t="s">
        <v>249</v>
      </c>
      <c r="Y7" s="5" t="s">
        <v>206</v>
      </c>
      <c r="Z7" s="5">
        <v>6.0</v>
      </c>
      <c r="AA7" s="5">
        <v>6.0</v>
      </c>
      <c r="AB7" s="5">
        <v>6.0</v>
      </c>
      <c r="AC7" s="5">
        <v>5.0</v>
      </c>
      <c r="AD7" s="5">
        <v>3.0</v>
      </c>
      <c r="AE7" s="5">
        <v>4.0</v>
      </c>
      <c r="AF7" s="5" t="s">
        <v>250</v>
      </c>
      <c r="AG7" s="5" t="s">
        <v>206</v>
      </c>
      <c r="AH7" s="5">
        <v>6.0</v>
      </c>
      <c r="AI7" s="5">
        <v>6.0</v>
      </c>
      <c r="AJ7" s="5">
        <v>2.0</v>
      </c>
      <c r="AK7" s="5">
        <v>1.0</v>
      </c>
      <c r="AL7" s="5">
        <f t="shared" si="2"/>
        <v>7</v>
      </c>
      <c r="AM7" s="5">
        <v>1.0</v>
      </c>
      <c r="AN7" s="5">
        <f t="shared" si="3"/>
        <v>7</v>
      </c>
      <c r="AO7" s="5">
        <v>1.0</v>
      </c>
      <c r="AP7" s="5">
        <f t="shared" si="4"/>
        <v>7</v>
      </c>
      <c r="AQ7" s="5">
        <v>1.0</v>
      </c>
      <c r="AR7" s="5">
        <f t="shared" si="5"/>
        <v>7</v>
      </c>
      <c r="AS7" s="5" t="s">
        <v>251</v>
      </c>
    </row>
    <row r="8">
      <c r="A8" s="8">
        <f>IFERROR(__xludf.DUMMYFUNCTION("IF(E8="""", """", VALUE(REGEXREPLACE(E8, ""^[Pp]"", """")))"),3.0)</f>
        <v>3</v>
      </c>
      <c r="B8" s="8">
        <v>794.0</v>
      </c>
      <c r="C8" s="7">
        <v>45869.0625</v>
      </c>
      <c r="D8" s="5" t="s">
        <v>552</v>
      </c>
      <c r="E8" s="5" t="s">
        <v>244</v>
      </c>
      <c r="F8" s="5" t="s">
        <v>197</v>
      </c>
      <c r="G8" s="6">
        <v>3.0</v>
      </c>
      <c r="H8" s="5">
        <v>5.0</v>
      </c>
      <c r="I8" s="5">
        <v>2.0</v>
      </c>
      <c r="J8" s="5" t="s">
        <v>199</v>
      </c>
      <c r="K8" s="5">
        <v>6.0</v>
      </c>
      <c r="L8" s="5">
        <v>1.0</v>
      </c>
      <c r="M8" s="5">
        <v>7.0</v>
      </c>
      <c r="N8" s="5">
        <v>1.0</v>
      </c>
      <c r="O8" s="5">
        <v>2.0</v>
      </c>
      <c r="P8" s="5">
        <v>5.0</v>
      </c>
      <c r="Q8" s="5">
        <v>5.0</v>
      </c>
      <c r="R8" s="5">
        <v>2.0</v>
      </c>
      <c r="S8" s="5">
        <v>1.0</v>
      </c>
      <c r="T8" s="5">
        <v>5.0</v>
      </c>
      <c r="U8" s="5">
        <v>4.0</v>
      </c>
      <c r="V8" s="5">
        <v>7.0</v>
      </c>
      <c r="W8" s="5">
        <f t="shared" si="1"/>
        <v>1</v>
      </c>
      <c r="X8" s="5" t="s">
        <v>553</v>
      </c>
      <c r="Y8" s="5" t="s">
        <v>206</v>
      </c>
      <c r="Z8" s="5">
        <v>6.0</v>
      </c>
      <c r="AA8" s="5">
        <v>6.0</v>
      </c>
      <c r="AB8" s="5">
        <v>7.0</v>
      </c>
      <c r="AC8" s="5">
        <v>7.0</v>
      </c>
      <c r="AD8" s="5">
        <v>5.0</v>
      </c>
      <c r="AE8" s="5">
        <v>6.0</v>
      </c>
      <c r="AF8" s="5" t="s">
        <v>554</v>
      </c>
      <c r="AG8" s="5" t="s">
        <v>206</v>
      </c>
      <c r="AH8" s="5">
        <v>7.0</v>
      </c>
      <c r="AI8" s="5">
        <v>6.0</v>
      </c>
      <c r="AJ8" s="5">
        <v>7.0</v>
      </c>
      <c r="AK8" s="5">
        <v>1.0</v>
      </c>
      <c r="AL8" s="5">
        <f t="shared" si="2"/>
        <v>7</v>
      </c>
      <c r="AM8" s="5">
        <v>1.0</v>
      </c>
      <c r="AN8" s="5">
        <f t="shared" si="3"/>
        <v>7</v>
      </c>
      <c r="AO8" s="5">
        <v>5.0</v>
      </c>
      <c r="AP8" s="5">
        <f t="shared" si="4"/>
        <v>3</v>
      </c>
      <c r="AQ8" s="5">
        <v>1.0</v>
      </c>
      <c r="AR8" s="5">
        <f t="shared" si="5"/>
        <v>7</v>
      </c>
      <c r="AS8" s="5" t="s">
        <v>555</v>
      </c>
    </row>
    <row r="9">
      <c r="A9" s="8">
        <f>IFERROR(__xludf.DUMMYFUNCTION("IF(E9="""", """", VALUE(REGEXREPLACE(E9, ""^[Pp]"", """")))"),3.0)</f>
        <v>3</v>
      </c>
      <c r="B9" s="8">
        <v>1145.0</v>
      </c>
      <c r="C9" s="7">
        <v>45869.07986111111</v>
      </c>
      <c r="D9" s="5" t="s">
        <v>564</v>
      </c>
      <c r="E9" s="5" t="s">
        <v>244</v>
      </c>
      <c r="F9" s="5" t="s">
        <v>211</v>
      </c>
      <c r="G9" s="6">
        <v>4.0</v>
      </c>
      <c r="H9" s="5">
        <v>4.0</v>
      </c>
      <c r="I9" s="5">
        <v>2.0</v>
      </c>
      <c r="J9" s="5" t="s">
        <v>199</v>
      </c>
      <c r="K9" s="5">
        <v>6.0</v>
      </c>
      <c r="L9" s="5">
        <v>2.0</v>
      </c>
      <c r="M9" s="5">
        <v>2.0</v>
      </c>
      <c r="N9" s="5">
        <v>2.0</v>
      </c>
      <c r="O9" s="5">
        <v>1.0</v>
      </c>
      <c r="P9" s="5">
        <v>2.0</v>
      </c>
      <c r="Q9" s="5">
        <v>2.0</v>
      </c>
      <c r="R9" s="5">
        <v>3.0</v>
      </c>
      <c r="S9" s="5">
        <v>1.0</v>
      </c>
      <c r="T9" s="5">
        <v>2.0</v>
      </c>
      <c r="U9" s="5">
        <v>2.0</v>
      </c>
      <c r="V9" s="5">
        <v>7.0</v>
      </c>
      <c r="W9" s="5">
        <f t="shared" si="1"/>
        <v>1</v>
      </c>
      <c r="X9" s="5" t="s">
        <v>565</v>
      </c>
      <c r="Y9" s="5" t="s">
        <v>206</v>
      </c>
      <c r="Z9" s="5">
        <v>5.0</v>
      </c>
      <c r="AA9" s="5">
        <v>2.0</v>
      </c>
      <c r="AB9" s="5">
        <v>2.0</v>
      </c>
      <c r="AC9" s="5">
        <v>2.0</v>
      </c>
      <c r="AD9" s="5">
        <v>2.0</v>
      </c>
      <c r="AE9" s="5">
        <v>4.0</v>
      </c>
      <c r="AF9" s="5" t="s">
        <v>566</v>
      </c>
      <c r="AG9" s="5" t="s">
        <v>206</v>
      </c>
      <c r="AH9" s="5">
        <v>6.0</v>
      </c>
      <c r="AI9" s="5">
        <v>6.0</v>
      </c>
      <c r="AJ9" s="5">
        <v>1.0</v>
      </c>
      <c r="AK9" s="5">
        <v>1.0</v>
      </c>
      <c r="AL9" s="5">
        <f t="shared" si="2"/>
        <v>7</v>
      </c>
      <c r="AM9" s="5">
        <v>1.0</v>
      </c>
      <c r="AN9" s="5">
        <f t="shared" si="3"/>
        <v>7</v>
      </c>
      <c r="AO9" s="5">
        <v>1.0</v>
      </c>
      <c r="AP9" s="5">
        <f t="shared" si="4"/>
        <v>7</v>
      </c>
      <c r="AQ9" s="5">
        <v>1.0</v>
      </c>
      <c r="AR9" s="5">
        <f t="shared" si="5"/>
        <v>7</v>
      </c>
      <c r="AS9" s="5" t="s">
        <v>567</v>
      </c>
    </row>
    <row r="10">
      <c r="A10" s="8">
        <f>IFERROR(__xludf.DUMMYFUNCTION("IF(E10="""", """", VALUE(REGEXREPLACE(E10, ""^[Pp]"", """")))"),4.0)</f>
        <v>4</v>
      </c>
      <c r="B10" s="8">
        <v>1957.0</v>
      </c>
      <c r="C10" s="7">
        <v>45866.3125</v>
      </c>
      <c r="D10" s="5" t="s">
        <v>238</v>
      </c>
      <c r="E10" s="5" t="s">
        <v>239</v>
      </c>
      <c r="F10" s="5" t="s">
        <v>216</v>
      </c>
      <c r="G10" s="6">
        <v>1.0</v>
      </c>
      <c r="H10" s="5">
        <v>6.0</v>
      </c>
      <c r="I10" s="6">
        <v>5.0</v>
      </c>
      <c r="J10" s="5" t="s">
        <v>199</v>
      </c>
      <c r="K10" s="5">
        <v>7.0</v>
      </c>
      <c r="L10" s="5">
        <v>5.0</v>
      </c>
      <c r="M10" s="5">
        <v>7.0</v>
      </c>
      <c r="N10" s="5">
        <v>3.0</v>
      </c>
      <c r="O10" s="5">
        <v>3.0</v>
      </c>
      <c r="P10" s="5">
        <v>5.0</v>
      </c>
      <c r="Q10" s="5">
        <v>5.0</v>
      </c>
      <c r="R10" s="5">
        <v>7.0</v>
      </c>
      <c r="S10" s="5">
        <v>3.0</v>
      </c>
      <c r="T10" s="5">
        <v>7.0</v>
      </c>
      <c r="U10" s="5">
        <v>6.0</v>
      </c>
      <c r="V10" s="5">
        <v>3.0</v>
      </c>
      <c r="W10" s="5">
        <f t="shared" si="1"/>
        <v>5</v>
      </c>
      <c r="X10" s="5" t="s">
        <v>240</v>
      </c>
      <c r="Y10" s="5" t="s">
        <v>206</v>
      </c>
      <c r="Z10" s="5">
        <v>5.0</v>
      </c>
      <c r="AA10" s="5">
        <v>7.0</v>
      </c>
      <c r="AB10" s="5">
        <v>7.0</v>
      </c>
      <c r="AC10" s="5">
        <v>5.0</v>
      </c>
      <c r="AD10" s="5">
        <v>7.0</v>
      </c>
      <c r="AE10" s="5">
        <v>7.0</v>
      </c>
      <c r="AF10" s="5" t="s">
        <v>241</v>
      </c>
      <c r="AG10" s="5" t="s">
        <v>206</v>
      </c>
      <c r="AH10" s="5">
        <v>6.0</v>
      </c>
      <c r="AI10" s="5">
        <v>7.0</v>
      </c>
      <c r="AJ10" s="5">
        <v>7.0</v>
      </c>
      <c r="AK10" s="5">
        <v>1.0</v>
      </c>
      <c r="AL10" s="5">
        <f t="shared" si="2"/>
        <v>7</v>
      </c>
      <c r="AM10" s="5">
        <v>1.0</v>
      </c>
      <c r="AN10" s="5">
        <f t="shared" si="3"/>
        <v>7</v>
      </c>
      <c r="AO10" s="5">
        <v>1.0</v>
      </c>
      <c r="AP10" s="5">
        <f t="shared" si="4"/>
        <v>7</v>
      </c>
      <c r="AQ10" s="5">
        <v>1.0</v>
      </c>
      <c r="AR10" s="5">
        <f t="shared" si="5"/>
        <v>7</v>
      </c>
      <c r="AS10" s="5" t="s">
        <v>242</v>
      </c>
    </row>
    <row r="11">
      <c r="A11" s="8">
        <f>IFERROR(__xludf.DUMMYFUNCTION("IF(E11="""", """", VALUE(REGEXREPLACE(E11, ""^[Pp]"", """")))"),4.0)</f>
        <v>4</v>
      </c>
      <c r="B11" s="8">
        <v>1376.0</v>
      </c>
      <c r="C11" s="7">
        <v>45866.32847222222</v>
      </c>
      <c r="D11" s="5" t="s">
        <v>252</v>
      </c>
      <c r="E11" s="5" t="s">
        <v>239</v>
      </c>
      <c r="F11" s="5" t="s">
        <v>211</v>
      </c>
      <c r="G11" s="6">
        <v>2.0</v>
      </c>
      <c r="H11" s="5">
        <v>7.0</v>
      </c>
      <c r="I11" s="5">
        <v>7.0</v>
      </c>
      <c r="J11" s="5" t="s">
        <v>199</v>
      </c>
      <c r="K11" s="5">
        <v>5.0</v>
      </c>
      <c r="L11" s="5">
        <v>5.0</v>
      </c>
      <c r="M11" s="5">
        <v>7.0</v>
      </c>
      <c r="N11" s="5">
        <v>4.0</v>
      </c>
      <c r="O11" s="5">
        <v>4.0</v>
      </c>
      <c r="P11" s="5">
        <v>7.0</v>
      </c>
      <c r="Q11" s="5">
        <v>7.0</v>
      </c>
      <c r="R11" s="5">
        <v>7.0</v>
      </c>
      <c r="S11" s="5">
        <v>4.0</v>
      </c>
      <c r="T11" s="5">
        <v>6.0</v>
      </c>
      <c r="U11" s="5">
        <v>7.0</v>
      </c>
      <c r="V11" s="5">
        <v>4.0</v>
      </c>
      <c r="W11" s="5">
        <f t="shared" si="1"/>
        <v>4</v>
      </c>
      <c r="X11" s="5" t="s">
        <v>253</v>
      </c>
      <c r="Y11" s="5" t="s">
        <v>206</v>
      </c>
      <c r="Z11" s="5">
        <v>5.0</v>
      </c>
      <c r="AA11" s="5">
        <v>7.0</v>
      </c>
      <c r="AB11" s="5">
        <v>6.0</v>
      </c>
      <c r="AC11" s="5">
        <v>6.0</v>
      </c>
      <c r="AD11" s="5">
        <v>6.0</v>
      </c>
      <c r="AE11" s="5">
        <v>6.0</v>
      </c>
      <c r="AF11" s="5" t="s">
        <v>254</v>
      </c>
      <c r="AG11" s="5" t="s">
        <v>206</v>
      </c>
      <c r="AH11" s="5">
        <v>5.0</v>
      </c>
      <c r="AI11" s="5">
        <v>5.0</v>
      </c>
      <c r="AJ11" s="5">
        <v>7.0</v>
      </c>
      <c r="AK11" s="5">
        <v>5.0</v>
      </c>
      <c r="AL11" s="5">
        <f t="shared" si="2"/>
        <v>3</v>
      </c>
      <c r="AM11" s="5">
        <v>1.0</v>
      </c>
      <c r="AN11" s="5">
        <f t="shared" si="3"/>
        <v>7</v>
      </c>
      <c r="AO11" s="5">
        <v>5.0</v>
      </c>
      <c r="AP11" s="5">
        <f t="shared" si="4"/>
        <v>3</v>
      </c>
      <c r="AQ11" s="5">
        <v>5.0</v>
      </c>
      <c r="AR11" s="5">
        <f t="shared" si="5"/>
        <v>3</v>
      </c>
      <c r="AS11" s="5" t="s">
        <v>255</v>
      </c>
    </row>
    <row r="12">
      <c r="A12" s="8">
        <f>IFERROR(__xludf.DUMMYFUNCTION("IF(E12="""", """", VALUE(REGEXREPLACE(E12, ""^[Pp]"", """")))"),4.0)</f>
        <v>4</v>
      </c>
      <c r="B12" s="8">
        <v>859.0</v>
      </c>
      <c r="C12" s="7">
        <v>45867.027083333334</v>
      </c>
      <c r="D12" s="5" t="s">
        <v>262</v>
      </c>
      <c r="E12" s="5" t="s">
        <v>239</v>
      </c>
      <c r="F12" s="5" t="s">
        <v>263</v>
      </c>
      <c r="G12" s="6">
        <v>3.0</v>
      </c>
      <c r="H12" s="5">
        <v>6.0</v>
      </c>
      <c r="I12" s="5">
        <v>5.0</v>
      </c>
      <c r="J12" s="5" t="s">
        <v>199</v>
      </c>
      <c r="K12" s="5">
        <v>4.0</v>
      </c>
      <c r="L12" s="5">
        <v>5.0</v>
      </c>
      <c r="M12" s="5">
        <v>7.0</v>
      </c>
      <c r="N12" s="5">
        <v>3.0</v>
      </c>
      <c r="O12" s="5">
        <v>4.0</v>
      </c>
      <c r="P12" s="5">
        <v>6.0</v>
      </c>
      <c r="Q12" s="5">
        <v>7.0</v>
      </c>
      <c r="R12" s="5">
        <v>7.0</v>
      </c>
      <c r="S12" s="5">
        <v>5.0</v>
      </c>
      <c r="T12" s="5">
        <v>7.0</v>
      </c>
      <c r="U12" s="5">
        <v>7.0</v>
      </c>
      <c r="V12" s="5">
        <v>4.0</v>
      </c>
      <c r="W12" s="5">
        <f t="shared" si="1"/>
        <v>4</v>
      </c>
      <c r="X12" s="5" t="s">
        <v>264</v>
      </c>
      <c r="Y12" s="5" t="s">
        <v>206</v>
      </c>
      <c r="Z12" s="5">
        <v>5.0</v>
      </c>
      <c r="AA12" s="5">
        <v>6.0</v>
      </c>
      <c r="AB12" s="5">
        <v>5.0</v>
      </c>
      <c r="AC12" s="5">
        <v>6.0</v>
      </c>
      <c r="AD12" s="5">
        <v>6.0</v>
      </c>
      <c r="AE12" s="5">
        <v>7.0</v>
      </c>
      <c r="AF12" s="5" t="s">
        <v>265</v>
      </c>
      <c r="AG12" s="5" t="s">
        <v>206</v>
      </c>
      <c r="AH12" s="5">
        <v>6.0</v>
      </c>
      <c r="AI12" s="5">
        <v>7.0</v>
      </c>
      <c r="AJ12" s="5">
        <v>7.0</v>
      </c>
      <c r="AK12" s="5">
        <v>2.0</v>
      </c>
      <c r="AL12" s="5">
        <f t="shared" si="2"/>
        <v>6</v>
      </c>
      <c r="AM12" s="5">
        <v>1.0</v>
      </c>
      <c r="AN12" s="5">
        <f t="shared" si="3"/>
        <v>7</v>
      </c>
      <c r="AO12" s="5">
        <v>1.0</v>
      </c>
      <c r="AP12" s="5">
        <f t="shared" si="4"/>
        <v>7</v>
      </c>
      <c r="AQ12" s="5">
        <v>1.0</v>
      </c>
      <c r="AR12" s="5">
        <f t="shared" si="5"/>
        <v>7</v>
      </c>
      <c r="AS12" s="5" t="s">
        <v>266</v>
      </c>
    </row>
    <row r="13">
      <c r="A13" s="8">
        <f>IFERROR(__xludf.DUMMYFUNCTION("IF(E13="""", """", VALUE(REGEXREPLACE(E13, ""^[Pp]"", """")))"),4.0)</f>
        <v>4</v>
      </c>
      <c r="B13" s="8">
        <v>821.0</v>
      </c>
      <c r="C13" s="7">
        <v>45867.04583333333</v>
      </c>
      <c r="D13" s="5" t="s">
        <v>267</v>
      </c>
      <c r="E13" s="5" t="s">
        <v>239</v>
      </c>
      <c r="F13" s="5" t="s">
        <v>211</v>
      </c>
      <c r="G13" s="6">
        <v>4.0</v>
      </c>
      <c r="H13" s="5">
        <v>6.0</v>
      </c>
      <c r="I13" s="5">
        <v>3.0</v>
      </c>
      <c r="J13" s="5" t="s">
        <v>199</v>
      </c>
      <c r="K13" s="5">
        <v>6.0</v>
      </c>
      <c r="L13" s="5">
        <v>7.0</v>
      </c>
      <c r="M13" s="5">
        <v>6.0</v>
      </c>
      <c r="N13" s="5">
        <v>4.0</v>
      </c>
      <c r="O13" s="5">
        <v>3.0</v>
      </c>
      <c r="P13" s="5">
        <v>7.0</v>
      </c>
      <c r="Q13" s="5">
        <v>6.0</v>
      </c>
      <c r="R13" s="5">
        <v>3.0</v>
      </c>
      <c r="S13" s="5">
        <v>4.0</v>
      </c>
      <c r="T13" s="5">
        <v>7.0</v>
      </c>
      <c r="U13" s="5">
        <v>6.0</v>
      </c>
      <c r="V13" s="5">
        <v>4.0</v>
      </c>
      <c r="W13" s="5">
        <f t="shared" si="1"/>
        <v>4</v>
      </c>
      <c r="X13" s="5" t="s">
        <v>268</v>
      </c>
      <c r="Y13" s="5" t="s">
        <v>206</v>
      </c>
      <c r="Z13" s="5">
        <v>4.0</v>
      </c>
      <c r="AA13" s="5">
        <v>5.0</v>
      </c>
      <c r="AB13" s="5">
        <v>4.0</v>
      </c>
      <c r="AC13" s="5">
        <v>3.0</v>
      </c>
      <c r="AD13" s="5">
        <v>4.0</v>
      </c>
      <c r="AE13" s="5">
        <v>3.0</v>
      </c>
      <c r="AF13" s="5" t="s">
        <v>269</v>
      </c>
      <c r="AG13" s="5" t="s">
        <v>206</v>
      </c>
      <c r="AH13" s="5">
        <v>4.0</v>
      </c>
      <c r="AI13" s="5">
        <v>3.0</v>
      </c>
      <c r="AJ13" s="5">
        <v>5.0</v>
      </c>
      <c r="AK13" s="5">
        <v>2.0</v>
      </c>
      <c r="AL13" s="5">
        <f t="shared" si="2"/>
        <v>6</v>
      </c>
      <c r="AM13" s="5">
        <v>2.0</v>
      </c>
      <c r="AN13" s="5">
        <f t="shared" si="3"/>
        <v>6</v>
      </c>
      <c r="AO13" s="5">
        <v>6.0</v>
      </c>
      <c r="AP13" s="5">
        <f t="shared" si="4"/>
        <v>2</v>
      </c>
      <c r="AQ13" s="5">
        <v>2.0</v>
      </c>
      <c r="AR13" s="5">
        <f t="shared" si="5"/>
        <v>6</v>
      </c>
      <c r="AS13" s="5" t="s">
        <v>270</v>
      </c>
    </row>
    <row r="14">
      <c r="A14" s="8">
        <f>IFERROR(__xludf.DUMMYFUNCTION("IF(E14="""", """", VALUE(REGEXREPLACE(E14, ""^[Pp]"", """")))"),5.0)</f>
        <v>5</v>
      </c>
      <c r="B14" s="8">
        <v>1118.0</v>
      </c>
      <c r="C14" s="7">
        <v>45869.02847222222</v>
      </c>
      <c r="D14" s="5" t="s">
        <v>535</v>
      </c>
      <c r="E14" s="5" t="s">
        <v>536</v>
      </c>
      <c r="F14" s="5" t="s">
        <v>197</v>
      </c>
      <c r="G14" s="6">
        <v>1.0</v>
      </c>
      <c r="H14" s="5">
        <v>5.0</v>
      </c>
      <c r="I14" s="5">
        <v>3.0</v>
      </c>
      <c r="J14" s="5" t="s">
        <v>199</v>
      </c>
      <c r="K14" s="5">
        <v>7.0</v>
      </c>
      <c r="L14" s="5">
        <v>7.0</v>
      </c>
      <c r="M14" s="5">
        <v>5.0</v>
      </c>
      <c r="N14" s="5">
        <v>5.0</v>
      </c>
      <c r="O14" s="5">
        <v>6.0</v>
      </c>
      <c r="P14" s="5">
        <v>6.0</v>
      </c>
      <c r="Q14" s="5">
        <v>7.0</v>
      </c>
      <c r="R14" s="5">
        <v>7.0</v>
      </c>
      <c r="S14" s="5">
        <v>6.0</v>
      </c>
      <c r="T14" s="5">
        <v>2.0</v>
      </c>
      <c r="U14" s="5">
        <v>7.0</v>
      </c>
      <c r="V14" s="5">
        <v>6.0</v>
      </c>
      <c r="W14" s="5">
        <f t="shared" si="1"/>
        <v>2</v>
      </c>
      <c r="X14" s="5" t="s">
        <v>537</v>
      </c>
      <c r="Y14" s="5" t="s">
        <v>206</v>
      </c>
      <c r="Z14" s="5">
        <v>4.0</v>
      </c>
      <c r="AA14" s="5">
        <v>7.0</v>
      </c>
      <c r="AB14" s="5">
        <v>7.0</v>
      </c>
      <c r="AC14" s="5">
        <v>3.0</v>
      </c>
      <c r="AD14" s="5">
        <v>5.0</v>
      </c>
      <c r="AE14" s="5">
        <v>4.0</v>
      </c>
      <c r="AF14" s="5" t="s">
        <v>538</v>
      </c>
      <c r="AH14" s="5">
        <v>7.0</v>
      </c>
      <c r="AI14" s="5">
        <v>7.0</v>
      </c>
      <c r="AJ14" s="5">
        <v>7.0</v>
      </c>
      <c r="AK14" s="5">
        <v>1.0</v>
      </c>
      <c r="AL14" s="5">
        <f t="shared" si="2"/>
        <v>7</v>
      </c>
      <c r="AM14" s="5">
        <v>1.0</v>
      </c>
      <c r="AN14" s="5">
        <f t="shared" si="3"/>
        <v>7</v>
      </c>
      <c r="AO14" s="5">
        <v>1.0</v>
      </c>
      <c r="AP14" s="5">
        <f t="shared" si="4"/>
        <v>7</v>
      </c>
      <c r="AQ14" s="5">
        <v>1.0</v>
      </c>
      <c r="AR14" s="5">
        <f t="shared" si="5"/>
        <v>7</v>
      </c>
      <c r="AS14" s="11" t="s">
        <v>539</v>
      </c>
    </row>
    <row r="15">
      <c r="A15" s="8">
        <f>IFERROR(__xludf.DUMMYFUNCTION("IF(E15="""", """", VALUE(REGEXREPLACE(E15, ""^[Pp]"", """")))"),5.0)</f>
        <v>5</v>
      </c>
      <c r="B15" s="8">
        <v>1473.0</v>
      </c>
      <c r="C15" s="7">
        <v>45869.04722222222</v>
      </c>
      <c r="D15" s="5" t="s">
        <v>544</v>
      </c>
      <c r="E15" s="5" t="s">
        <v>536</v>
      </c>
      <c r="F15" s="5" t="s">
        <v>211</v>
      </c>
      <c r="G15" s="6">
        <v>2.0</v>
      </c>
      <c r="H15" s="5">
        <v>5.0</v>
      </c>
      <c r="I15" s="5">
        <v>5.0</v>
      </c>
      <c r="J15" s="5" t="s">
        <v>199</v>
      </c>
      <c r="K15" s="5">
        <v>7.0</v>
      </c>
      <c r="L15" s="5">
        <v>7.0</v>
      </c>
      <c r="M15" s="5">
        <v>5.0</v>
      </c>
      <c r="N15" s="5">
        <v>5.0</v>
      </c>
      <c r="O15" s="5">
        <v>6.0</v>
      </c>
      <c r="P15" s="5">
        <v>6.0</v>
      </c>
      <c r="Q15" s="5">
        <v>7.0</v>
      </c>
      <c r="R15" s="5">
        <v>7.0</v>
      </c>
      <c r="S15" s="5">
        <v>6.0</v>
      </c>
      <c r="T15" s="5">
        <v>2.0</v>
      </c>
      <c r="U15" s="5">
        <v>6.0</v>
      </c>
      <c r="V15" s="5">
        <v>4.0</v>
      </c>
      <c r="W15" s="5">
        <f t="shared" si="1"/>
        <v>4</v>
      </c>
      <c r="X15" s="5" t="s">
        <v>545</v>
      </c>
      <c r="Y15" s="5" t="s">
        <v>206</v>
      </c>
      <c r="Z15" s="5">
        <v>4.0</v>
      </c>
      <c r="AA15" s="5">
        <v>3.0</v>
      </c>
      <c r="AB15" s="5">
        <v>6.0</v>
      </c>
      <c r="AC15" s="5">
        <v>6.0</v>
      </c>
      <c r="AD15" s="5">
        <v>5.0</v>
      </c>
      <c r="AE15" s="5">
        <v>4.0</v>
      </c>
      <c r="AF15" s="5" t="s">
        <v>546</v>
      </c>
      <c r="AG15" s="5" t="s">
        <v>206</v>
      </c>
      <c r="AH15" s="5">
        <v>6.0</v>
      </c>
      <c r="AI15" s="5">
        <v>7.0</v>
      </c>
      <c r="AJ15" s="5">
        <v>7.0</v>
      </c>
      <c r="AK15" s="5">
        <v>1.0</v>
      </c>
      <c r="AL15" s="5">
        <f t="shared" si="2"/>
        <v>7</v>
      </c>
      <c r="AM15" s="5">
        <v>1.0</v>
      </c>
      <c r="AN15" s="5">
        <f t="shared" si="3"/>
        <v>7</v>
      </c>
      <c r="AO15" s="5">
        <v>1.0</v>
      </c>
      <c r="AP15" s="5">
        <f t="shared" si="4"/>
        <v>7</v>
      </c>
      <c r="AQ15" s="5">
        <v>1.0</v>
      </c>
      <c r="AR15" s="5">
        <f t="shared" si="5"/>
        <v>7</v>
      </c>
      <c r="AS15" s="5" t="s">
        <v>547</v>
      </c>
    </row>
    <row r="16">
      <c r="A16" s="8">
        <f>IFERROR(__xludf.DUMMYFUNCTION("IF(E16="""", """", VALUE(REGEXREPLACE(E16, ""^[Pp]"", """")))"),5.0)</f>
        <v>5</v>
      </c>
      <c r="B16" s="8">
        <v>1077.0</v>
      </c>
      <c r="C16" s="7">
        <v>45869.06875</v>
      </c>
      <c r="D16" s="5" t="s">
        <v>560</v>
      </c>
      <c r="E16" s="5" t="s">
        <v>536</v>
      </c>
      <c r="F16" s="5" t="s">
        <v>216</v>
      </c>
      <c r="G16" s="6">
        <v>3.0</v>
      </c>
      <c r="H16" s="5">
        <v>5.0</v>
      </c>
      <c r="I16" s="5">
        <v>5.0</v>
      </c>
      <c r="J16" s="5" t="s">
        <v>199</v>
      </c>
      <c r="K16" s="5">
        <v>7.0</v>
      </c>
      <c r="L16" s="5">
        <v>7.0</v>
      </c>
      <c r="M16" s="5">
        <v>5.0</v>
      </c>
      <c r="N16" s="5">
        <v>5.0</v>
      </c>
      <c r="O16" s="5">
        <v>6.0</v>
      </c>
      <c r="P16" s="5">
        <v>6.0</v>
      </c>
      <c r="Q16" s="5">
        <v>7.0</v>
      </c>
      <c r="R16" s="5">
        <v>7.0</v>
      </c>
      <c r="S16" s="5">
        <v>5.0</v>
      </c>
      <c r="T16" s="5">
        <v>3.0</v>
      </c>
      <c r="U16" s="5">
        <v>6.0</v>
      </c>
      <c r="V16" s="5">
        <v>3.0</v>
      </c>
      <c r="W16" s="5">
        <f t="shared" si="1"/>
        <v>5</v>
      </c>
      <c r="X16" s="5" t="s">
        <v>561</v>
      </c>
      <c r="Y16" s="5" t="s">
        <v>206</v>
      </c>
      <c r="Z16" s="5">
        <v>6.0</v>
      </c>
      <c r="AA16" s="5">
        <v>7.0</v>
      </c>
      <c r="AB16" s="5">
        <v>7.0</v>
      </c>
      <c r="AC16" s="5">
        <v>7.0</v>
      </c>
      <c r="AD16" s="5">
        <v>5.0</v>
      </c>
      <c r="AE16" s="5">
        <v>4.0</v>
      </c>
      <c r="AF16" s="5" t="s">
        <v>562</v>
      </c>
      <c r="AG16" s="5" t="s">
        <v>206</v>
      </c>
      <c r="AH16" s="5">
        <v>6.0</v>
      </c>
      <c r="AI16" s="5">
        <v>7.0</v>
      </c>
      <c r="AJ16" s="5">
        <v>7.0</v>
      </c>
      <c r="AK16" s="5">
        <v>1.0</v>
      </c>
      <c r="AL16" s="5">
        <f t="shared" si="2"/>
        <v>7</v>
      </c>
      <c r="AM16" s="5">
        <v>1.0</v>
      </c>
      <c r="AN16" s="5">
        <f t="shared" si="3"/>
        <v>7</v>
      </c>
      <c r="AO16" s="5">
        <v>1.0</v>
      </c>
      <c r="AP16" s="5">
        <f t="shared" si="4"/>
        <v>7</v>
      </c>
      <c r="AQ16" s="5">
        <v>1.0</v>
      </c>
      <c r="AR16" s="5">
        <f t="shared" si="5"/>
        <v>7</v>
      </c>
      <c r="AS16" s="5" t="s">
        <v>563</v>
      </c>
    </row>
    <row r="17">
      <c r="A17" s="8">
        <f>IFERROR(__xludf.DUMMYFUNCTION("IF(E17="""", """", VALUE(REGEXREPLACE(E17, ""^[Pp]"", """")))"),5.0)</f>
        <v>5</v>
      </c>
      <c r="B17" s="8">
        <v>1139.0</v>
      </c>
      <c r="C17" s="7">
        <v>45869.08611111111</v>
      </c>
      <c r="D17" s="5" t="s">
        <v>568</v>
      </c>
      <c r="E17" s="5" t="s">
        <v>536</v>
      </c>
      <c r="F17" s="5" t="s">
        <v>263</v>
      </c>
      <c r="G17" s="6">
        <v>4.0</v>
      </c>
      <c r="H17" s="5">
        <v>6.0</v>
      </c>
      <c r="I17" s="5">
        <v>3.0</v>
      </c>
      <c r="J17" s="5" t="s">
        <v>199</v>
      </c>
      <c r="K17" s="5">
        <v>7.0</v>
      </c>
      <c r="L17" s="5">
        <v>7.0</v>
      </c>
      <c r="M17" s="5">
        <v>6.0</v>
      </c>
      <c r="N17" s="5">
        <v>5.0</v>
      </c>
      <c r="O17" s="5">
        <v>6.0</v>
      </c>
      <c r="P17" s="5">
        <v>5.0</v>
      </c>
      <c r="Q17" s="5">
        <v>5.0</v>
      </c>
      <c r="R17" s="5">
        <v>7.0</v>
      </c>
      <c r="S17" s="5">
        <v>5.0</v>
      </c>
      <c r="T17" s="5">
        <v>3.0</v>
      </c>
      <c r="U17" s="5">
        <v>5.0</v>
      </c>
      <c r="V17" s="5">
        <v>4.0</v>
      </c>
      <c r="W17" s="5">
        <f t="shared" si="1"/>
        <v>4</v>
      </c>
      <c r="X17" s="5" t="s">
        <v>569</v>
      </c>
      <c r="Y17" s="5" t="s">
        <v>206</v>
      </c>
      <c r="Z17" s="5">
        <v>6.0</v>
      </c>
      <c r="AA17" s="5">
        <v>6.0</v>
      </c>
      <c r="AB17" s="5">
        <v>7.0</v>
      </c>
      <c r="AC17" s="5">
        <v>7.0</v>
      </c>
      <c r="AD17" s="5">
        <v>6.0</v>
      </c>
      <c r="AE17" s="5">
        <v>4.0</v>
      </c>
      <c r="AF17" s="5" t="s">
        <v>570</v>
      </c>
      <c r="AG17" s="5" t="s">
        <v>206</v>
      </c>
      <c r="AH17" s="5">
        <v>7.0</v>
      </c>
      <c r="AI17" s="5">
        <v>7.0</v>
      </c>
      <c r="AJ17" s="5">
        <v>7.0</v>
      </c>
      <c r="AK17" s="5">
        <v>1.0</v>
      </c>
      <c r="AL17" s="5">
        <f t="shared" si="2"/>
        <v>7</v>
      </c>
      <c r="AM17" s="5">
        <v>1.0</v>
      </c>
      <c r="AN17" s="5">
        <f t="shared" si="3"/>
        <v>7</v>
      </c>
      <c r="AO17" s="5">
        <v>1.0</v>
      </c>
      <c r="AP17" s="5">
        <f t="shared" si="4"/>
        <v>7</v>
      </c>
      <c r="AQ17" s="5">
        <v>1.0</v>
      </c>
      <c r="AR17" s="5">
        <f t="shared" si="5"/>
        <v>7</v>
      </c>
      <c r="AS17" s="5" t="s">
        <v>571</v>
      </c>
    </row>
    <row r="18">
      <c r="A18" s="8">
        <f>IFERROR(__xludf.DUMMYFUNCTION("IF(E18="""", """", VALUE(REGEXREPLACE(E18, ""^[Pp]"", """")))"),6.0)</f>
        <v>6</v>
      </c>
      <c r="B18" s="8">
        <v>1275.0</v>
      </c>
      <c r="C18" s="7">
        <v>45867.02638888889</v>
      </c>
      <c r="D18" s="5" t="s">
        <v>257</v>
      </c>
      <c r="E18" s="5" t="s">
        <v>258</v>
      </c>
      <c r="F18" s="5" t="s">
        <v>211</v>
      </c>
      <c r="G18" s="6">
        <v>1.0</v>
      </c>
      <c r="H18" s="5">
        <v>3.0</v>
      </c>
      <c r="I18" s="5">
        <v>3.0</v>
      </c>
      <c r="J18" s="5" t="s">
        <v>199</v>
      </c>
      <c r="K18" s="5">
        <v>6.0</v>
      </c>
      <c r="L18" s="5">
        <v>7.0</v>
      </c>
      <c r="M18" s="5">
        <v>4.0</v>
      </c>
      <c r="N18" s="5">
        <v>1.0</v>
      </c>
      <c r="O18" s="5">
        <v>2.0</v>
      </c>
      <c r="P18" s="5">
        <v>7.0</v>
      </c>
      <c r="Q18" s="5">
        <v>7.0</v>
      </c>
      <c r="R18" s="5">
        <v>6.0</v>
      </c>
      <c r="S18" s="5">
        <v>1.0</v>
      </c>
      <c r="T18" s="5">
        <v>4.0</v>
      </c>
      <c r="U18" s="5">
        <v>5.0</v>
      </c>
      <c r="V18" s="5">
        <v>7.0</v>
      </c>
      <c r="W18" s="5">
        <f t="shared" si="1"/>
        <v>1</v>
      </c>
      <c r="X18" s="5" t="s">
        <v>259</v>
      </c>
      <c r="Y18" s="5" t="s">
        <v>206</v>
      </c>
      <c r="Z18" s="5">
        <v>6.0</v>
      </c>
      <c r="AA18" s="5">
        <v>6.0</v>
      </c>
      <c r="AB18" s="5">
        <v>6.0</v>
      </c>
      <c r="AC18" s="5">
        <v>6.0</v>
      </c>
      <c r="AD18" s="5">
        <v>6.0</v>
      </c>
      <c r="AE18" s="5">
        <v>6.0</v>
      </c>
      <c r="AF18" s="5" t="s">
        <v>260</v>
      </c>
      <c r="AG18" s="5" t="s">
        <v>206</v>
      </c>
      <c r="AH18" s="5">
        <v>5.0</v>
      </c>
      <c r="AI18" s="5">
        <v>7.0</v>
      </c>
      <c r="AJ18" s="5">
        <v>7.0</v>
      </c>
      <c r="AK18" s="5">
        <v>1.0</v>
      </c>
      <c r="AL18" s="5">
        <f t="shared" si="2"/>
        <v>7</v>
      </c>
      <c r="AM18" s="5">
        <v>1.0</v>
      </c>
      <c r="AN18" s="5">
        <f t="shared" si="3"/>
        <v>7</v>
      </c>
      <c r="AO18" s="5">
        <v>1.0</v>
      </c>
      <c r="AP18" s="5">
        <f t="shared" si="4"/>
        <v>7</v>
      </c>
      <c r="AQ18" s="5">
        <v>1.0</v>
      </c>
      <c r="AR18" s="5">
        <f t="shared" si="5"/>
        <v>7</v>
      </c>
      <c r="AS18" s="5" t="s">
        <v>261</v>
      </c>
    </row>
    <row r="19">
      <c r="A19" s="8">
        <f>IFERROR(__xludf.DUMMYFUNCTION("IF(E19="""", """", VALUE(REGEXREPLACE(E19, ""^[Pp]"", """")))"),6.0)</f>
        <v>6</v>
      </c>
      <c r="B19" s="8">
        <v>741.0</v>
      </c>
      <c r="C19" s="7">
        <v>45867.06041666667</v>
      </c>
      <c r="D19" s="5" t="s">
        <v>271</v>
      </c>
      <c r="E19" s="5" t="s">
        <v>258</v>
      </c>
      <c r="F19" s="5" t="s">
        <v>197</v>
      </c>
      <c r="G19" s="6">
        <v>2.0</v>
      </c>
      <c r="H19" s="5">
        <v>6.0</v>
      </c>
      <c r="I19" s="5">
        <v>2.0</v>
      </c>
      <c r="J19" s="5" t="s">
        <v>199</v>
      </c>
      <c r="K19" s="5">
        <v>7.0</v>
      </c>
      <c r="L19" s="5">
        <v>7.0</v>
      </c>
      <c r="M19" s="5">
        <v>7.0</v>
      </c>
      <c r="N19" s="5">
        <v>1.0</v>
      </c>
      <c r="O19" s="5">
        <v>3.0</v>
      </c>
      <c r="P19" s="5">
        <v>7.0</v>
      </c>
      <c r="Q19" s="5">
        <v>7.0</v>
      </c>
      <c r="R19" s="5">
        <v>7.0</v>
      </c>
      <c r="S19" s="5">
        <v>1.0</v>
      </c>
      <c r="T19" s="5">
        <v>1.0</v>
      </c>
      <c r="U19" s="5">
        <v>7.0</v>
      </c>
      <c r="V19" s="5">
        <v>7.0</v>
      </c>
      <c r="W19" s="5">
        <f t="shared" si="1"/>
        <v>1</v>
      </c>
      <c r="X19" s="5" t="s">
        <v>272</v>
      </c>
      <c r="Y19" s="5" t="s">
        <v>206</v>
      </c>
      <c r="Z19" s="5">
        <v>6.0</v>
      </c>
      <c r="AA19" s="5">
        <v>7.0</v>
      </c>
      <c r="AB19" s="5">
        <v>6.0</v>
      </c>
      <c r="AC19" s="5">
        <v>6.0</v>
      </c>
      <c r="AD19" s="5">
        <v>7.0</v>
      </c>
      <c r="AE19" s="5">
        <v>7.0</v>
      </c>
      <c r="AF19" s="5" t="s">
        <v>273</v>
      </c>
      <c r="AG19" s="5" t="s">
        <v>206</v>
      </c>
      <c r="AH19" s="5">
        <v>7.0</v>
      </c>
      <c r="AI19" s="5">
        <v>6.0</v>
      </c>
      <c r="AJ19" s="5">
        <v>7.0</v>
      </c>
      <c r="AK19" s="5">
        <v>3.0</v>
      </c>
      <c r="AL19" s="5">
        <f t="shared" si="2"/>
        <v>5</v>
      </c>
      <c r="AM19" s="5">
        <v>3.0</v>
      </c>
      <c r="AN19" s="5">
        <f t="shared" si="3"/>
        <v>5</v>
      </c>
      <c r="AO19" s="5">
        <v>7.0</v>
      </c>
      <c r="AP19" s="5">
        <f t="shared" si="4"/>
        <v>1</v>
      </c>
      <c r="AQ19" s="5">
        <v>2.0</v>
      </c>
      <c r="AR19" s="5">
        <f t="shared" si="5"/>
        <v>6</v>
      </c>
      <c r="AS19" s="5" t="s">
        <v>274</v>
      </c>
    </row>
    <row r="20">
      <c r="A20" s="8">
        <f>IFERROR(__xludf.DUMMYFUNCTION("IF(E20="""", """", VALUE(REGEXREPLACE(E20, ""^[Pp]"", """")))"),6.0)</f>
        <v>6</v>
      </c>
      <c r="B20" s="8">
        <v>538.0</v>
      </c>
      <c r="C20" s="7">
        <v>45867.06180555555</v>
      </c>
      <c r="D20" s="5" t="s">
        <v>275</v>
      </c>
      <c r="E20" s="5" t="s">
        <v>258</v>
      </c>
      <c r="F20" s="5" t="s">
        <v>263</v>
      </c>
      <c r="G20" s="6">
        <v>3.0</v>
      </c>
      <c r="H20" s="5">
        <v>5.0</v>
      </c>
      <c r="I20" s="5">
        <v>1.0</v>
      </c>
      <c r="J20" s="5" t="s">
        <v>199</v>
      </c>
      <c r="K20" s="5">
        <v>6.0</v>
      </c>
      <c r="L20" s="5">
        <v>7.0</v>
      </c>
      <c r="M20" s="5">
        <v>6.0</v>
      </c>
      <c r="N20" s="5">
        <v>1.0</v>
      </c>
      <c r="O20" s="5">
        <v>1.0</v>
      </c>
      <c r="P20" s="5">
        <v>7.0</v>
      </c>
      <c r="Q20" s="5">
        <v>6.0</v>
      </c>
      <c r="R20" s="5">
        <v>7.0</v>
      </c>
      <c r="S20" s="5">
        <v>2.0</v>
      </c>
      <c r="T20" s="5">
        <v>1.0</v>
      </c>
      <c r="U20" s="5">
        <v>7.0</v>
      </c>
      <c r="V20" s="5">
        <v>1.0</v>
      </c>
      <c r="W20" s="5">
        <f t="shared" si="1"/>
        <v>7</v>
      </c>
      <c r="X20" s="5" t="s">
        <v>276</v>
      </c>
      <c r="Y20" s="5" t="s">
        <v>206</v>
      </c>
      <c r="Z20" s="5">
        <v>7.0</v>
      </c>
      <c r="AA20" s="5">
        <v>7.0</v>
      </c>
      <c r="AB20" s="5">
        <v>7.0</v>
      </c>
      <c r="AC20" s="5">
        <v>7.0</v>
      </c>
      <c r="AD20" s="5">
        <v>5.0</v>
      </c>
      <c r="AE20" s="5">
        <v>7.0</v>
      </c>
      <c r="AF20" s="5" t="s">
        <v>277</v>
      </c>
      <c r="AG20" s="5" t="s">
        <v>206</v>
      </c>
      <c r="AH20" s="5">
        <v>7.0</v>
      </c>
      <c r="AI20" s="5">
        <v>7.0</v>
      </c>
      <c r="AJ20" s="5">
        <v>6.0</v>
      </c>
      <c r="AK20" s="5">
        <v>2.0</v>
      </c>
      <c r="AL20" s="5">
        <f t="shared" si="2"/>
        <v>6</v>
      </c>
      <c r="AM20" s="5">
        <v>2.0</v>
      </c>
      <c r="AN20" s="5">
        <f t="shared" si="3"/>
        <v>6</v>
      </c>
      <c r="AO20" s="5">
        <v>7.0</v>
      </c>
      <c r="AP20" s="5">
        <f t="shared" si="4"/>
        <v>1</v>
      </c>
      <c r="AQ20" s="5">
        <v>2.0</v>
      </c>
      <c r="AR20" s="5">
        <f t="shared" si="5"/>
        <v>6</v>
      </c>
      <c r="AS20" s="5" t="s">
        <v>278</v>
      </c>
    </row>
    <row r="21">
      <c r="A21" s="8">
        <f>IFERROR(__xludf.DUMMYFUNCTION("IF(E21="""", """", VALUE(REGEXREPLACE(E21, ""^[Pp]"", """")))"),6.0)</f>
        <v>6</v>
      </c>
      <c r="B21" s="8">
        <v>1656.0</v>
      </c>
      <c r="C21" s="7">
        <v>45867.07361111111</v>
      </c>
      <c r="D21" s="5" t="s">
        <v>279</v>
      </c>
      <c r="E21" s="5" t="s">
        <v>258</v>
      </c>
      <c r="F21" s="5" t="s">
        <v>216</v>
      </c>
      <c r="G21" s="6">
        <v>4.0</v>
      </c>
      <c r="H21" s="5">
        <v>7.0</v>
      </c>
      <c r="I21" s="5">
        <v>1.0</v>
      </c>
      <c r="J21" s="5" t="s">
        <v>199</v>
      </c>
      <c r="K21" s="5">
        <v>7.0</v>
      </c>
      <c r="L21" s="5">
        <v>7.0</v>
      </c>
      <c r="M21" s="5">
        <v>7.0</v>
      </c>
      <c r="N21" s="5">
        <v>1.0</v>
      </c>
      <c r="O21" s="5">
        <v>1.0</v>
      </c>
      <c r="P21" s="5">
        <v>7.0</v>
      </c>
      <c r="Q21" s="5">
        <v>7.0</v>
      </c>
      <c r="R21" s="5">
        <v>7.0</v>
      </c>
      <c r="S21" s="5">
        <v>1.0</v>
      </c>
      <c r="T21" s="5">
        <v>1.0</v>
      </c>
      <c r="U21" s="5">
        <v>7.0</v>
      </c>
      <c r="V21" s="5">
        <v>1.0</v>
      </c>
      <c r="W21" s="5">
        <f t="shared" si="1"/>
        <v>7</v>
      </c>
      <c r="X21" s="5" t="s">
        <v>280</v>
      </c>
      <c r="Y21" s="5" t="s">
        <v>206</v>
      </c>
      <c r="Z21" s="5">
        <v>7.0</v>
      </c>
      <c r="AA21" s="5">
        <v>6.0</v>
      </c>
      <c r="AB21" s="5">
        <v>7.0</v>
      </c>
      <c r="AC21" s="5">
        <v>7.0</v>
      </c>
      <c r="AD21" s="5">
        <v>6.0</v>
      </c>
      <c r="AE21" s="5">
        <v>7.0</v>
      </c>
      <c r="AF21" s="5" t="s">
        <v>281</v>
      </c>
      <c r="AG21" s="5" t="s">
        <v>206</v>
      </c>
      <c r="AH21" s="5">
        <v>7.0</v>
      </c>
      <c r="AI21" s="5">
        <v>7.0</v>
      </c>
      <c r="AJ21" s="5">
        <v>7.0</v>
      </c>
      <c r="AK21" s="5">
        <v>7.0</v>
      </c>
      <c r="AL21" s="5">
        <f t="shared" si="2"/>
        <v>1</v>
      </c>
      <c r="AM21" s="5">
        <v>7.0</v>
      </c>
      <c r="AN21" s="5">
        <f t="shared" si="3"/>
        <v>1</v>
      </c>
      <c r="AO21" s="5">
        <v>1.0</v>
      </c>
      <c r="AP21" s="5">
        <f t="shared" si="4"/>
        <v>7</v>
      </c>
      <c r="AQ21" s="5">
        <v>7.0</v>
      </c>
      <c r="AR21" s="5">
        <f t="shared" si="5"/>
        <v>1</v>
      </c>
      <c r="AS21" s="5" t="s">
        <v>282</v>
      </c>
    </row>
    <row r="22">
      <c r="A22" s="8">
        <f>IFERROR(__xludf.DUMMYFUNCTION("IF(E22="""", """", VALUE(REGEXREPLACE(E22, ""^[Pp]"", """")))"),7.0)</f>
        <v>7</v>
      </c>
      <c r="B22" s="8">
        <v>797.0</v>
      </c>
      <c r="C22" s="7">
        <v>45867.095138888886</v>
      </c>
      <c r="D22" s="5" t="s">
        <v>283</v>
      </c>
      <c r="E22" s="5" t="s">
        <v>284</v>
      </c>
      <c r="F22" s="5" t="s">
        <v>263</v>
      </c>
      <c r="G22" s="6">
        <v>1.0</v>
      </c>
      <c r="H22" s="5">
        <v>5.0</v>
      </c>
      <c r="I22" s="5">
        <v>6.0</v>
      </c>
      <c r="J22" s="5" t="s">
        <v>199</v>
      </c>
      <c r="K22" s="5">
        <v>6.0</v>
      </c>
      <c r="L22" s="5">
        <v>2.0</v>
      </c>
      <c r="M22" s="5">
        <v>2.0</v>
      </c>
      <c r="N22" s="5">
        <v>6.0</v>
      </c>
      <c r="O22" s="5">
        <v>3.0</v>
      </c>
      <c r="P22" s="5">
        <v>6.0</v>
      </c>
      <c r="Q22" s="5">
        <v>6.0</v>
      </c>
      <c r="R22" s="5">
        <v>3.0</v>
      </c>
      <c r="S22" s="5">
        <v>2.0</v>
      </c>
      <c r="T22" s="5">
        <v>6.0</v>
      </c>
      <c r="U22" s="5">
        <v>6.0</v>
      </c>
      <c r="V22" s="5">
        <v>5.0</v>
      </c>
      <c r="W22" s="5">
        <f t="shared" si="1"/>
        <v>3</v>
      </c>
      <c r="X22" s="5" t="s">
        <v>285</v>
      </c>
      <c r="Y22" s="5" t="s">
        <v>206</v>
      </c>
      <c r="Z22" s="5">
        <v>4.0</v>
      </c>
      <c r="AA22" s="5">
        <v>6.0</v>
      </c>
      <c r="AB22" s="5">
        <v>6.0</v>
      </c>
      <c r="AC22" s="5">
        <v>6.0</v>
      </c>
      <c r="AD22" s="5">
        <v>5.0</v>
      </c>
      <c r="AE22" s="5">
        <v>2.0</v>
      </c>
      <c r="AF22" s="5" t="s">
        <v>286</v>
      </c>
      <c r="AG22" s="5" t="s">
        <v>206</v>
      </c>
      <c r="AH22" s="5">
        <v>6.0</v>
      </c>
      <c r="AI22" s="5">
        <v>3.0</v>
      </c>
      <c r="AJ22" s="5">
        <v>6.0</v>
      </c>
      <c r="AK22" s="5">
        <v>1.0</v>
      </c>
      <c r="AL22" s="5">
        <f t="shared" si="2"/>
        <v>7</v>
      </c>
      <c r="AM22" s="5">
        <v>2.0</v>
      </c>
      <c r="AN22" s="5">
        <f t="shared" si="3"/>
        <v>6</v>
      </c>
      <c r="AO22" s="5">
        <v>5.0</v>
      </c>
      <c r="AP22" s="5">
        <f t="shared" si="4"/>
        <v>3</v>
      </c>
      <c r="AQ22" s="5">
        <v>1.0</v>
      </c>
      <c r="AR22" s="5">
        <f t="shared" si="5"/>
        <v>7</v>
      </c>
      <c r="AS22" s="5" t="s">
        <v>287</v>
      </c>
    </row>
    <row r="23">
      <c r="A23" s="8">
        <f>IFERROR(__xludf.DUMMYFUNCTION("IF(E23="""", """", VALUE(REGEXREPLACE(E23, ""^[Pp]"", """")))"),7.0)</f>
        <v>7</v>
      </c>
      <c r="B23" s="8">
        <v>986.0</v>
      </c>
      <c r="C23" s="7">
        <v>45867.10902777778</v>
      </c>
      <c r="D23" s="5" t="s">
        <v>293</v>
      </c>
      <c r="E23" s="5" t="s">
        <v>284</v>
      </c>
      <c r="F23" s="5" t="s">
        <v>211</v>
      </c>
      <c r="G23" s="6">
        <v>2.0</v>
      </c>
      <c r="H23" s="5">
        <v>3.0</v>
      </c>
      <c r="I23" s="5">
        <v>3.0</v>
      </c>
      <c r="J23" s="5" t="s">
        <v>199</v>
      </c>
      <c r="K23" s="5">
        <v>5.0</v>
      </c>
      <c r="L23" s="5">
        <v>5.0</v>
      </c>
      <c r="M23" s="5">
        <v>2.0</v>
      </c>
      <c r="N23" s="5">
        <v>3.0</v>
      </c>
      <c r="O23" s="5">
        <v>3.0</v>
      </c>
      <c r="P23" s="5">
        <v>6.0</v>
      </c>
      <c r="Q23" s="5">
        <v>5.0</v>
      </c>
      <c r="R23" s="5">
        <v>6.0</v>
      </c>
      <c r="S23" s="5">
        <v>2.0</v>
      </c>
      <c r="T23" s="5">
        <v>3.0</v>
      </c>
      <c r="U23" s="5">
        <v>6.0</v>
      </c>
      <c r="V23" s="5">
        <v>6.0</v>
      </c>
      <c r="W23" s="5">
        <f t="shared" si="1"/>
        <v>2</v>
      </c>
      <c r="X23" s="5" t="s">
        <v>294</v>
      </c>
      <c r="Y23" s="5" t="s">
        <v>206</v>
      </c>
      <c r="Z23" s="5">
        <v>3.0</v>
      </c>
      <c r="AA23" s="5">
        <v>5.0</v>
      </c>
      <c r="AB23" s="5">
        <v>5.0</v>
      </c>
      <c r="AC23" s="5">
        <v>5.0</v>
      </c>
      <c r="AD23" s="5">
        <v>5.0</v>
      </c>
      <c r="AE23" s="5">
        <v>5.0</v>
      </c>
      <c r="AF23" s="5" t="s">
        <v>295</v>
      </c>
      <c r="AG23" s="5" t="s">
        <v>206</v>
      </c>
      <c r="AH23" s="5">
        <v>5.0</v>
      </c>
      <c r="AI23" s="5">
        <v>5.0</v>
      </c>
      <c r="AJ23" s="5">
        <v>5.0</v>
      </c>
      <c r="AK23" s="5">
        <v>2.0</v>
      </c>
      <c r="AL23" s="5">
        <f t="shared" si="2"/>
        <v>6</v>
      </c>
      <c r="AM23" s="5">
        <v>2.0</v>
      </c>
      <c r="AN23" s="5">
        <f t="shared" si="3"/>
        <v>6</v>
      </c>
      <c r="AO23" s="5">
        <v>2.0</v>
      </c>
      <c r="AP23" s="5">
        <f t="shared" si="4"/>
        <v>6</v>
      </c>
      <c r="AQ23" s="5">
        <v>1.0</v>
      </c>
      <c r="AR23" s="5">
        <f t="shared" si="5"/>
        <v>7</v>
      </c>
      <c r="AS23" s="5" t="s">
        <v>296</v>
      </c>
    </row>
    <row r="24">
      <c r="A24" s="8">
        <f>IFERROR(__xludf.DUMMYFUNCTION("IF(E24="""", """", VALUE(REGEXREPLACE(E24, ""^[Pp]"", """")))"),7.0)</f>
        <v>7</v>
      </c>
      <c r="B24" s="8">
        <v>845.0</v>
      </c>
      <c r="C24" s="7">
        <v>45867.11944444444</v>
      </c>
      <c r="D24" s="5" t="s">
        <v>301</v>
      </c>
      <c r="E24" s="5" t="s">
        <v>284</v>
      </c>
      <c r="F24" s="5" t="s">
        <v>216</v>
      </c>
      <c r="G24" s="6">
        <v>3.0</v>
      </c>
      <c r="H24" s="5">
        <v>3.0</v>
      </c>
      <c r="I24" s="5">
        <v>2.0</v>
      </c>
      <c r="J24" s="5" t="s">
        <v>199</v>
      </c>
      <c r="K24" s="5">
        <v>5.0</v>
      </c>
      <c r="L24" s="5">
        <v>3.0</v>
      </c>
      <c r="M24" s="5">
        <v>3.0</v>
      </c>
      <c r="N24" s="5">
        <v>3.0</v>
      </c>
      <c r="O24" s="5">
        <v>3.0</v>
      </c>
      <c r="P24" s="5">
        <v>6.0</v>
      </c>
      <c r="Q24" s="5">
        <v>6.0</v>
      </c>
      <c r="R24" s="5">
        <v>6.0</v>
      </c>
      <c r="S24" s="5">
        <v>2.0</v>
      </c>
      <c r="T24" s="5">
        <v>3.0</v>
      </c>
      <c r="U24" s="5">
        <v>6.0</v>
      </c>
      <c r="V24" s="5">
        <v>5.0</v>
      </c>
      <c r="W24" s="5">
        <f t="shared" si="1"/>
        <v>3</v>
      </c>
      <c r="X24" s="5" t="s">
        <v>302</v>
      </c>
      <c r="Y24" s="5" t="s">
        <v>206</v>
      </c>
      <c r="Z24" s="5">
        <v>5.0</v>
      </c>
      <c r="AA24" s="5">
        <v>6.0</v>
      </c>
      <c r="AB24" s="5">
        <v>6.0</v>
      </c>
      <c r="AC24" s="5">
        <v>6.0</v>
      </c>
      <c r="AD24" s="5">
        <v>5.0</v>
      </c>
      <c r="AE24" s="5">
        <v>5.0</v>
      </c>
      <c r="AF24" s="5" t="s">
        <v>303</v>
      </c>
      <c r="AG24" s="5" t="s">
        <v>206</v>
      </c>
      <c r="AH24" s="5">
        <v>6.0</v>
      </c>
      <c r="AI24" s="5">
        <v>6.0</v>
      </c>
      <c r="AJ24" s="5">
        <v>3.0</v>
      </c>
      <c r="AK24" s="5">
        <v>2.0</v>
      </c>
      <c r="AL24" s="5">
        <f t="shared" si="2"/>
        <v>6</v>
      </c>
      <c r="AM24" s="5">
        <v>2.0</v>
      </c>
      <c r="AN24" s="5">
        <f t="shared" si="3"/>
        <v>6</v>
      </c>
      <c r="AO24" s="5">
        <v>2.0</v>
      </c>
      <c r="AP24" s="5">
        <f t="shared" si="4"/>
        <v>6</v>
      </c>
      <c r="AQ24" s="5">
        <v>1.0</v>
      </c>
      <c r="AR24" s="5">
        <f t="shared" si="5"/>
        <v>7</v>
      </c>
      <c r="AS24" s="5" t="s">
        <v>304</v>
      </c>
    </row>
    <row r="25">
      <c r="A25" s="8">
        <f>IFERROR(__xludf.DUMMYFUNCTION("IF(E25="""", """", VALUE(REGEXREPLACE(E25, ""^[Pp]"", """")))"),7.0)</f>
        <v>7</v>
      </c>
      <c r="B25" s="8">
        <v>559.0</v>
      </c>
      <c r="C25" s="7">
        <v>45867.131944444445</v>
      </c>
      <c r="D25" s="5" t="s">
        <v>313</v>
      </c>
      <c r="E25" s="5" t="s">
        <v>284</v>
      </c>
      <c r="F25" s="5" t="s">
        <v>197</v>
      </c>
      <c r="G25" s="6">
        <v>4.0</v>
      </c>
      <c r="H25" s="5">
        <v>6.0</v>
      </c>
      <c r="I25" s="6">
        <v>4.0</v>
      </c>
      <c r="J25" s="5" t="s">
        <v>199</v>
      </c>
      <c r="K25" s="5">
        <v>5.0</v>
      </c>
      <c r="L25" s="5">
        <v>6.0</v>
      </c>
      <c r="M25" s="5">
        <v>2.0</v>
      </c>
      <c r="N25" s="5">
        <v>3.0</v>
      </c>
      <c r="O25" s="5">
        <v>2.0</v>
      </c>
      <c r="P25" s="5">
        <v>6.0</v>
      </c>
      <c r="Q25" s="5">
        <v>6.0</v>
      </c>
      <c r="R25" s="5">
        <v>6.0</v>
      </c>
      <c r="S25" s="5">
        <v>2.0</v>
      </c>
      <c r="T25" s="5">
        <v>2.0</v>
      </c>
      <c r="U25" s="5">
        <v>2.0</v>
      </c>
      <c r="V25" s="5">
        <v>5.0</v>
      </c>
      <c r="W25" s="5">
        <f t="shared" si="1"/>
        <v>3</v>
      </c>
      <c r="X25" s="5" t="s">
        <v>314</v>
      </c>
      <c r="Y25" s="5" t="s">
        <v>206</v>
      </c>
      <c r="Z25" s="5">
        <v>6.0</v>
      </c>
      <c r="AA25" s="5">
        <v>6.0</v>
      </c>
      <c r="AB25" s="5">
        <v>6.0</v>
      </c>
      <c r="AC25" s="5">
        <v>6.0</v>
      </c>
      <c r="AD25" s="5">
        <v>6.0</v>
      </c>
      <c r="AE25" s="5">
        <v>5.0</v>
      </c>
      <c r="AF25" s="5" t="s">
        <v>315</v>
      </c>
      <c r="AG25" s="5" t="s">
        <v>206</v>
      </c>
      <c r="AH25" s="5">
        <v>6.0</v>
      </c>
      <c r="AI25" s="5">
        <v>6.0</v>
      </c>
      <c r="AJ25" s="5">
        <v>5.0</v>
      </c>
      <c r="AK25" s="5">
        <v>2.0</v>
      </c>
      <c r="AL25" s="5">
        <f t="shared" si="2"/>
        <v>6</v>
      </c>
      <c r="AM25" s="5">
        <v>4.0</v>
      </c>
      <c r="AN25" s="5">
        <f t="shared" si="3"/>
        <v>4</v>
      </c>
      <c r="AO25" s="5">
        <v>5.0</v>
      </c>
      <c r="AP25" s="5">
        <f t="shared" si="4"/>
        <v>3</v>
      </c>
      <c r="AQ25" s="5">
        <v>2.0</v>
      </c>
      <c r="AR25" s="5">
        <f t="shared" si="5"/>
        <v>6</v>
      </c>
      <c r="AS25" s="5" t="s">
        <v>316</v>
      </c>
    </row>
    <row r="26">
      <c r="A26" s="8">
        <f>IFERROR(__xludf.DUMMYFUNCTION("IF(E26="""", """", VALUE(REGEXREPLACE(E26, ""^[Pp]"", """")))"),8.0)</f>
        <v>8</v>
      </c>
      <c r="B26" s="8">
        <v>1356.0</v>
      </c>
      <c r="C26" s="7">
        <v>45867.09652777778</v>
      </c>
      <c r="D26" s="5" t="s">
        <v>288</v>
      </c>
      <c r="E26" s="5" t="s">
        <v>289</v>
      </c>
      <c r="F26" s="5" t="s">
        <v>216</v>
      </c>
      <c r="G26" s="6">
        <v>1.0</v>
      </c>
      <c r="H26" s="5">
        <v>6.0</v>
      </c>
      <c r="I26" s="5">
        <v>5.0</v>
      </c>
      <c r="J26" s="5" t="s">
        <v>199</v>
      </c>
      <c r="K26" s="5">
        <v>6.0</v>
      </c>
      <c r="L26" s="5">
        <v>7.0</v>
      </c>
      <c r="M26" s="5">
        <v>6.0</v>
      </c>
      <c r="N26" s="5">
        <v>4.0</v>
      </c>
      <c r="O26" s="5">
        <v>6.0</v>
      </c>
      <c r="P26" s="5">
        <v>6.0</v>
      </c>
      <c r="Q26" s="5">
        <v>6.0</v>
      </c>
      <c r="R26" s="5">
        <v>7.0</v>
      </c>
      <c r="S26" s="5">
        <v>2.0</v>
      </c>
      <c r="T26" s="5">
        <v>2.0</v>
      </c>
      <c r="U26" s="5">
        <v>7.0</v>
      </c>
      <c r="V26" s="5">
        <v>4.0</v>
      </c>
      <c r="W26" s="5">
        <f t="shared" si="1"/>
        <v>4</v>
      </c>
      <c r="X26" s="5" t="s">
        <v>290</v>
      </c>
      <c r="Y26" s="5" t="s">
        <v>206</v>
      </c>
      <c r="Z26" s="5">
        <v>4.0</v>
      </c>
      <c r="AA26" s="5">
        <v>5.0</v>
      </c>
      <c r="AB26" s="5">
        <v>6.0</v>
      </c>
      <c r="AC26" s="5">
        <v>5.0</v>
      </c>
      <c r="AD26" s="5">
        <v>6.0</v>
      </c>
      <c r="AE26" s="5">
        <v>6.0</v>
      </c>
      <c r="AF26" s="5" t="s">
        <v>291</v>
      </c>
      <c r="AG26" s="5" t="s">
        <v>206</v>
      </c>
      <c r="AH26" s="5">
        <v>6.0</v>
      </c>
      <c r="AI26" s="5">
        <v>7.0</v>
      </c>
      <c r="AJ26" s="5">
        <v>7.0</v>
      </c>
      <c r="AK26" s="5">
        <v>1.0</v>
      </c>
      <c r="AL26" s="5">
        <f t="shared" si="2"/>
        <v>7</v>
      </c>
      <c r="AM26" s="5">
        <v>1.0</v>
      </c>
      <c r="AN26" s="5">
        <f t="shared" si="3"/>
        <v>7</v>
      </c>
      <c r="AO26" s="5">
        <v>1.0</v>
      </c>
      <c r="AP26" s="5">
        <f t="shared" si="4"/>
        <v>7</v>
      </c>
      <c r="AQ26" s="5">
        <v>1.0</v>
      </c>
      <c r="AR26" s="5">
        <f t="shared" si="5"/>
        <v>7</v>
      </c>
      <c r="AS26" s="5" t="s">
        <v>292</v>
      </c>
    </row>
    <row r="27">
      <c r="A27" s="8">
        <f>IFERROR(__xludf.DUMMYFUNCTION("IF(E27="""", """", VALUE(REGEXREPLACE(E27, ""^[Pp]"", """")))"),8.0)</f>
        <v>8</v>
      </c>
      <c r="B27" s="8">
        <v>401.0</v>
      </c>
      <c r="C27" s="7">
        <v>45867.11041666667</v>
      </c>
      <c r="D27" s="5" t="s">
        <v>297</v>
      </c>
      <c r="E27" s="5" t="s">
        <v>289</v>
      </c>
      <c r="F27" s="5" t="s">
        <v>197</v>
      </c>
      <c r="G27" s="6">
        <v>2.0</v>
      </c>
      <c r="H27" s="5">
        <v>7.0</v>
      </c>
      <c r="I27" s="5">
        <v>6.0</v>
      </c>
      <c r="J27" s="5" t="s">
        <v>199</v>
      </c>
      <c r="K27" s="5">
        <v>6.0</v>
      </c>
      <c r="L27" s="5">
        <v>7.0</v>
      </c>
      <c r="M27" s="5">
        <v>5.0</v>
      </c>
      <c r="N27" s="5">
        <v>7.0</v>
      </c>
      <c r="O27" s="5">
        <v>7.0</v>
      </c>
      <c r="P27" s="5">
        <v>7.0</v>
      </c>
      <c r="Q27" s="5">
        <v>6.0</v>
      </c>
      <c r="R27" s="5">
        <v>6.0</v>
      </c>
      <c r="S27" s="5">
        <v>3.0</v>
      </c>
      <c r="T27" s="5">
        <v>4.0</v>
      </c>
      <c r="U27" s="5">
        <v>7.0</v>
      </c>
      <c r="V27" s="5">
        <v>6.0</v>
      </c>
      <c r="W27" s="5">
        <f t="shared" si="1"/>
        <v>2</v>
      </c>
      <c r="X27" s="5" t="s">
        <v>298</v>
      </c>
      <c r="Y27" s="5" t="s">
        <v>206</v>
      </c>
      <c r="Z27" s="5">
        <v>6.0</v>
      </c>
      <c r="AA27" s="5">
        <v>6.0</v>
      </c>
      <c r="AB27" s="5">
        <v>7.0</v>
      </c>
      <c r="AC27" s="5">
        <v>7.0</v>
      </c>
      <c r="AD27" s="5">
        <v>7.0</v>
      </c>
      <c r="AE27" s="5">
        <v>5.0</v>
      </c>
      <c r="AF27" s="5" t="s">
        <v>299</v>
      </c>
      <c r="AG27" s="5" t="s">
        <v>206</v>
      </c>
      <c r="AH27" s="5">
        <v>6.0</v>
      </c>
      <c r="AI27" s="5">
        <v>5.0</v>
      </c>
      <c r="AJ27" s="5">
        <v>7.0</v>
      </c>
      <c r="AK27" s="5">
        <v>2.0</v>
      </c>
      <c r="AL27" s="5">
        <f t="shared" si="2"/>
        <v>6</v>
      </c>
      <c r="AM27" s="5">
        <v>1.0</v>
      </c>
      <c r="AN27" s="5">
        <f t="shared" si="3"/>
        <v>7</v>
      </c>
      <c r="AO27" s="5">
        <v>3.0</v>
      </c>
      <c r="AP27" s="5">
        <f t="shared" si="4"/>
        <v>5</v>
      </c>
      <c r="AQ27" s="5">
        <v>2.0</v>
      </c>
      <c r="AR27" s="5">
        <f t="shared" si="5"/>
        <v>6</v>
      </c>
      <c r="AS27" s="5" t="s">
        <v>300</v>
      </c>
    </row>
    <row r="28">
      <c r="A28" s="8">
        <f>IFERROR(__xludf.DUMMYFUNCTION("IF(E28="""", """", VALUE(REGEXREPLACE(E28, ""^[Pp]"", """")))"),8.0)</f>
        <v>8</v>
      </c>
      <c r="B28" s="8">
        <v>341.0</v>
      </c>
      <c r="C28" s="7">
        <v>45867.12013888889</v>
      </c>
      <c r="D28" s="5" t="s">
        <v>305</v>
      </c>
      <c r="E28" s="5" t="s">
        <v>289</v>
      </c>
      <c r="F28" s="5" t="s">
        <v>263</v>
      </c>
      <c r="G28" s="6">
        <v>3.0</v>
      </c>
      <c r="H28" s="5">
        <v>7.0</v>
      </c>
      <c r="I28" s="5">
        <v>5.0</v>
      </c>
      <c r="J28" s="5" t="s">
        <v>199</v>
      </c>
      <c r="K28" s="5">
        <v>7.0</v>
      </c>
      <c r="L28" s="5">
        <v>7.0</v>
      </c>
      <c r="M28" s="5">
        <v>7.0</v>
      </c>
      <c r="N28" s="5">
        <v>5.0</v>
      </c>
      <c r="O28" s="5">
        <v>7.0</v>
      </c>
      <c r="P28" s="5">
        <v>6.0</v>
      </c>
      <c r="Q28" s="5">
        <v>6.0</v>
      </c>
      <c r="R28" s="5">
        <v>5.0</v>
      </c>
      <c r="S28" s="5">
        <v>6.0</v>
      </c>
      <c r="T28" s="5">
        <v>4.0</v>
      </c>
      <c r="U28" s="5">
        <v>6.0</v>
      </c>
      <c r="V28" s="5">
        <v>2.0</v>
      </c>
      <c r="W28" s="5">
        <f t="shared" si="1"/>
        <v>6</v>
      </c>
      <c r="X28" s="5" t="s">
        <v>306</v>
      </c>
      <c r="Y28" s="5" t="s">
        <v>206</v>
      </c>
      <c r="Z28" s="5">
        <v>6.0</v>
      </c>
      <c r="AA28" s="5">
        <v>7.0</v>
      </c>
      <c r="AB28" s="5">
        <v>7.0</v>
      </c>
      <c r="AC28" s="5">
        <v>7.0</v>
      </c>
      <c r="AD28" s="5">
        <v>7.0</v>
      </c>
      <c r="AE28" s="5">
        <v>6.0</v>
      </c>
      <c r="AF28" s="5" t="s">
        <v>307</v>
      </c>
      <c r="AG28" s="5" t="s">
        <v>206</v>
      </c>
      <c r="AH28" s="5">
        <v>7.0</v>
      </c>
      <c r="AI28" s="5">
        <v>6.0</v>
      </c>
      <c r="AJ28" s="5">
        <v>7.0</v>
      </c>
      <c r="AK28" s="5">
        <v>2.0</v>
      </c>
      <c r="AL28" s="5">
        <f t="shared" si="2"/>
        <v>6</v>
      </c>
      <c r="AM28" s="5">
        <v>1.0</v>
      </c>
      <c r="AN28" s="5">
        <f t="shared" si="3"/>
        <v>7</v>
      </c>
      <c r="AO28" s="5">
        <v>1.0</v>
      </c>
      <c r="AP28" s="5">
        <f t="shared" si="4"/>
        <v>7</v>
      </c>
      <c r="AQ28" s="5">
        <v>1.0</v>
      </c>
      <c r="AR28" s="5">
        <f t="shared" si="5"/>
        <v>7</v>
      </c>
      <c r="AS28" s="5" t="s">
        <v>308</v>
      </c>
    </row>
    <row r="29">
      <c r="A29" s="8">
        <f>IFERROR(__xludf.DUMMYFUNCTION("IF(E29="""", """", VALUE(REGEXREPLACE(E29, ""^[Pp]"", """")))"),8.0)</f>
        <v>8</v>
      </c>
      <c r="B29" s="8">
        <v>465.0</v>
      </c>
      <c r="C29" s="7">
        <v>45867.12847222222</v>
      </c>
      <c r="D29" s="5" t="s">
        <v>309</v>
      </c>
      <c r="E29" s="5" t="s">
        <v>289</v>
      </c>
      <c r="F29" s="5" t="s">
        <v>216</v>
      </c>
      <c r="G29" s="6">
        <v>4.0</v>
      </c>
      <c r="H29" s="5">
        <v>7.0</v>
      </c>
      <c r="I29" s="5">
        <v>6.0</v>
      </c>
      <c r="J29" s="5" t="s">
        <v>199</v>
      </c>
      <c r="K29" s="5">
        <v>7.0</v>
      </c>
      <c r="L29" s="5">
        <v>7.0</v>
      </c>
      <c r="M29" s="5">
        <v>6.0</v>
      </c>
      <c r="N29" s="5">
        <v>7.0</v>
      </c>
      <c r="O29" s="5">
        <v>7.0</v>
      </c>
      <c r="P29" s="5">
        <v>7.0</v>
      </c>
      <c r="Q29" s="5">
        <v>7.0</v>
      </c>
      <c r="R29" s="5">
        <v>7.0</v>
      </c>
      <c r="S29" s="5">
        <v>6.0</v>
      </c>
      <c r="T29" s="5">
        <v>4.0</v>
      </c>
      <c r="U29" s="5">
        <v>7.0</v>
      </c>
      <c r="V29" s="5">
        <v>6.0</v>
      </c>
      <c r="W29" s="5">
        <f t="shared" si="1"/>
        <v>2</v>
      </c>
      <c r="X29" s="5" t="s">
        <v>310</v>
      </c>
      <c r="Y29" s="5" t="s">
        <v>206</v>
      </c>
      <c r="Z29" s="5">
        <v>7.0</v>
      </c>
      <c r="AA29" s="5">
        <v>6.0</v>
      </c>
      <c r="AB29" s="5">
        <v>6.0</v>
      </c>
      <c r="AC29" s="5">
        <v>6.0</v>
      </c>
      <c r="AD29" s="5">
        <v>7.0</v>
      </c>
      <c r="AE29" s="5">
        <v>6.0</v>
      </c>
      <c r="AF29" s="5" t="s">
        <v>311</v>
      </c>
      <c r="AG29" s="5" t="s">
        <v>206</v>
      </c>
      <c r="AH29" s="5">
        <v>6.0</v>
      </c>
      <c r="AI29" s="5">
        <v>7.0</v>
      </c>
      <c r="AJ29" s="5">
        <v>7.0</v>
      </c>
      <c r="AK29" s="5">
        <v>1.0</v>
      </c>
      <c r="AL29" s="5">
        <f t="shared" si="2"/>
        <v>7</v>
      </c>
      <c r="AM29" s="5">
        <v>1.0</v>
      </c>
      <c r="AN29" s="5">
        <f t="shared" si="3"/>
        <v>7</v>
      </c>
      <c r="AO29" s="5">
        <v>1.0</v>
      </c>
      <c r="AP29" s="5">
        <f t="shared" si="4"/>
        <v>7</v>
      </c>
      <c r="AQ29" s="5">
        <v>1.0</v>
      </c>
      <c r="AR29" s="5">
        <f t="shared" si="5"/>
        <v>7</v>
      </c>
      <c r="AS29" s="5" t="s">
        <v>312</v>
      </c>
    </row>
    <row r="30">
      <c r="A30" s="8">
        <f>IFERROR(__xludf.DUMMYFUNCTION("IF(E30="""", """", VALUE(REGEXREPLACE(E30, ""^[Pp]"", """")))"),9.0)</f>
        <v>9</v>
      </c>
      <c r="B30" s="8">
        <v>845.0</v>
      </c>
      <c r="C30" s="7">
        <v>45867.2125</v>
      </c>
      <c r="D30" s="5" t="s">
        <v>317</v>
      </c>
      <c r="E30" s="5" t="s">
        <v>318</v>
      </c>
      <c r="F30" s="5" t="s">
        <v>197</v>
      </c>
      <c r="G30" s="6">
        <v>1.0</v>
      </c>
      <c r="H30" s="5">
        <v>3.0</v>
      </c>
      <c r="I30" s="5">
        <v>2.0</v>
      </c>
      <c r="J30" s="5" t="s">
        <v>199</v>
      </c>
      <c r="K30" s="5">
        <v>3.0</v>
      </c>
      <c r="L30" s="5">
        <v>5.0</v>
      </c>
      <c r="M30" s="5">
        <v>3.0</v>
      </c>
      <c r="N30" s="5">
        <v>4.0</v>
      </c>
      <c r="O30" s="5">
        <v>3.0</v>
      </c>
      <c r="P30" s="5">
        <v>5.0</v>
      </c>
      <c r="Q30" s="5">
        <v>6.0</v>
      </c>
      <c r="R30" s="5">
        <v>4.0</v>
      </c>
      <c r="S30" s="5">
        <v>2.0</v>
      </c>
      <c r="T30" s="5">
        <v>1.0</v>
      </c>
      <c r="U30" s="5">
        <v>4.0</v>
      </c>
      <c r="V30" s="5">
        <v>6.0</v>
      </c>
      <c r="W30" s="5">
        <f t="shared" si="1"/>
        <v>2</v>
      </c>
      <c r="X30" s="5" t="s">
        <v>319</v>
      </c>
      <c r="Y30" s="5" t="s">
        <v>206</v>
      </c>
      <c r="Z30" s="5">
        <v>3.0</v>
      </c>
      <c r="AA30" s="5">
        <v>5.0</v>
      </c>
      <c r="AB30" s="5">
        <v>5.0</v>
      </c>
      <c r="AC30" s="5">
        <v>6.0</v>
      </c>
      <c r="AD30" s="5">
        <v>5.0</v>
      </c>
      <c r="AE30" s="5">
        <v>6.0</v>
      </c>
      <c r="AF30" s="5" t="s">
        <v>320</v>
      </c>
      <c r="AG30" s="5" t="s">
        <v>206</v>
      </c>
      <c r="AH30" s="5">
        <v>5.0</v>
      </c>
      <c r="AI30" s="5">
        <v>6.0</v>
      </c>
      <c r="AJ30" s="5">
        <v>6.0</v>
      </c>
      <c r="AK30" s="5">
        <v>1.0</v>
      </c>
      <c r="AL30" s="5">
        <f t="shared" si="2"/>
        <v>7</v>
      </c>
      <c r="AM30" s="5">
        <v>1.0</v>
      </c>
      <c r="AN30" s="5">
        <f t="shared" si="3"/>
        <v>7</v>
      </c>
      <c r="AO30" s="5">
        <v>1.0</v>
      </c>
      <c r="AP30" s="5">
        <f t="shared" si="4"/>
        <v>7</v>
      </c>
      <c r="AQ30" s="5">
        <v>1.0</v>
      </c>
      <c r="AR30" s="5">
        <f t="shared" si="5"/>
        <v>7</v>
      </c>
      <c r="AS30" s="5" t="s">
        <v>321</v>
      </c>
    </row>
    <row r="31">
      <c r="A31" s="8">
        <f>IFERROR(__xludf.DUMMYFUNCTION("IF(E31="""", """", VALUE(REGEXREPLACE(E31, ""^[Pp]"", """")))"),9.0)</f>
        <v>9</v>
      </c>
      <c r="B31" s="8">
        <v>353.0</v>
      </c>
      <c r="C31" s="7">
        <v>45867.22222222222</v>
      </c>
      <c r="D31" s="5" t="s">
        <v>322</v>
      </c>
      <c r="E31" s="5" t="s">
        <v>318</v>
      </c>
      <c r="F31" s="5" t="s">
        <v>211</v>
      </c>
      <c r="G31" s="6">
        <v>2.0</v>
      </c>
      <c r="H31" s="5">
        <v>5.0</v>
      </c>
      <c r="I31" s="5">
        <v>4.0</v>
      </c>
      <c r="J31" s="5" t="s">
        <v>199</v>
      </c>
      <c r="K31" s="5">
        <v>6.0</v>
      </c>
      <c r="L31" s="5">
        <v>5.0</v>
      </c>
      <c r="M31" s="5">
        <v>3.0</v>
      </c>
      <c r="N31" s="5">
        <v>4.0</v>
      </c>
      <c r="O31" s="5">
        <v>4.0</v>
      </c>
      <c r="P31" s="5">
        <v>6.0</v>
      </c>
      <c r="Q31" s="5">
        <v>6.0</v>
      </c>
      <c r="R31" s="5">
        <v>6.0</v>
      </c>
      <c r="S31" s="5">
        <v>2.0</v>
      </c>
      <c r="T31" s="5">
        <v>3.0</v>
      </c>
      <c r="U31" s="5">
        <v>4.0</v>
      </c>
      <c r="V31" s="5">
        <v>5.0</v>
      </c>
      <c r="W31" s="5">
        <f t="shared" si="1"/>
        <v>3</v>
      </c>
      <c r="X31" s="5" t="s">
        <v>323</v>
      </c>
      <c r="Y31" s="5" t="s">
        <v>206</v>
      </c>
      <c r="Z31" s="5">
        <v>6.0</v>
      </c>
      <c r="AA31" s="5">
        <v>6.0</v>
      </c>
      <c r="AB31" s="5">
        <v>6.0</v>
      </c>
      <c r="AC31" s="5">
        <v>7.0</v>
      </c>
      <c r="AD31" s="5">
        <v>7.0</v>
      </c>
      <c r="AE31" s="5">
        <v>6.0</v>
      </c>
      <c r="AF31" s="5" t="s">
        <v>324</v>
      </c>
      <c r="AG31" s="5" t="s">
        <v>206</v>
      </c>
      <c r="AH31" s="5">
        <v>6.0</v>
      </c>
      <c r="AI31" s="5">
        <v>6.0</v>
      </c>
      <c r="AJ31" s="5">
        <v>6.0</v>
      </c>
      <c r="AK31" s="5">
        <v>1.0</v>
      </c>
      <c r="AL31" s="5">
        <f t="shared" si="2"/>
        <v>7</v>
      </c>
      <c r="AM31" s="5">
        <v>1.0</v>
      </c>
      <c r="AN31" s="5">
        <f t="shared" si="3"/>
        <v>7</v>
      </c>
      <c r="AO31" s="5">
        <v>1.0</v>
      </c>
      <c r="AP31" s="5">
        <f t="shared" si="4"/>
        <v>7</v>
      </c>
      <c r="AQ31" s="5">
        <v>1.0</v>
      </c>
      <c r="AR31" s="5">
        <f t="shared" si="5"/>
        <v>7</v>
      </c>
      <c r="AS31" s="5" t="s">
        <v>325</v>
      </c>
    </row>
    <row r="32">
      <c r="A32" s="8">
        <f>IFERROR(__xludf.DUMMYFUNCTION("IF(E32="""", """", VALUE(REGEXREPLACE(E32, ""^[Pp]"", """")))"),9.0)</f>
        <v>9</v>
      </c>
      <c r="B32" s="8">
        <v>560.0</v>
      </c>
      <c r="C32" s="7">
        <v>45867.23125</v>
      </c>
      <c r="D32" s="5" t="s">
        <v>326</v>
      </c>
      <c r="E32" s="5" t="s">
        <v>318</v>
      </c>
      <c r="F32" s="5" t="s">
        <v>216</v>
      </c>
      <c r="G32" s="6">
        <v>3.0</v>
      </c>
      <c r="H32" s="5">
        <v>4.0</v>
      </c>
      <c r="I32" s="5">
        <v>3.0</v>
      </c>
      <c r="J32" s="5" t="s">
        <v>199</v>
      </c>
      <c r="K32" s="5">
        <v>6.0</v>
      </c>
      <c r="L32" s="5">
        <v>6.0</v>
      </c>
      <c r="M32" s="5">
        <v>3.0</v>
      </c>
      <c r="N32" s="5">
        <v>3.0</v>
      </c>
      <c r="O32" s="5">
        <v>5.0</v>
      </c>
      <c r="P32" s="5">
        <v>6.0</v>
      </c>
      <c r="Q32" s="5">
        <v>6.0</v>
      </c>
      <c r="R32" s="5">
        <v>5.0</v>
      </c>
      <c r="S32" s="5">
        <v>3.0</v>
      </c>
      <c r="T32" s="5">
        <v>4.0</v>
      </c>
      <c r="U32" s="5">
        <v>3.0</v>
      </c>
      <c r="V32" s="5">
        <v>5.0</v>
      </c>
      <c r="W32" s="5">
        <f t="shared" si="1"/>
        <v>3</v>
      </c>
      <c r="X32" s="5" t="s">
        <v>327</v>
      </c>
      <c r="Y32" s="5" t="s">
        <v>206</v>
      </c>
      <c r="Z32" s="5">
        <v>6.0</v>
      </c>
      <c r="AA32" s="5">
        <v>7.0</v>
      </c>
      <c r="AB32" s="5">
        <v>6.0</v>
      </c>
      <c r="AC32" s="5">
        <v>7.0</v>
      </c>
      <c r="AD32" s="5">
        <v>7.0</v>
      </c>
      <c r="AE32" s="5">
        <v>7.0</v>
      </c>
      <c r="AF32" s="5" t="s">
        <v>328</v>
      </c>
      <c r="AG32" s="5" t="s">
        <v>206</v>
      </c>
      <c r="AH32" s="5">
        <v>6.0</v>
      </c>
      <c r="AI32" s="5">
        <v>7.0</v>
      </c>
      <c r="AJ32" s="5">
        <v>5.0</v>
      </c>
      <c r="AK32" s="5">
        <v>1.0</v>
      </c>
      <c r="AL32" s="5">
        <f t="shared" si="2"/>
        <v>7</v>
      </c>
      <c r="AM32" s="5">
        <v>1.0</v>
      </c>
      <c r="AN32" s="5">
        <f t="shared" si="3"/>
        <v>7</v>
      </c>
      <c r="AO32" s="5">
        <v>1.0</v>
      </c>
      <c r="AP32" s="5">
        <f t="shared" si="4"/>
        <v>7</v>
      </c>
      <c r="AQ32" s="5">
        <v>1.0</v>
      </c>
      <c r="AR32" s="5">
        <f t="shared" si="5"/>
        <v>7</v>
      </c>
      <c r="AS32" s="5" t="s">
        <v>329</v>
      </c>
    </row>
    <row r="33">
      <c r="A33" s="8">
        <f>IFERROR(__xludf.DUMMYFUNCTION("IF(E33="""", """", VALUE(REGEXREPLACE(E33, ""^[Pp]"", """")))"),9.0)</f>
        <v>9</v>
      </c>
      <c r="B33" s="8">
        <v>468.0</v>
      </c>
      <c r="C33" s="7">
        <v>45867.25486111111</v>
      </c>
      <c r="D33" s="5" t="s">
        <v>339</v>
      </c>
      <c r="E33" s="5" t="s">
        <v>318</v>
      </c>
      <c r="F33" s="5" t="s">
        <v>263</v>
      </c>
      <c r="G33" s="6">
        <v>4.0</v>
      </c>
      <c r="H33" s="5">
        <v>5.0</v>
      </c>
      <c r="I33" s="5">
        <v>4.0</v>
      </c>
      <c r="J33" s="5" t="s">
        <v>199</v>
      </c>
      <c r="K33" s="5">
        <v>5.0</v>
      </c>
      <c r="L33" s="5">
        <v>6.0</v>
      </c>
      <c r="M33" s="5">
        <v>4.0</v>
      </c>
      <c r="N33" s="5">
        <v>2.0</v>
      </c>
      <c r="O33" s="5">
        <v>4.0</v>
      </c>
      <c r="P33" s="5">
        <v>6.0</v>
      </c>
      <c r="Q33" s="5">
        <v>6.0</v>
      </c>
      <c r="R33" s="5">
        <v>5.0</v>
      </c>
      <c r="S33" s="5">
        <v>4.0</v>
      </c>
      <c r="T33" s="5">
        <v>3.0</v>
      </c>
      <c r="U33" s="5">
        <v>5.0</v>
      </c>
      <c r="V33" s="5">
        <v>5.0</v>
      </c>
      <c r="W33" s="5">
        <f t="shared" si="1"/>
        <v>3</v>
      </c>
      <c r="X33" s="5" t="s">
        <v>340</v>
      </c>
      <c r="Y33" s="5" t="s">
        <v>206</v>
      </c>
      <c r="Z33" s="5">
        <v>5.0</v>
      </c>
      <c r="AA33" s="5">
        <v>7.0</v>
      </c>
      <c r="AB33" s="5">
        <v>6.0</v>
      </c>
      <c r="AC33" s="5">
        <v>7.0</v>
      </c>
      <c r="AD33" s="5">
        <v>7.0</v>
      </c>
      <c r="AE33" s="5">
        <v>7.0</v>
      </c>
      <c r="AF33" s="5" t="s">
        <v>341</v>
      </c>
      <c r="AG33" s="5" t="s">
        <v>206</v>
      </c>
      <c r="AH33" s="5">
        <v>6.0</v>
      </c>
      <c r="AI33" s="5">
        <v>3.0</v>
      </c>
      <c r="AJ33" s="5">
        <v>5.0</v>
      </c>
      <c r="AK33" s="5">
        <v>4.0</v>
      </c>
      <c r="AL33" s="5">
        <f t="shared" si="2"/>
        <v>4</v>
      </c>
      <c r="AM33" s="5">
        <v>1.0</v>
      </c>
      <c r="AN33" s="5">
        <f t="shared" si="3"/>
        <v>7</v>
      </c>
      <c r="AO33" s="5">
        <v>5.0</v>
      </c>
      <c r="AP33" s="5">
        <f t="shared" si="4"/>
        <v>3</v>
      </c>
      <c r="AQ33" s="5">
        <v>3.0</v>
      </c>
      <c r="AR33" s="5">
        <f t="shared" si="5"/>
        <v>5</v>
      </c>
      <c r="AS33" s="5" t="s">
        <v>342</v>
      </c>
    </row>
    <row r="34">
      <c r="A34" s="8">
        <f>IFERROR(__xludf.DUMMYFUNCTION("IF(E34="""", """", VALUE(REGEXREPLACE(E34, ""^[Pp]"", """")))"),10.0)</f>
        <v>10</v>
      </c>
      <c r="B34" s="8">
        <v>990.0</v>
      </c>
      <c r="C34" s="7">
        <v>45867.240277777775</v>
      </c>
      <c r="D34" s="5" t="s">
        <v>330</v>
      </c>
      <c r="E34" s="5" t="s">
        <v>331</v>
      </c>
      <c r="F34" s="5" t="s">
        <v>197</v>
      </c>
      <c r="G34" s="6">
        <v>1.0</v>
      </c>
      <c r="H34" s="5">
        <v>6.0</v>
      </c>
      <c r="I34" s="5">
        <v>6.0</v>
      </c>
      <c r="J34" s="5" t="s">
        <v>199</v>
      </c>
      <c r="K34" s="5">
        <v>6.0</v>
      </c>
      <c r="L34" s="5">
        <v>7.0</v>
      </c>
      <c r="M34" s="5">
        <v>5.0</v>
      </c>
      <c r="N34" s="5">
        <v>6.0</v>
      </c>
      <c r="O34" s="5">
        <v>6.0</v>
      </c>
      <c r="P34" s="5">
        <v>5.0</v>
      </c>
      <c r="Q34" s="5">
        <v>5.0</v>
      </c>
      <c r="R34" s="5">
        <v>7.0</v>
      </c>
      <c r="S34" s="5">
        <v>3.0</v>
      </c>
      <c r="T34" s="5">
        <v>5.0</v>
      </c>
      <c r="U34" s="5">
        <v>7.0</v>
      </c>
      <c r="V34" s="5">
        <v>2.0</v>
      </c>
      <c r="W34" s="5">
        <f t="shared" si="1"/>
        <v>6</v>
      </c>
      <c r="X34" s="5" t="s">
        <v>332</v>
      </c>
      <c r="Y34" s="5" t="s">
        <v>206</v>
      </c>
      <c r="Z34" s="5">
        <v>5.0</v>
      </c>
      <c r="AA34" s="5">
        <v>7.0</v>
      </c>
      <c r="AB34" s="5">
        <v>7.0</v>
      </c>
      <c r="AC34" s="5">
        <v>7.0</v>
      </c>
      <c r="AD34" s="5">
        <v>7.0</v>
      </c>
      <c r="AE34" s="5">
        <v>4.0</v>
      </c>
      <c r="AF34" s="5" t="s">
        <v>333</v>
      </c>
      <c r="AG34" s="5" t="s">
        <v>206</v>
      </c>
      <c r="AH34" s="5">
        <v>7.0</v>
      </c>
      <c r="AI34" s="5">
        <v>6.0</v>
      </c>
      <c r="AJ34" s="5">
        <v>7.0</v>
      </c>
      <c r="AK34" s="5">
        <v>2.0</v>
      </c>
      <c r="AL34" s="5">
        <f t="shared" si="2"/>
        <v>6</v>
      </c>
      <c r="AM34" s="5">
        <v>1.0</v>
      </c>
      <c r="AN34" s="5">
        <f t="shared" si="3"/>
        <v>7</v>
      </c>
      <c r="AO34" s="5">
        <v>2.0</v>
      </c>
      <c r="AP34" s="5">
        <f t="shared" si="4"/>
        <v>6</v>
      </c>
      <c r="AQ34" s="5">
        <v>1.0</v>
      </c>
      <c r="AR34" s="5">
        <f t="shared" si="5"/>
        <v>7</v>
      </c>
      <c r="AS34" s="5" t="s">
        <v>334</v>
      </c>
    </row>
    <row r="35">
      <c r="A35" s="8">
        <f>IFERROR(__xludf.DUMMYFUNCTION("IF(E35="""", """", VALUE(REGEXREPLACE(E35, ""^[Pp]"", """")))"),10.0)</f>
        <v>10</v>
      </c>
      <c r="B35" s="8">
        <v>934.0</v>
      </c>
      <c r="C35" s="7">
        <v>45867.25208333333</v>
      </c>
      <c r="D35" s="5" t="s">
        <v>335</v>
      </c>
      <c r="E35" s="5" t="s">
        <v>331</v>
      </c>
      <c r="F35" s="5" t="s">
        <v>211</v>
      </c>
      <c r="G35" s="6">
        <v>2.0</v>
      </c>
      <c r="H35" s="5">
        <v>5.0</v>
      </c>
      <c r="I35" s="5">
        <v>6.0</v>
      </c>
      <c r="J35" s="5" t="s">
        <v>199</v>
      </c>
      <c r="K35" s="5">
        <v>6.0</v>
      </c>
      <c r="L35" s="5">
        <v>6.0</v>
      </c>
      <c r="M35" s="5">
        <v>6.0</v>
      </c>
      <c r="N35" s="5">
        <v>6.0</v>
      </c>
      <c r="O35" s="5">
        <v>7.0</v>
      </c>
      <c r="P35" s="5">
        <v>6.0</v>
      </c>
      <c r="Q35" s="5">
        <v>5.0</v>
      </c>
      <c r="R35" s="5">
        <v>7.0</v>
      </c>
      <c r="S35" s="5">
        <v>6.0</v>
      </c>
      <c r="T35" s="5">
        <v>3.0</v>
      </c>
      <c r="U35" s="5">
        <v>6.0</v>
      </c>
      <c r="V35" s="5">
        <v>2.0</v>
      </c>
      <c r="W35" s="5">
        <f t="shared" si="1"/>
        <v>6</v>
      </c>
      <c r="X35" s="5" t="s">
        <v>336</v>
      </c>
      <c r="Y35" s="5" t="s">
        <v>206</v>
      </c>
      <c r="Z35" s="5">
        <v>6.0</v>
      </c>
      <c r="AA35" s="5">
        <v>6.0</v>
      </c>
      <c r="AB35" s="5">
        <v>7.0</v>
      </c>
      <c r="AC35" s="5">
        <v>7.0</v>
      </c>
      <c r="AD35" s="5">
        <v>6.0</v>
      </c>
      <c r="AE35" s="5">
        <v>3.0</v>
      </c>
      <c r="AF35" s="5" t="s">
        <v>337</v>
      </c>
      <c r="AG35" s="5" t="s">
        <v>206</v>
      </c>
      <c r="AH35" s="5">
        <v>7.0</v>
      </c>
      <c r="AI35" s="5">
        <v>7.0</v>
      </c>
      <c r="AJ35" s="5">
        <v>7.0</v>
      </c>
      <c r="AK35" s="5">
        <v>1.0</v>
      </c>
      <c r="AL35" s="5">
        <f t="shared" si="2"/>
        <v>7</v>
      </c>
      <c r="AM35" s="5">
        <v>1.0</v>
      </c>
      <c r="AN35" s="5">
        <f t="shared" si="3"/>
        <v>7</v>
      </c>
      <c r="AO35" s="5">
        <v>1.0</v>
      </c>
      <c r="AP35" s="5">
        <f t="shared" si="4"/>
        <v>7</v>
      </c>
      <c r="AQ35" s="5">
        <v>1.0</v>
      </c>
      <c r="AR35" s="5">
        <f t="shared" si="5"/>
        <v>7</v>
      </c>
      <c r="AS35" s="5" t="s">
        <v>338</v>
      </c>
    </row>
    <row r="36">
      <c r="A36" s="8">
        <f>IFERROR(__xludf.DUMMYFUNCTION("IF(E36="""", """", VALUE(REGEXREPLACE(E36, ""^[Pp]"", """")))"),10.0)</f>
        <v>10</v>
      </c>
      <c r="B36" s="8">
        <v>4924.0</v>
      </c>
      <c r="C36" s="7">
        <v>45867.26388888889</v>
      </c>
      <c r="D36" s="5" t="s">
        <v>343</v>
      </c>
      <c r="E36" s="5" t="s">
        <v>331</v>
      </c>
      <c r="F36" s="5" t="s">
        <v>216</v>
      </c>
      <c r="G36" s="6">
        <v>3.0</v>
      </c>
      <c r="H36" s="5">
        <v>6.0</v>
      </c>
      <c r="I36" s="5">
        <v>6.0</v>
      </c>
      <c r="J36" s="5" t="s">
        <v>199</v>
      </c>
      <c r="K36" s="5">
        <v>6.0</v>
      </c>
      <c r="L36" s="5">
        <v>7.0</v>
      </c>
      <c r="M36" s="5">
        <v>6.0</v>
      </c>
      <c r="N36" s="5">
        <v>6.0</v>
      </c>
      <c r="O36" s="5">
        <v>6.0</v>
      </c>
      <c r="P36" s="5">
        <v>6.0</v>
      </c>
      <c r="Q36" s="5">
        <v>5.0</v>
      </c>
      <c r="R36" s="5">
        <v>6.0</v>
      </c>
      <c r="S36" s="5">
        <v>6.0</v>
      </c>
      <c r="T36" s="5">
        <v>3.0</v>
      </c>
      <c r="U36" s="5">
        <v>6.0</v>
      </c>
      <c r="V36" s="5">
        <v>5.0</v>
      </c>
      <c r="W36" s="5">
        <f t="shared" si="1"/>
        <v>3</v>
      </c>
      <c r="X36" s="5" t="s">
        <v>344</v>
      </c>
      <c r="Y36" s="5" t="s">
        <v>206</v>
      </c>
      <c r="Z36" s="5">
        <v>6.0</v>
      </c>
      <c r="AA36" s="5">
        <v>6.0</v>
      </c>
      <c r="AB36" s="5">
        <v>6.0</v>
      </c>
      <c r="AC36" s="5">
        <v>6.0</v>
      </c>
      <c r="AD36" s="5">
        <v>6.0</v>
      </c>
      <c r="AE36" s="5">
        <v>6.0</v>
      </c>
      <c r="AF36" s="5" t="s">
        <v>345</v>
      </c>
      <c r="AG36" s="5" t="s">
        <v>206</v>
      </c>
      <c r="AH36" s="5">
        <v>6.0</v>
      </c>
      <c r="AI36" s="5">
        <v>7.0</v>
      </c>
      <c r="AJ36" s="5">
        <v>6.0</v>
      </c>
      <c r="AK36" s="5">
        <v>1.0</v>
      </c>
      <c r="AL36" s="5">
        <f t="shared" si="2"/>
        <v>7</v>
      </c>
      <c r="AM36" s="5">
        <v>1.0</v>
      </c>
      <c r="AN36" s="5">
        <f t="shared" si="3"/>
        <v>7</v>
      </c>
      <c r="AO36" s="5">
        <v>1.0</v>
      </c>
      <c r="AP36" s="5">
        <f t="shared" si="4"/>
        <v>7</v>
      </c>
      <c r="AQ36" s="5">
        <v>1.0</v>
      </c>
      <c r="AR36" s="5">
        <f t="shared" si="5"/>
        <v>7</v>
      </c>
      <c r="AS36" s="5" t="s">
        <v>346</v>
      </c>
    </row>
    <row r="37">
      <c r="A37" s="8">
        <f>IFERROR(__xludf.DUMMYFUNCTION("IF(E37="""", """", VALUE(REGEXREPLACE(E37, ""^[Pp]"", """")))"),10.0)</f>
        <v>10</v>
      </c>
      <c r="B37" s="8">
        <v>764.0</v>
      </c>
      <c r="C37" s="7">
        <v>45867.27569444444</v>
      </c>
      <c r="D37" s="5" t="s">
        <v>348</v>
      </c>
      <c r="E37" s="5" t="s">
        <v>331</v>
      </c>
      <c r="F37" s="5" t="s">
        <v>263</v>
      </c>
      <c r="G37" s="6">
        <v>4.0</v>
      </c>
      <c r="H37" s="5">
        <v>7.0</v>
      </c>
      <c r="I37" s="5">
        <v>6.0</v>
      </c>
      <c r="J37" s="5" t="s">
        <v>199</v>
      </c>
      <c r="K37" s="5">
        <v>6.0</v>
      </c>
      <c r="L37" s="5">
        <v>6.0</v>
      </c>
      <c r="M37" s="5">
        <v>7.0</v>
      </c>
      <c r="N37" s="5">
        <v>6.0</v>
      </c>
      <c r="O37" s="5">
        <v>7.0</v>
      </c>
      <c r="P37" s="5">
        <v>6.0</v>
      </c>
      <c r="Q37" s="5">
        <v>6.0</v>
      </c>
      <c r="R37" s="5">
        <v>5.0</v>
      </c>
      <c r="S37" s="5">
        <v>6.0</v>
      </c>
      <c r="T37" s="5">
        <v>2.0</v>
      </c>
      <c r="U37" s="5">
        <v>6.0</v>
      </c>
      <c r="V37" s="5">
        <v>2.0</v>
      </c>
      <c r="W37" s="5">
        <f t="shared" si="1"/>
        <v>6</v>
      </c>
      <c r="X37" s="5" t="s">
        <v>349</v>
      </c>
      <c r="Y37" s="5" t="s">
        <v>206</v>
      </c>
      <c r="Z37" s="5">
        <v>5.0</v>
      </c>
      <c r="AA37" s="5">
        <v>7.0</v>
      </c>
      <c r="AB37" s="5">
        <v>6.0</v>
      </c>
      <c r="AC37" s="5">
        <v>5.0</v>
      </c>
      <c r="AD37" s="5">
        <v>6.0</v>
      </c>
      <c r="AE37" s="5">
        <v>6.0</v>
      </c>
      <c r="AF37" s="5" t="s">
        <v>350</v>
      </c>
      <c r="AG37" s="5" t="s">
        <v>206</v>
      </c>
      <c r="AH37" s="5">
        <v>6.0</v>
      </c>
      <c r="AI37" s="5">
        <v>7.0</v>
      </c>
      <c r="AJ37" s="5">
        <v>7.0</v>
      </c>
      <c r="AK37" s="5">
        <v>2.0</v>
      </c>
      <c r="AL37" s="5">
        <f t="shared" si="2"/>
        <v>6</v>
      </c>
      <c r="AM37" s="5">
        <v>3.0</v>
      </c>
      <c r="AN37" s="5">
        <f t="shared" si="3"/>
        <v>5</v>
      </c>
      <c r="AO37" s="5">
        <v>2.0</v>
      </c>
      <c r="AP37" s="5">
        <f t="shared" si="4"/>
        <v>6</v>
      </c>
      <c r="AQ37" s="5">
        <v>1.0</v>
      </c>
      <c r="AR37" s="5">
        <f t="shared" si="5"/>
        <v>7</v>
      </c>
      <c r="AS37" s="5" t="s">
        <v>351</v>
      </c>
    </row>
    <row r="38">
      <c r="A38" s="8">
        <f>IFERROR(__xludf.DUMMYFUNCTION("IF(E38="""", """", VALUE(REGEXREPLACE(E38, ""^[Pp]"", """")))"),11.0)</f>
        <v>11</v>
      </c>
      <c r="B38" s="8">
        <v>1716.0</v>
      </c>
      <c r="C38" s="7">
        <v>45867.29375</v>
      </c>
      <c r="D38" s="5" t="s">
        <v>361</v>
      </c>
      <c r="E38" s="5" t="s">
        <v>362</v>
      </c>
      <c r="F38" s="5" t="s">
        <v>216</v>
      </c>
      <c r="G38" s="6">
        <v>1.0</v>
      </c>
      <c r="H38" s="5">
        <v>5.0</v>
      </c>
      <c r="I38" s="5">
        <v>7.0</v>
      </c>
      <c r="J38" s="5" t="s">
        <v>199</v>
      </c>
      <c r="K38" s="5">
        <v>6.0</v>
      </c>
      <c r="L38" s="5">
        <v>7.0</v>
      </c>
      <c r="M38" s="5">
        <v>3.0</v>
      </c>
      <c r="N38" s="5">
        <v>6.0</v>
      </c>
      <c r="O38" s="5">
        <v>7.0</v>
      </c>
      <c r="P38" s="5">
        <v>7.0</v>
      </c>
      <c r="Q38" s="5">
        <v>7.0</v>
      </c>
      <c r="R38" s="5">
        <v>7.0</v>
      </c>
      <c r="S38" s="5">
        <v>2.0</v>
      </c>
      <c r="T38" s="5">
        <v>5.0</v>
      </c>
      <c r="U38" s="5">
        <v>5.0</v>
      </c>
      <c r="V38" s="5">
        <v>4.0</v>
      </c>
      <c r="W38" s="5">
        <f t="shared" si="1"/>
        <v>4</v>
      </c>
      <c r="X38" s="11" t="s">
        <v>363</v>
      </c>
      <c r="Y38" s="5" t="s">
        <v>206</v>
      </c>
      <c r="Z38" s="5">
        <v>6.0</v>
      </c>
      <c r="AA38" s="5">
        <v>6.0</v>
      </c>
      <c r="AB38" s="5">
        <v>7.0</v>
      </c>
      <c r="AC38" s="5">
        <v>7.0</v>
      </c>
      <c r="AD38" s="5">
        <v>7.0</v>
      </c>
      <c r="AE38" s="5">
        <v>7.0</v>
      </c>
      <c r="AF38" s="5" t="s">
        <v>364</v>
      </c>
      <c r="AG38" s="5" t="s">
        <v>206</v>
      </c>
      <c r="AH38" s="5">
        <v>7.0</v>
      </c>
      <c r="AI38" s="5">
        <v>6.0</v>
      </c>
      <c r="AJ38" s="5">
        <v>7.0</v>
      </c>
      <c r="AK38" s="5">
        <v>1.0</v>
      </c>
      <c r="AL38" s="5">
        <f t="shared" si="2"/>
        <v>7</v>
      </c>
      <c r="AM38" s="5">
        <v>1.0</v>
      </c>
      <c r="AN38" s="5">
        <f t="shared" si="3"/>
        <v>7</v>
      </c>
      <c r="AO38" s="5">
        <v>1.0</v>
      </c>
      <c r="AP38" s="5">
        <f t="shared" si="4"/>
        <v>7</v>
      </c>
      <c r="AQ38" s="5">
        <v>1.0</v>
      </c>
      <c r="AR38" s="5">
        <f t="shared" si="5"/>
        <v>7</v>
      </c>
      <c r="AS38" s="11" t="s">
        <v>365</v>
      </c>
    </row>
    <row r="39">
      <c r="A39" s="8">
        <f>IFERROR(__xludf.DUMMYFUNCTION("IF(E39="""", """", VALUE(REGEXREPLACE(E39, ""^[Pp]"", """")))"),11.0)</f>
        <v>11</v>
      </c>
      <c r="B39" s="8">
        <v>1333.0</v>
      </c>
      <c r="C39" s="7">
        <v>45867.34583333333</v>
      </c>
      <c r="D39" s="5" t="s">
        <v>374</v>
      </c>
      <c r="E39" s="5" t="s">
        <v>362</v>
      </c>
      <c r="F39" s="5" t="s">
        <v>263</v>
      </c>
      <c r="G39" s="6">
        <v>2.0</v>
      </c>
      <c r="H39" s="5">
        <v>6.0</v>
      </c>
      <c r="I39" s="5">
        <v>6.0</v>
      </c>
      <c r="J39" s="5" t="s">
        <v>199</v>
      </c>
      <c r="K39" s="5">
        <v>7.0</v>
      </c>
      <c r="L39" s="5">
        <v>3.0</v>
      </c>
      <c r="M39" s="5">
        <v>5.0</v>
      </c>
      <c r="N39" s="5">
        <v>6.0</v>
      </c>
      <c r="O39" s="5">
        <v>7.0</v>
      </c>
      <c r="P39" s="5">
        <v>7.0</v>
      </c>
      <c r="Q39" s="5">
        <v>7.0</v>
      </c>
      <c r="R39" s="5">
        <v>7.0</v>
      </c>
      <c r="S39" s="5">
        <v>5.0</v>
      </c>
      <c r="T39" s="5">
        <v>5.0</v>
      </c>
      <c r="U39" s="5">
        <v>7.0</v>
      </c>
      <c r="V39" s="5">
        <v>5.0</v>
      </c>
      <c r="W39" s="5">
        <f t="shared" si="1"/>
        <v>3</v>
      </c>
      <c r="X39" s="5" t="s">
        <v>375</v>
      </c>
      <c r="Y39" s="5" t="s">
        <v>206</v>
      </c>
      <c r="Z39" s="5">
        <v>6.0</v>
      </c>
      <c r="AA39" s="5">
        <v>7.0</v>
      </c>
      <c r="AB39" s="5">
        <v>7.0</v>
      </c>
      <c r="AC39" s="5">
        <v>3.0</v>
      </c>
      <c r="AD39" s="5">
        <v>4.0</v>
      </c>
      <c r="AE39" s="5">
        <v>4.0</v>
      </c>
      <c r="AF39" s="5" t="s">
        <v>376</v>
      </c>
      <c r="AG39" s="5" t="s">
        <v>206</v>
      </c>
      <c r="AH39" s="5">
        <v>6.0</v>
      </c>
      <c r="AI39" s="5">
        <v>6.0</v>
      </c>
      <c r="AJ39" s="5">
        <v>6.0</v>
      </c>
      <c r="AK39" s="5">
        <v>2.0</v>
      </c>
      <c r="AL39" s="5">
        <f t="shared" si="2"/>
        <v>6</v>
      </c>
      <c r="AM39" s="5">
        <v>6.0</v>
      </c>
      <c r="AN39" s="5">
        <f t="shared" si="3"/>
        <v>2</v>
      </c>
      <c r="AO39" s="5">
        <v>2.0</v>
      </c>
      <c r="AP39" s="5">
        <f t="shared" si="4"/>
        <v>6</v>
      </c>
      <c r="AQ39" s="5">
        <v>2.0</v>
      </c>
      <c r="AR39" s="5">
        <f t="shared" si="5"/>
        <v>6</v>
      </c>
      <c r="AS39" s="5" t="s">
        <v>377</v>
      </c>
    </row>
    <row r="40">
      <c r="A40" s="8">
        <f>IFERROR(__xludf.DUMMYFUNCTION("IF(E40="""", """", VALUE(REGEXREPLACE(E40, ""^[Pp]"", """")))"),11.0)</f>
        <v>11</v>
      </c>
      <c r="B40" s="8">
        <v>1578.0</v>
      </c>
      <c r="C40" s="7">
        <v>45869.29513888889</v>
      </c>
      <c r="D40" s="5" t="s">
        <v>688</v>
      </c>
      <c r="E40" s="5" t="s">
        <v>362</v>
      </c>
      <c r="F40" s="5" t="s">
        <v>211</v>
      </c>
      <c r="G40" s="6">
        <v>3.0</v>
      </c>
      <c r="H40" s="5">
        <v>6.0</v>
      </c>
      <c r="I40" s="5">
        <v>7.0</v>
      </c>
      <c r="J40" s="5" t="s">
        <v>199</v>
      </c>
      <c r="K40" s="5">
        <v>6.0</v>
      </c>
      <c r="L40" s="5">
        <v>6.0</v>
      </c>
      <c r="M40" s="5">
        <v>4.0</v>
      </c>
      <c r="N40" s="5">
        <v>6.0</v>
      </c>
      <c r="O40" s="5">
        <v>5.0</v>
      </c>
      <c r="P40" s="5">
        <v>6.0</v>
      </c>
      <c r="Q40" s="5">
        <v>7.0</v>
      </c>
      <c r="R40" s="5">
        <v>3.0</v>
      </c>
      <c r="S40" s="5">
        <v>4.0</v>
      </c>
      <c r="T40" s="5">
        <v>4.0</v>
      </c>
      <c r="U40" s="5">
        <v>7.0</v>
      </c>
      <c r="V40" s="5">
        <v>5.0</v>
      </c>
      <c r="W40" s="5">
        <f t="shared" si="1"/>
        <v>3</v>
      </c>
      <c r="X40" s="5" t="s">
        <v>689</v>
      </c>
      <c r="Y40" s="5" t="s">
        <v>206</v>
      </c>
      <c r="Z40" s="5">
        <v>4.0</v>
      </c>
      <c r="AA40" s="5">
        <v>6.0</v>
      </c>
      <c r="AB40" s="5">
        <v>7.0</v>
      </c>
      <c r="AC40" s="5">
        <v>7.0</v>
      </c>
      <c r="AD40" s="5">
        <v>7.0</v>
      </c>
      <c r="AE40" s="5">
        <v>5.0</v>
      </c>
      <c r="AF40" s="5" t="s">
        <v>690</v>
      </c>
      <c r="AG40" s="5" t="s">
        <v>206</v>
      </c>
      <c r="AH40" s="5">
        <v>7.0</v>
      </c>
      <c r="AI40" s="5">
        <v>7.0</v>
      </c>
      <c r="AJ40" s="5">
        <v>7.0</v>
      </c>
      <c r="AK40" s="5">
        <v>1.0</v>
      </c>
      <c r="AL40" s="5">
        <f t="shared" si="2"/>
        <v>7</v>
      </c>
      <c r="AM40" s="5">
        <v>1.0</v>
      </c>
      <c r="AN40" s="5">
        <f t="shared" si="3"/>
        <v>7</v>
      </c>
      <c r="AO40" s="5">
        <v>1.0</v>
      </c>
      <c r="AP40" s="5">
        <f t="shared" si="4"/>
        <v>7</v>
      </c>
      <c r="AQ40" s="5">
        <v>1.0</v>
      </c>
      <c r="AR40" s="5">
        <f t="shared" si="5"/>
        <v>7</v>
      </c>
      <c r="AS40" s="5" t="s">
        <v>691</v>
      </c>
    </row>
    <row r="41">
      <c r="A41" s="8">
        <f>IFERROR(__xludf.DUMMYFUNCTION("IF(E41="""", """", VALUE(REGEXREPLACE(E41, ""^[Pp]"", """")))"),11.0)</f>
        <v>11</v>
      </c>
      <c r="B41" s="8">
        <v>1459.0</v>
      </c>
      <c r="C41" s="7">
        <v>45869.31805555556</v>
      </c>
      <c r="D41" s="5" t="s">
        <v>704</v>
      </c>
      <c r="E41" s="5" t="s">
        <v>362</v>
      </c>
      <c r="F41" s="5" t="s">
        <v>197</v>
      </c>
      <c r="G41" s="6">
        <v>4.0</v>
      </c>
      <c r="H41" s="5">
        <v>6.0</v>
      </c>
      <c r="I41" s="5">
        <v>6.0</v>
      </c>
      <c r="J41" s="5" t="s">
        <v>199</v>
      </c>
      <c r="K41" s="5">
        <v>6.0</v>
      </c>
      <c r="L41" s="5">
        <v>5.0</v>
      </c>
      <c r="M41" s="5">
        <v>6.0</v>
      </c>
      <c r="N41" s="5">
        <v>6.0</v>
      </c>
      <c r="O41" s="5">
        <v>6.0</v>
      </c>
      <c r="P41" s="5">
        <v>7.0</v>
      </c>
      <c r="Q41" s="5">
        <v>7.0</v>
      </c>
      <c r="R41" s="5">
        <v>7.0</v>
      </c>
      <c r="S41" s="5">
        <v>4.0</v>
      </c>
      <c r="T41" s="5">
        <v>3.0</v>
      </c>
      <c r="U41" s="5">
        <v>7.0</v>
      </c>
      <c r="V41" s="5">
        <v>5.0</v>
      </c>
      <c r="W41" s="5">
        <f t="shared" si="1"/>
        <v>3</v>
      </c>
      <c r="X41" s="5" t="s">
        <v>705</v>
      </c>
      <c r="Y41" s="5" t="s">
        <v>206</v>
      </c>
      <c r="Z41" s="5">
        <v>6.0</v>
      </c>
      <c r="AA41" s="5">
        <v>6.0</v>
      </c>
      <c r="AB41" s="5">
        <v>7.0</v>
      </c>
      <c r="AC41" s="5">
        <v>6.0</v>
      </c>
      <c r="AD41" s="5">
        <v>6.0</v>
      </c>
      <c r="AE41" s="5">
        <v>4.0</v>
      </c>
      <c r="AF41" s="5" t="s">
        <v>706</v>
      </c>
      <c r="AG41" s="5" t="s">
        <v>206</v>
      </c>
      <c r="AH41" s="5">
        <v>7.0</v>
      </c>
      <c r="AI41" s="5">
        <v>5.0</v>
      </c>
      <c r="AJ41" s="5">
        <v>5.0</v>
      </c>
      <c r="AK41" s="5">
        <v>2.0</v>
      </c>
      <c r="AL41" s="5">
        <f t="shared" si="2"/>
        <v>6</v>
      </c>
      <c r="AM41" s="5">
        <v>1.0</v>
      </c>
      <c r="AN41" s="5">
        <f t="shared" si="3"/>
        <v>7</v>
      </c>
      <c r="AO41" s="5">
        <v>1.0</v>
      </c>
      <c r="AP41" s="5">
        <f t="shared" si="4"/>
        <v>7</v>
      </c>
      <c r="AQ41" s="5">
        <v>3.0</v>
      </c>
      <c r="AR41" s="5">
        <f t="shared" si="5"/>
        <v>5</v>
      </c>
      <c r="AS41" s="5" t="s">
        <v>707</v>
      </c>
    </row>
    <row r="42">
      <c r="A42" s="8">
        <f>IFERROR(__xludf.DUMMYFUNCTION("IF(E42="""", """", VALUE(REGEXREPLACE(E42, ""^[Pp]"", """")))"),12.0)</f>
        <v>12</v>
      </c>
      <c r="B42" s="8">
        <v>1145.0</v>
      </c>
      <c r="C42" s="7">
        <v>45867.282638888886</v>
      </c>
      <c r="D42" s="5" t="s">
        <v>352</v>
      </c>
      <c r="E42" s="5" t="s">
        <v>353</v>
      </c>
      <c r="F42" s="5" t="s">
        <v>197</v>
      </c>
      <c r="G42" s="6">
        <v>1.0</v>
      </c>
      <c r="H42" s="5">
        <v>2.0</v>
      </c>
      <c r="I42" s="5">
        <v>1.0</v>
      </c>
      <c r="J42" s="5" t="s">
        <v>199</v>
      </c>
      <c r="K42" s="5">
        <v>2.0</v>
      </c>
      <c r="L42" s="5">
        <v>5.0</v>
      </c>
      <c r="M42" s="5">
        <v>1.0</v>
      </c>
      <c r="N42" s="5">
        <v>4.0</v>
      </c>
      <c r="O42" s="5">
        <v>3.0</v>
      </c>
      <c r="P42" s="5">
        <v>2.0</v>
      </c>
      <c r="Q42" s="5">
        <v>4.0</v>
      </c>
      <c r="R42" s="5">
        <v>3.0</v>
      </c>
      <c r="S42" s="5">
        <v>1.0</v>
      </c>
      <c r="T42" s="5">
        <v>1.0</v>
      </c>
      <c r="U42" s="5">
        <v>3.0</v>
      </c>
      <c r="V42" s="5">
        <v>7.0</v>
      </c>
      <c r="W42" s="5">
        <f t="shared" si="1"/>
        <v>1</v>
      </c>
      <c r="X42" s="5" t="s">
        <v>354</v>
      </c>
      <c r="Y42" s="5" t="s">
        <v>206</v>
      </c>
      <c r="Z42" s="5">
        <v>4.0</v>
      </c>
      <c r="AA42" s="5">
        <v>3.0</v>
      </c>
      <c r="AB42" s="5">
        <v>5.0</v>
      </c>
      <c r="AC42" s="5">
        <v>5.0</v>
      </c>
      <c r="AD42" s="5">
        <v>4.0</v>
      </c>
      <c r="AE42" s="5">
        <v>7.0</v>
      </c>
      <c r="AF42" s="5" t="s">
        <v>355</v>
      </c>
      <c r="AG42" s="5" t="s">
        <v>206</v>
      </c>
      <c r="AH42" s="5">
        <v>4.0</v>
      </c>
      <c r="AI42" s="5">
        <v>5.0</v>
      </c>
      <c r="AJ42" s="5">
        <v>5.0</v>
      </c>
      <c r="AK42" s="5">
        <v>3.0</v>
      </c>
      <c r="AL42" s="5">
        <f t="shared" si="2"/>
        <v>5</v>
      </c>
      <c r="AM42" s="5">
        <v>2.0</v>
      </c>
      <c r="AN42" s="5">
        <f t="shared" si="3"/>
        <v>6</v>
      </c>
      <c r="AO42" s="5">
        <v>5.0</v>
      </c>
      <c r="AP42" s="5">
        <f t="shared" si="4"/>
        <v>3</v>
      </c>
      <c r="AQ42" s="5">
        <v>1.0</v>
      </c>
      <c r="AR42" s="5">
        <f t="shared" si="5"/>
        <v>7</v>
      </c>
      <c r="AS42" s="5" t="s">
        <v>356</v>
      </c>
    </row>
    <row r="43">
      <c r="A43" s="8">
        <f>IFERROR(__xludf.DUMMYFUNCTION("IF(E43="""", """", VALUE(REGEXREPLACE(E43, ""^[Pp]"", """")))"),12.0)</f>
        <v>12</v>
      </c>
      <c r="B43" s="8">
        <v>418.0</v>
      </c>
      <c r="C43" s="7">
        <v>45867.29375</v>
      </c>
      <c r="D43" s="5" t="s">
        <v>357</v>
      </c>
      <c r="E43" s="5" t="s">
        <v>353</v>
      </c>
      <c r="F43" s="5" t="s">
        <v>263</v>
      </c>
      <c r="G43" s="6">
        <v>2.0</v>
      </c>
      <c r="H43" s="5">
        <v>2.0</v>
      </c>
      <c r="I43" s="5">
        <v>4.0</v>
      </c>
      <c r="J43" s="5" t="s">
        <v>199</v>
      </c>
      <c r="K43" s="5">
        <v>3.0</v>
      </c>
      <c r="L43" s="5">
        <v>1.0</v>
      </c>
      <c r="M43" s="5">
        <v>1.0</v>
      </c>
      <c r="N43" s="5">
        <v>3.0</v>
      </c>
      <c r="O43" s="5">
        <v>3.0</v>
      </c>
      <c r="P43" s="5">
        <v>6.0</v>
      </c>
      <c r="Q43" s="5">
        <v>6.0</v>
      </c>
      <c r="R43" s="5">
        <v>6.0</v>
      </c>
      <c r="S43" s="5">
        <v>2.0</v>
      </c>
      <c r="T43" s="5">
        <v>1.0</v>
      </c>
      <c r="U43" s="5">
        <v>2.0</v>
      </c>
      <c r="V43" s="5">
        <v>7.0</v>
      </c>
      <c r="W43" s="5">
        <f t="shared" si="1"/>
        <v>1</v>
      </c>
      <c r="X43" s="11" t="s">
        <v>358</v>
      </c>
      <c r="Y43" s="5" t="s">
        <v>206</v>
      </c>
      <c r="Z43" s="5">
        <v>4.0</v>
      </c>
      <c r="AA43" s="5">
        <v>5.0</v>
      </c>
      <c r="AB43" s="5">
        <v>6.0</v>
      </c>
      <c r="AC43" s="5">
        <v>3.0</v>
      </c>
      <c r="AD43" s="5">
        <v>7.0</v>
      </c>
      <c r="AE43" s="5">
        <v>5.0</v>
      </c>
      <c r="AF43" s="5" t="s">
        <v>359</v>
      </c>
      <c r="AG43" s="5" t="s">
        <v>206</v>
      </c>
      <c r="AH43" s="5">
        <v>5.0</v>
      </c>
      <c r="AI43" s="5">
        <v>6.0</v>
      </c>
      <c r="AJ43" s="5">
        <v>3.0</v>
      </c>
      <c r="AK43" s="5">
        <v>3.0</v>
      </c>
      <c r="AL43" s="5">
        <f t="shared" si="2"/>
        <v>5</v>
      </c>
      <c r="AM43" s="5">
        <v>3.0</v>
      </c>
      <c r="AN43" s="5">
        <f t="shared" si="3"/>
        <v>5</v>
      </c>
      <c r="AO43" s="5">
        <v>5.0</v>
      </c>
      <c r="AP43" s="5">
        <f t="shared" si="4"/>
        <v>3</v>
      </c>
      <c r="AQ43" s="5">
        <v>3.0</v>
      </c>
      <c r="AR43" s="5">
        <f t="shared" si="5"/>
        <v>5</v>
      </c>
      <c r="AS43" s="5" t="s">
        <v>360</v>
      </c>
    </row>
    <row r="44">
      <c r="A44" s="8">
        <f>IFERROR(__xludf.DUMMYFUNCTION("IF(E44="""", """", VALUE(REGEXREPLACE(E44, ""^[Pp]"", """")))"),12.0)</f>
        <v>12</v>
      </c>
      <c r="B44" s="8">
        <v>1001.0</v>
      </c>
      <c r="C44" s="7">
        <v>45867.305555555555</v>
      </c>
      <c r="D44" s="5" t="s">
        <v>366</v>
      </c>
      <c r="E44" s="5" t="s">
        <v>353</v>
      </c>
      <c r="F44" s="5" t="s">
        <v>216</v>
      </c>
      <c r="G44" s="6">
        <v>3.0</v>
      </c>
      <c r="H44" s="5">
        <v>4.0</v>
      </c>
      <c r="I44" s="5">
        <v>2.0</v>
      </c>
      <c r="J44" s="5" t="s">
        <v>199</v>
      </c>
      <c r="K44" s="5">
        <v>4.0</v>
      </c>
      <c r="L44" s="5">
        <v>2.0</v>
      </c>
      <c r="M44" s="5">
        <v>1.0</v>
      </c>
      <c r="N44" s="5">
        <v>3.0</v>
      </c>
      <c r="O44" s="5">
        <v>6.0</v>
      </c>
      <c r="P44" s="5">
        <v>3.0</v>
      </c>
      <c r="Q44" s="5">
        <v>6.0</v>
      </c>
      <c r="R44" s="5">
        <v>6.0</v>
      </c>
      <c r="S44" s="5">
        <v>1.0</v>
      </c>
      <c r="T44" s="5">
        <v>1.0</v>
      </c>
      <c r="U44" s="5">
        <v>5.0</v>
      </c>
      <c r="V44" s="5">
        <v>7.0</v>
      </c>
      <c r="W44" s="5">
        <f t="shared" si="1"/>
        <v>1</v>
      </c>
      <c r="X44" s="5" t="s">
        <v>367</v>
      </c>
      <c r="Y44" s="5" t="s">
        <v>206</v>
      </c>
      <c r="Z44" s="5">
        <v>6.0</v>
      </c>
      <c r="AA44" s="5">
        <v>4.0</v>
      </c>
      <c r="AB44" s="5">
        <v>5.0</v>
      </c>
      <c r="AC44" s="5">
        <v>6.0</v>
      </c>
      <c r="AD44" s="5">
        <v>6.0</v>
      </c>
      <c r="AE44" s="5">
        <v>4.0</v>
      </c>
      <c r="AF44" s="5" t="s">
        <v>368</v>
      </c>
      <c r="AG44" s="5" t="s">
        <v>206</v>
      </c>
      <c r="AH44" s="5">
        <v>4.0</v>
      </c>
      <c r="AI44" s="5">
        <v>6.0</v>
      </c>
      <c r="AJ44" s="5">
        <v>5.0</v>
      </c>
      <c r="AK44" s="5">
        <v>1.0</v>
      </c>
      <c r="AL44" s="5">
        <f t="shared" si="2"/>
        <v>7</v>
      </c>
      <c r="AM44" s="5">
        <v>1.0</v>
      </c>
      <c r="AN44" s="5">
        <f t="shared" si="3"/>
        <v>7</v>
      </c>
      <c r="AO44" s="5">
        <v>1.0</v>
      </c>
      <c r="AP44" s="5">
        <f t="shared" si="4"/>
        <v>7</v>
      </c>
      <c r="AQ44" s="5">
        <v>1.0</v>
      </c>
      <c r="AR44" s="5">
        <f t="shared" si="5"/>
        <v>7</v>
      </c>
      <c r="AS44" s="5" t="s">
        <v>369</v>
      </c>
    </row>
    <row r="45">
      <c r="A45" s="8">
        <f>IFERROR(__xludf.DUMMYFUNCTION("IF(E45="""", """", VALUE(REGEXREPLACE(E45, ""^[Pp]"", """")))"),12.0)</f>
        <v>12</v>
      </c>
      <c r="B45" s="8">
        <v>594.0</v>
      </c>
      <c r="C45" s="7">
        <v>45867.31458333333</v>
      </c>
      <c r="D45" s="5" t="s">
        <v>370</v>
      </c>
      <c r="E45" s="5" t="s">
        <v>353</v>
      </c>
      <c r="F45" s="5" t="s">
        <v>211</v>
      </c>
      <c r="G45" s="6">
        <v>4.0</v>
      </c>
      <c r="H45" s="5">
        <v>5.0</v>
      </c>
      <c r="I45" s="5">
        <v>1.0</v>
      </c>
      <c r="J45" s="5" t="s">
        <v>199</v>
      </c>
      <c r="K45" s="5">
        <v>1.0</v>
      </c>
      <c r="L45" s="5">
        <v>5.0</v>
      </c>
      <c r="M45" s="5">
        <v>3.0</v>
      </c>
      <c r="N45" s="5">
        <v>2.0</v>
      </c>
      <c r="O45" s="5">
        <v>6.0</v>
      </c>
      <c r="P45" s="5">
        <v>4.0</v>
      </c>
      <c r="Q45" s="5">
        <v>5.0</v>
      </c>
      <c r="R45" s="5">
        <v>5.0</v>
      </c>
      <c r="S45" s="5">
        <v>6.0</v>
      </c>
      <c r="T45" s="5">
        <v>3.0</v>
      </c>
      <c r="U45" s="5">
        <v>5.0</v>
      </c>
      <c r="V45" s="5">
        <v>4.0</v>
      </c>
      <c r="W45" s="5">
        <f t="shared" si="1"/>
        <v>4</v>
      </c>
      <c r="X45" s="5" t="s">
        <v>371</v>
      </c>
      <c r="Y45" s="5" t="s">
        <v>206</v>
      </c>
      <c r="Z45" s="5">
        <v>6.0</v>
      </c>
      <c r="AA45" s="5">
        <v>5.0</v>
      </c>
      <c r="AB45" s="5">
        <v>5.0</v>
      </c>
      <c r="AC45" s="5">
        <v>2.0</v>
      </c>
      <c r="AD45" s="5">
        <v>4.0</v>
      </c>
      <c r="AE45" s="5">
        <v>1.0</v>
      </c>
      <c r="AF45" s="5" t="s">
        <v>372</v>
      </c>
      <c r="AG45" s="5" t="s">
        <v>206</v>
      </c>
      <c r="AH45" s="5">
        <v>5.0</v>
      </c>
      <c r="AI45" s="5">
        <v>5.0</v>
      </c>
      <c r="AJ45" s="5">
        <v>6.0</v>
      </c>
      <c r="AK45" s="5">
        <v>1.0</v>
      </c>
      <c r="AL45" s="5">
        <f t="shared" si="2"/>
        <v>7</v>
      </c>
      <c r="AM45" s="5">
        <v>1.0</v>
      </c>
      <c r="AN45" s="5">
        <f t="shared" si="3"/>
        <v>7</v>
      </c>
      <c r="AO45" s="5">
        <v>1.0</v>
      </c>
      <c r="AP45" s="5">
        <f t="shared" si="4"/>
        <v>7</v>
      </c>
      <c r="AQ45" s="5">
        <v>1.0</v>
      </c>
      <c r="AR45" s="5">
        <f t="shared" si="5"/>
        <v>7</v>
      </c>
      <c r="AS45" s="5" t="s">
        <v>373</v>
      </c>
    </row>
    <row r="46">
      <c r="A46" s="8">
        <f>IFERROR(__xludf.DUMMYFUNCTION("IF(E46="""", """", VALUE(REGEXREPLACE(E46, ""^[Pp]"", """")))"),13.0)</f>
        <v>13</v>
      </c>
      <c r="B46" s="8">
        <v>1140.0</v>
      </c>
      <c r="C46" s="7">
        <v>45868.02847222222</v>
      </c>
      <c r="D46" s="5" t="s">
        <v>378</v>
      </c>
      <c r="E46" s="5" t="s">
        <v>379</v>
      </c>
      <c r="F46" s="5" t="s">
        <v>197</v>
      </c>
      <c r="G46" s="6">
        <v>1.0</v>
      </c>
      <c r="H46" s="5">
        <v>6.0</v>
      </c>
      <c r="I46" s="5">
        <v>6.0</v>
      </c>
      <c r="J46" s="5" t="s">
        <v>199</v>
      </c>
      <c r="K46" s="5">
        <v>6.0</v>
      </c>
      <c r="L46" s="5">
        <v>7.0</v>
      </c>
      <c r="M46" s="5">
        <v>7.0</v>
      </c>
      <c r="N46" s="5">
        <v>6.0</v>
      </c>
      <c r="O46" s="5">
        <v>7.0</v>
      </c>
      <c r="P46" s="5">
        <v>7.0</v>
      </c>
      <c r="Q46" s="5">
        <v>7.0</v>
      </c>
      <c r="R46" s="5">
        <v>6.0</v>
      </c>
      <c r="S46" s="5">
        <v>6.0</v>
      </c>
      <c r="T46" s="5">
        <v>5.0</v>
      </c>
      <c r="U46" s="5">
        <v>6.0</v>
      </c>
      <c r="V46" s="5">
        <v>5.0</v>
      </c>
      <c r="W46" s="5">
        <f t="shared" si="1"/>
        <v>3</v>
      </c>
      <c r="X46" s="5" t="s">
        <v>380</v>
      </c>
      <c r="Y46" s="5" t="s">
        <v>206</v>
      </c>
      <c r="Z46" s="5">
        <v>7.0</v>
      </c>
      <c r="AA46" s="5">
        <v>7.0</v>
      </c>
      <c r="AB46" s="5">
        <v>7.0</v>
      </c>
      <c r="AC46" s="5">
        <v>7.0</v>
      </c>
      <c r="AD46" s="5">
        <v>7.0</v>
      </c>
      <c r="AE46" s="5">
        <v>6.0</v>
      </c>
      <c r="AF46" s="5" t="s">
        <v>381</v>
      </c>
      <c r="AG46" s="5" t="s">
        <v>206</v>
      </c>
      <c r="AH46" s="5">
        <v>6.0</v>
      </c>
      <c r="AI46" s="5">
        <v>6.0</v>
      </c>
      <c r="AJ46" s="5">
        <v>7.0</v>
      </c>
      <c r="AK46" s="5">
        <v>2.0</v>
      </c>
      <c r="AL46" s="5">
        <f t="shared" si="2"/>
        <v>6</v>
      </c>
      <c r="AM46" s="5">
        <v>1.0</v>
      </c>
      <c r="AN46" s="5">
        <f t="shared" si="3"/>
        <v>7</v>
      </c>
      <c r="AO46" s="5">
        <v>2.0</v>
      </c>
      <c r="AP46" s="5">
        <f t="shared" si="4"/>
        <v>6</v>
      </c>
      <c r="AQ46" s="5">
        <v>1.0</v>
      </c>
      <c r="AR46" s="5">
        <f t="shared" si="5"/>
        <v>7</v>
      </c>
      <c r="AS46" s="5" t="s">
        <v>382</v>
      </c>
    </row>
    <row r="47">
      <c r="A47" s="8">
        <f>IFERROR(__xludf.DUMMYFUNCTION("IF(E47="""", """", VALUE(REGEXREPLACE(E47, ""^[Pp]"", """")))"),13.0)</f>
        <v>13</v>
      </c>
      <c r="B47" s="8">
        <v>1527.0</v>
      </c>
      <c r="C47" s="7">
        <v>45868.041666666664</v>
      </c>
      <c r="D47" s="5" t="s">
        <v>390</v>
      </c>
      <c r="E47" s="5" t="s">
        <v>379</v>
      </c>
      <c r="F47" s="5" t="s">
        <v>211</v>
      </c>
      <c r="G47" s="6">
        <v>2.0</v>
      </c>
      <c r="H47" s="5">
        <v>6.0</v>
      </c>
      <c r="I47" s="5">
        <v>6.0</v>
      </c>
      <c r="J47" s="5" t="s">
        <v>199</v>
      </c>
      <c r="K47" s="5">
        <v>6.0</v>
      </c>
      <c r="L47" s="5">
        <v>7.0</v>
      </c>
      <c r="M47" s="5">
        <v>7.0</v>
      </c>
      <c r="N47" s="5">
        <v>6.0</v>
      </c>
      <c r="O47" s="5">
        <v>7.0</v>
      </c>
      <c r="P47" s="5">
        <v>7.0</v>
      </c>
      <c r="Q47" s="5">
        <v>7.0</v>
      </c>
      <c r="R47" s="5">
        <v>6.0</v>
      </c>
      <c r="S47" s="5">
        <v>6.0</v>
      </c>
      <c r="T47" s="5">
        <v>4.0</v>
      </c>
      <c r="U47" s="5">
        <v>6.0</v>
      </c>
      <c r="V47" s="5">
        <v>2.0</v>
      </c>
      <c r="W47" s="5">
        <f t="shared" si="1"/>
        <v>6</v>
      </c>
      <c r="X47" s="5" t="s">
        <v>391</v>
      </c>
      <c r="Y47" s="5" t="s">
        <v>206</v>
      </c>
      <c r="Z47" s="5">
        <v>6.0</v>
      </c>
      <c r="AA47" s="5">
        <v>6.0</v>
      </c>
      <c r="AB47" s="5">
        <v>6.0</v>
      </c>
      <c r="AC47" s="5">
        <v>7.0</v>
      </c>
      <c r="AD47" s="5">
        <v>6.0</v>
      </c>
      <c r="AE47" s="5">
        <v>7.0</v>
      </c>
      <c r="AF47" s="5" t="s">
        <v>392</v>
      </c>
      <c r="AG47" s="5" t="s">
        <v>206</v>
      </c>
      <c r="AH47" s="5">
        <v>7.0</v>
      </c>
      <c r="AI47" s="5">
        <v>7.0</v>
      </c>
      <c r="AJ47" s="5">
        <v>6.0</v>
      </c>
      <c r="AK47" s="5">
        <v>1.0</v>
      </c>
      <c r="AL47" s="5">
        <f t="shared" si="2"/>
        <v>7</v>
      </c>
      <c r="AM47" s="5">
        <v>1.0</v>
      </c>
      <c r="AN47" s="5">
        <f t="shared" si="3"/>
        <v>7</v>
      </c>
      <c r="AO47" s="5">
        <v>1.0</v>
      </c>
      <c r="AP47" s="5">
        <f t="shared" si="4"/>
        <v>7</v>
      </c>
      <c r="AQ47" s="5">
        <v>1.0</v>
      </c>
      <c r="AR47" s="5">
        <f t="shared" si="5"/>
        <v>7</v>
      </c>
      <c r="AS47" s="5" t="s">
        <v>393</v>
      </c>
    </row>
    <row r="48">
      <c r="A48" s="8">
        <f>IFERROR(__xludf.DUMMYFUNCTION("IF(E48="""", """", VALUE(REGEXREPLACE(E48, ""^[Pp]"", """")))"),13.0)</f>
        <v>13</v>
      </c>
      <c r="B48" s="8">
        <v>866.0</v>
      </c>
      <c r="C48" s="7">
        <v>45868.05416666667</v>
      </c>
      <c r="D48" s="5" t="s">
        <v>394</v>
      </c>
      <c r="E48" s="5" t="s">
        <v>379</v>
      </c>
      <c r="F48" s="5" t="s">
        <v>216</v>
      </c>
      <c r="G48" s="6">
        <v>3.0</v>
      </c>
      <c r="H48" s="5">
        <v>6.0</v>
      </c>
      <c r="I48" s="5">
        <v>5.0</v>
      </c>
      <c r="J48" s="5" t="s">
        <v>199</v>
      </c>
      <c r="K48" s="5">
        <v>7.0</v>
      </c>
      <c r="L48" s="5">
        <v>7.0</v>
      </c>
      <c r="M48" s="5">
        <v>7.0</v>
      </c>
      <c r="N48" s="5">
        <v>6.0</v>
      </c>
      <c r="O48" s="5">
        <v>6.0</v>
      </c>
      <c r="P48" s="5">
        <v>7.0</v>
      </c>
      <c r="Q48" s="5">
        <v>7.0</v>
      </c>
      <c r="R48" s="5">
        <v>6.0</v>
      </c>
      <c r="S48" s="5">
        <v>5.0</v>
      </c>
      <c r="T48" s="5">
        <v>6.0</v>
      </c>
      <c r="U48" s="5">
        <v>6.0</v>
      </c>
      <c r="V48" s="5">
        <v>3.0</v>
      </c>
      <c r="W48" s="5">
        <f t="shared" si="1"/>
        <v>5</v>
      </c>
      <c r="X48" s="5" t="s">
        <v>395</v>
      </c>
      <c r="Y48" s="5" t="s">
        <v>206</v>
      </c>
      <c r="Z48" s="5">
        <v>6.0</v>
      </c>
      <c r="AA48" s="5">
        <v>6.0</v>
      </c>
      <c r="AB48" s="5">
        <v>7.0</v>
      </c>
      <c r="AC48" s="5">
        <v>7.0</v>
      </c>
      <c r="AD48" s="5">
        <v>7.0</v>
      </c>
      <c r="AE48" s="5">
        <v>7.0</v>
      </c>
      <c r="AF48" s="5" t="s">
        <v>396</v>
      </c>
      <c r="AG48" s="5" t="s">
        <v>206</v>
      </c>
      <c r="AH48" s="5">
        <v>6.0</v>
      </c>
      <c r="AI48" s="5">
        <v>6.0</v>
      </c>
      <c r="AJ48" s="5">
        <v>6.0</v>
      </c>
      <c r="AK48" s="5">
        <v>1.0</v>
      </c>
      <c r="AL48" s="5">
        <f t="shared" si="2"/>
        <v>7</v>
      </c>
      <c r="AM48" s="5">
        <v>1.0</v>
      </c>
      <c r="AN48" s="5">
        <f t="shared" si="3"/>
        <v>7</v>
      </c>
      <c r="AO48" s="5">
        <v>1.0</v>
      </c>
      <c r="AP48" s="5">
        <f t="shared" si="4"/>
        <v>7</v>
      </c>
      <c r="AQ48" s="5">
        <v>1.0</v>
      </c>
      <c r="AR48" s="5">
        <f t="shared" si="5"/>
        <v>7</v>
      </c>
      <c r="AS48" s="5" t="s">
        <v>397</v>
      </c>
    </row>
    <row r="49">
      <c r="A49" s="8">
        <f>IFERROR(__xludf.DUMMYFUNCTION("IF(E49="""", """", VALUE(REGEXREPLACE(E49, ""^[Pp]"", """")))"),13.0)</f>
        <v>13</v>
      </c>
      <c r="B49" s="8">
        <v>659.0</v>
      </c>
      <c r="C49" s="7">
        <v>45868.072916666664</v>
      </c>
      <c r="D49" s="5" t="s">
        <v>406</v>
      </c>
      <c r="E49" s="5" t="s">
        <v>379</v>
      </c>
      <c r="F49" s="5" t="s">
        <v>263</v>
      </c>
      <c r="G49" s="6">
        <v>4.0</v>
      </c>
      <c r="H49" s="5">
        <v>6.0</v>
      </c>
      <c r="I49" s="5">
        <v>6.0</v>
      </c>
      <c r="J49" s="5" t="s">
        <v>199</v>
      </c>
      <c r="K49" s="5">
        <v>6.0</v>
      </c>
      <c r="L49" s="5">
        <v>6.0</v>
      </c>
      <c r="M49" s="5">
        <v>6.0</v>
      </c>
      <c r="N49" s="5">
        <v>6.0</v>
      </c>
      <c r="O49" s="5">
        <v>7.0</v>
      </c>
      <c r="P49" s="5">
        <v>7.0</v>
      </c>
      <c r="Q49" s="5">
        <v>7.0</v>
      </c>
      <c r="R49" s="5">
        <v>7.0</v>
      </c>
      <c r="S49" s="5">
        <v>5.0</v>
      </c>
      <c r="T49" s="5">
        <v>6.0</v>
      </c>
      <c r="U49" s="5">
        <v>6.0</v>
      </c>
      <c r="V49" s="5">
        <v>6.0</v>
      </c>
      <c r="W49" s="5">
        <f t="shared" si="1"/>
        <v>2</v>
      </c>
      <c r="X49" s="5" t="s">
        <v>407</v>
      </c>
      <c r="Y49" s="5" t="s">
        <v>206</v>
      </c>
      <c r="Z49" s="5">
        <v>6.0</v>
      </c>
      <c r="AA49" s="5">
        <v>7.0</v>
      </c>
      <c r="AB49" s="5">
        <v>7.0</v>
      </c>
      <c r="AC49" s="5">
        <v>7.0</v>
      </c>
      <c r="AD49" s="5">
        <v>7.0</v>
      </c>
      <c r="AE49" s="5">
        <v>7.0</v>
      </c>
      <c r="AF49" s="5" t="s">
        <v>408</v>
      </c>
      <c r="AG49" s="5" t="s">
        <v>206</v>
      </c>
      <c r="AH49" s="5">
        <v>7.0</v>
      </c>
      <c r="AI49" s="5">
        <v>7.0</v>
      </c>
      <c r="AJ49" s="5">
        <v>7.0</v>
      </c>
      <c r="AK49" s="5">
        <v>1.0</v>
      </c>
      <c r="AL49" s="5">
        <f t="shared" si="2"/>
        <v>7</v>
      </c>
      <c r="AM49" s="5">
        <v>1.0</v>
      </c>
      <c r="AN49" s="5">
        <f t="shared" si="3"/>
        <v>7</v>
      </c>
      <c r="AO49" s="5">
        <v>1.0</v>
      </c>
      <c r="AP49" s="5">
        <f t="shared" si="4"/>
        <v>7</v>
      </c>
      <c r="AQ49" s="5">
        <v>1.0</v>
      </c>
      <c r="AR49" s="5">
        <f t="shared" si="5"/>
        <v>7</v>
      </c>
      <c r="AS49" s="5" t="s">
        <v>409</v>
      </c>
    </row>
    <row r="50">
      <c r="A50" s="8">
        <f>IFERROR(__xludf.DUMMYFUNCTION("IF(E50="""", """", VALUE(REGEXREPLACE(E50, ""^[Pp]"", """")))"),14.0)</f>
        <v>14</v>
      </c>
      <c r="B50" s="8">
        <v>2166.0</v>
      </c>
      <c r="C50" s="7">
        <v>45868.040972222225</v>
      </c>
      <c r="D50" s="5" t="s">
        <v>384</v>
      </c>
      <c r="E50" s="5" t="s">
        <v>385</v>
      </c>
      <c r="F50" s="5" t="s">
        <v>211</v>
      </c>
      <c r="G50" s="6">
        <v>1.0</v>
      </c>
      <c r="H50" s="5">
        <v>4.0</v>
      </c>
      <c r="I50" s="5">
        <v>5.0</v>
      </c>
      <c r="J50" s="5" t="s">
        <v>199</v>
      </c>
      <c r="K50" s="5">
        <v>6.0</v>
      </c>
      <c r="L50" s="5">
        <v>6.0</v>
      </c>
      <c r="M50" s="5">
        <v>3.0</v>
      </c>
      <c r="N50" s="5">
        <v>3.0</v>
      </c>
      <c r="O50" s="5">
        <v>6.0</v>
      </c>
      <c r="P50" s="5">
        <v>5.0</v>
      </c>
      <c r="Q50" s="5">
        <v>5.0</v>
      </c>
      <c r="R50" s="5">
        <v>6.0</v>
      </c>
      <c r="S50" s="5">
        <v>4.0</v>
      </c>
      <c r="T50" s="5">
        <v>4.0</v>
      </c>
      <c r="U50" s="5">
        <v>5.0</v>
      </c>
      <c r="V50" s="5">
        <v>4.0</v>
      </c>
      <c r="W50" s="5">
        <f t="shared" si="1"/>
        <v>4</v>
      </c>
      <c r="X50" s="5" t="s">
        <v>386</v>
      </c>
      <c r="Y50" s="5" t="s">
        <v>206</v>
      </c>
      <c r="Z50" s="5">
        <v>6.0</v>
      </c>
      <c r="AA50" s="5">
        <v>6.0</v>
      </c>
      <c r="AB50" s="5">
        <v>7.0</v>
      </c>
      <c r="AC50" s="5">
        <v>6.0</v>
      </c>
      <c r="AD50" s="5">
        <v>5.0</v>
      </c>
      <c r="AE50" s="5">
        <v>4.0</v>
      </c>
      <c r="AF50" s="5" t="s">
        <v>387</v>
      </c>
      <c r="AG50" s="5" t="s">
        <v>206</v>
      </c>
      <c r="AH50" s="5">
        <v>7.0</v>
      </c>
      <c r="AI50" s="5">
        <v>6.0</v>
      </c>
      <c r="AJ50" s="5">
        <v>6.0</v>
      </c>
      <c r="AK50" s="5">
        <v>1.0</v>
      </c>
      <c r="AL50" s="5">
        <f t="shared" si="2"/>
        <v>7</v>
      </c>
      <c r="AM50" s="5">
        <v>1.0</v>
      </c>
      <c r="AN50" s="5">
        <f t="shared" si="3"/>
        <v>7</v>
      </c>
      <c r="AO50" s="5">
        <v>1.0</v>
      </c>
      <c r="AP50" s="5">
        <f t="shared" si="4"/>
        <v>7</v>
      </c>
      <c r="AQ50" s="5">
        <v>1.0</v>
      </c>
      <c r="AR50" s="5">
        <f t="shared" si="5"/>
        <v>7</v>
      </c>
      <c r="AS50" s="5" t="s">
        <v>388</v>
      </c>
    </row>
    <row r="51">
      <c r="A51" s="8">
        <f>IFERROR(__xludf.DUMMYFUNCTION("IF(E51="""", """", VALUE(REGEXREPLACE(E51, ""^[Pp]"", """")))"),14.0)</f>
        <v>14</v>
      </c>
      <c r="B51" s="8">
        <v>863.0</v>
      </c>
      <c r="C51" s="7">
        <v>45868.055555555555</v>
      </c>
      <c r="D51" s="5" t="s">
        <v>398</v>
      </c>
      <c r="E51" s="5" t="s">
        <v>385</v>
      </c>
      <c r="F51" s="5" t="s">
        <v>197</v>
      </c>
      <c r="G51" s="6">
        <v>2.0</v>
      </c>
      <c r="H51" s="5">
        <v>7.0</v>
      </c>
      <c r="I51" s="5">
        <v>6.0</v>
      </c>
      <c r="J51" s="5" t="s">
        <v>199</v>
      </c>
      <c r="K51" s="5">
        <v>6.0</v>
      </c>
      <c r="L51" s="5">
        <v>6.0</v>
      </c>
      <c r="M51" s="5">
        <v>7.0</v>
      </c>
      <c r="N51" s="5">
        <v>6.0</v>
      </c>
      <c r="O51" s="5">
        <v>7.0</v>
      </c>
      <c r="P51" s="5">
        <v>6.0</v>
      </c>
      <c r="Q51" s="5">
        <v>6.0</v>
      </c>
      <c r="R51" s="5">
        <v>6.0</v>
      </c>
      <c r="S51" s="5">
        <v>4.0</v>
      </c>
      <c r="T51" s="5">
        <v>4.0</v>
      </c>
      <c r="U51" s="5">
        <v>6.0</v>
      </c>
      <c r="V51" s="5">
        <v>5.0</v>
      </c>
      <c r="W51" s="5">
        <f t="shared" si="1"/>
        <v>3</v>
      </c>
      <c r="X51" s="5" t="s">
        <v>399</v>
      </c>
      <c r="Y51" s="5" t="s">
        <v>206</v>
      </c>
      <c r="Z51" s="5">
        <v>6.0</v>
      </c>
      <c r="AA51" s="5">
        <v>6.0</v>
      </c>
      <c r="AB51" s="5">
        <v>7.0</v>
      </c>
      <c r="AC51" s="5">
        <v>6.0</v>
      </c>
      <c r="AD51" s="5">
        <v>6.0</v>
      </c>
      <c r="AE51" s="5">
        <v>4.0</v>
      </c>
      <c r="AF51" s="5" t="s">
        <v>400</v>
      </c>
      <c r="AG51" s="5" t="s">
        <v>206</v>
      </c>
      <c r="AH51" s="5">
        <v>6.0</v>
      </c>
      <c r="AI51" s="5">
        <v>6.0</v>
      </c>
      <c r="AJ51" s="5">
        <v>6.0</v>
      </c>
      <c r="AK51" s="5">
        <v>2.0</v>
      </c>
      <c r="AL51" s="5">
        <f t="shared" si="2"/>
        <v>6</v>
      </c>
      <c r="AM51" s="5">
        <v>1.0</v>
      </c>
      <c r="AN51" s="5">
        <f t="shared" si="3"/>
        <v>7</v>
      </c>
      <c r="AO51" s="5">
        <v>2.0</v>
      </c>
      <c r="AP51" s="5">
        <f t="shared" si="4"/>
        <v>6</v>
      </c>
      <c r="AQ51" s="5">
        <v>1.0</v>
      </c>
      <c r="AR51" s="5">
        <f t="shared" si="5"/>
        <v>7</v>
      </c>
      <c r="AS51" s="5" t="s">
        <v>401</v>
      </c>
    </row>
    <row r="52">
      <c r="A52" s="8">
        <f>IFERROR(__xludf.DUMMYFUNCTION("IF(E52="""", """", VALUE(REGEXREPLACE(E52, ""^[Pp]"", """")))"),14.0)</f>
        <v>14</v>
      </c>
      <c r="B52" s="8">
        <v>942.0</v>
      </c>
      <c r="C52" s="7">
        <v>45868.07083333333</v>
      </c>
      <c r="D52" s="5" t="s">
        <v>402</v>
      </c>
      <c r="E52" s="5" t="s">
        <v>385</v>
      </c>
      <c r="F52" s="5" t="s">
        <v>263</v>
      </c>
      <c r="G52" s="6">
        <v>3.0</v>
      </c>
      <c r="H52" s="5">
        <v>6.0</v>
      </c>
      <c r="I52" s="5">
        <v>5.0</v>
      </c>
      <c r="J52" s="5" t="s">
        <v>199</v>
      </c>
      <c r="K52" s="5">
        <v>6.0</v>
      </c>
      <c r="L52" s="5">
        <v>5.0</v>
      </c>
      <c r="M52" s="5">
        <v>7.0</v>
      </c>
      <c r="N52" s="5">
        <v>5.0</v>
      </c>
      <c r="O52" s="5">
        <v>7.0</v>
      </c>
      <c r="P52" s="5">
        <v>6.0</v>
      </c>
      <c r="Q52" s="5">
        <v>5.0</v>
      </c>
      <c r="R52" s="5">
        <v>6.0</v>
      </c>
      <c r="S52" s="5">
        <v>6.0</v>
      </c>
      <c r="T52" s="5">
        <v>2.0</v>
      </c>
      <c r="U52" s="5">
        <v>6.0</v>
      </c>
      <c r="V52" s="5">
        <v>5.0</v>
      </c>
      <c r="W52" s="5">
        <f t="shared" si="1"/>
        <v>3</v>
      </c>
      <c r="X52" s="5" t="s">
        <v>403</v>
      </c>
      <c r="Y52" s="5" t="s">
        <v>206</v>
      </c>
      <c r="Z52" s="5">
        <v>6.0</v>
      </c>
      <c r="AA52" s="5">
        <v>6.0</v>
      </c>
      <c r="AB52" s="5">
        <v>6.0</v>
      </c>
      <c r="AC52" s="5">
        <v>6.0</v>
      </c>
      <c r="AD52" s="5">
        <v>6.0</v>
      </c>
      <c r="AE52" s="5">
        <v>4.0</v>
      </c>
      <c r="AF52" s="5" t="s">
        <v>404</v>
      </c>
      <c r="AG52" s="5" t="s">
        <v>206</v>
      </c>
      <c r="AH52" s="5">
        <v>6.0</v>
      </c>
      <c r="AI52" s="5">
        <v>5.0</v>
      </c>
      <c r="AJ52" s="5">
        <v>5.0</v>
      </c>
      <c r="AK52" s="5">
        <v>2.0</v>
      </c>
      <c r="AL52" s="5">
        <f t="shared" si="2"/>
        <v>6</v>
      </c>
      <c r="AM52" s="5">
        <v>2.0</v>
      </c>
      <c r="AN52" s="5">
        <f t="shared" si="3"/>
        <v>6</v>
      </c>
      <c r="AO52" s="5">
        <v>5.0</v>
      </c>
      <c r="AP52" s="5">
        <f t="shared" si="4"/>
        <v>3</v>
      </c>
      <c r="AQ52" s="5">
        <v>2.0</v>
      </c>
      <c r="AR52" s="5">
        <f t="shared" si="5"/>
        <v>6</v>
      </c>
      <c r="AS52" s="5" t="s">
        <v>405</v>
      </c>
    </row>
    <row r="53">
      <c r="A53" s="8">
        <f>IFERROR(__xludf.DUMMYFUNCTION("IF(E53="""", """", VALUE(REGEXREPLACE(E53, ""^[Pp]"", """")))"),14.0)</f>
        <v>14</v>
      </c>
      <c r="B53" s="8">
        <v>1190.0</v>
      </c>
      <c r="C53" s="7">
        <v>45868.08541666667</v>
      </c>
      <c r="D53" s="5" t="s">
        <v>415</v>
      </c>
      <c r="E53" s="5" t="s">
        <v>385</v>
      </c>
      <c r="F53" s="5" t="s">
        <v>216</v>
      </c>
      <c r="G53" s="6">
        <v>4.0</v>
      </c>
      <c r="H53" s="5">
        <v>3.0</v>
      </c>
      <c r="I53" s="5">
        <v>5.0</v>
      </c>
      <c r="J53" s="5" t="s">
        <v>199</v>
      </c>
      <c r="K53" s="5">
        <v>4.0</v>
      </c>
      <c r="L53" s="5">
        <v>3.0</v>
      </c>
      <c r="M53" s="5">
        <v>3.0</v>
      </c>
      <c r="N53" s="5">
        <v>5.0</v>
      </c>
      <c r="O53" s="5">
        <v>6.0</v>
      </c>
      <c r="P53" s="5">
        <v>6.0</v>
      </c>
      <c r="Q53" s="5">
        <v>6.0</v>
      </c>
      <c r="R53" s="5">
        <v>5.0</v>
      </c>
      <c r="S53" s="5">
        <v>3.0</v>
      </c>
      <c r="T53" s="5">
        <v>3.0</v>
      </c>
      <c r="U53" s="5">
        <v>6.0</v>
      </c>
      <c r="V53" s="5">
        <v>5.0</v>
      </c>
      <c r="W53" s="5">
        <f t="shared" si="1"/>
        <v>3</v>
      </c>
      <c r="X53" s="5" t="s">
        <v>416</v>
      </c>
      <c r="Y53" s="5" t="s">
        <v>206</v>
      </c>
      <c r="Z53" s="5">
        <v>6.0</v>
      </c>
      <c r="AA53" s="5">
        <v>5.0</v>
      </c>
      <c r="AB53" s="5">
        <v>6.0</v>
      </c>
      <c r="AC53" s="5">
        <v>5.0</v>
      </c>
      <c r="AD53" s="5">
        <v>3.0</v>
      </c>
      <c r="AE53" s="5">
        <v>4.0</v>
      </c>
      <c r="AF53" s="5" t="s">
        <v>417</v>
      </c>
      <c r="AG53" s="5" t="s">
        <v>206</v>
      </c>
      <c r="AH53" s="5">
        <v>6.0</v>
      </c>
      <c r="AI53" s="5">
        <v>5.0</v>
      </c>
      <c r="AJ53" s="5">
        <v>3.0</v>
      </c>
      <c r="AK53" s="5">
        <v>1.0</v>
      </c>
      <c r="AL53" s="5">
        <f t="shared" si="2"/>
        <v>7</v>
      </c>
      <c r="AM53" s="5">
        <v>1.0</v>
      </c>
      <c r="AN53" s="5">
        <f t="shared" si="3"/>
        <v>7</v>
      </c>
      <c r="AO53" s="5">
        <v>2.0</v>
      </c>
      <c r="AP53" s="5">
        <f t="shared" si="4"/>
        <v>6</v>
      </c>
      <c r="AQ53" s="5">
        <v>1.0</v>
      </c>
      <c r="AR53" s="5">
        <f t="shared" si="5"/>
        <v>7</v>
      </c>
      <c r="AS53" s="5" t="s">
        <v>418</v>
      </c>
    </row>
    <row r="54">
      <c r="A54" s="8">
        <f>IFERROR(__xludf.DUMMYFUNCTION("IF(E54="""", """", VALUE(REGEXREPLACE(E54, ""^[Pp]"", """")))"),15.0)</f>
        <v>15</v>
      </c>
      <c r="B54" s="8">
        <v>380.0</v>
      </c>
      <c r="C54" s="7">
        <v>45868.08541666667</v>
      </c>
      <c r="D54" s="5" t="s">
        <v>410</v>
      </c>
      <c r="E54" s="5" t="s">
        <v>411</v>
      </c>
      <c r="F54" s="5" t="s">
        <v>263</v>
      </c>
      <c r="G54" s="6">
        <v>1.0</v>
      </c>
      <c r="H54" s="5">
        <v>3.0</v>
      </c>
      <c r="I54" s="5">
        <v>3.0</v>
      </c>
      <c r="J54" s="5" t="s">
        <v>199</v>
      </c>
      <c r="K54" s="5">
        <v>6.0</v>
      </c>
      <c r="L54" s="5">
        <v>6.0</v>
      </c>
      <c r="M54" s="5">
        <v>3.0</v>
      </c>
      <c r="N54" s="5">
        <v>3.0</v>
      </c>
      <c r="O54" s="5">
        <v>5.0</v>
      </c>
      <c r="P54" s="5">
        <v>6.0</v>
      </c>
      <c r="Q54" s="5">
        <v>6.0</v>
      </c>
      <c r="R54" s="5">
        <v>6.0</v>
      </c>
      <c r="S54" s="5">
        <v>3.0</v>
      </c>
      <c r="T54" s="5">
        <v>4.0</v>
      </c>
      <c r="U54" s="5">
        <v>6.0</v>
      </c>
      <c r="V54" s="5">
        <v>2.0</v>
      </c>
      <c r="W54" s="5">
        <f t="shared" si="1"/>
        <v>6</v>
      </c>
      <c r="X54" s="11" t="s">
        <v>412</v>
      </c>
      <c r="Y54" s="5" t="s">
        <v>206</v>
      </c>
      <c r="Z54" s="5">
        <v>5.0</v>
      </c>
      <c r="AA54" s="5">
        <v>5.0</v>
      </c>
      <c r="AB54" s="5">
        <v>5.0</v>
      </c>
      <c r="AC54" s="5">
        <v>5.0</v>
      </c>
      <c r="AD54" s="5">
        <v>5.0</v>
      </c>
      <c r="AE54" s="5">
        <v>6.0</v>
      </c>
      <c r="AF54" s="5" t="s">
        <v>413</v>
      </c>
      <c r="AG54" s="5" t="s">
        <v>206</v>
      </c>
      <c r="AH54" s="5">
        <v>6.0</v>
      </c>
      <c r="AI54" s="5">
        <v>7.0</v>
      </c>
      <c r="AJ54" s="5">
        <v>6.0</v>
      </c>
      <c r="AK54" s="5">
        <v>2.0</v>
      </c>
      <c r="AL54" s="5">
        <f t="shared" si="2"/>
        <v>6</v>
      </c>
      <c r="AM54" s="5">
        <v>2.0</v>
      </c>
      <c r="AN54" s="5">
        <f t="shared" si="3"/>
        <v>6</v>
      </c>
      <c r="AO54" s="5">
        <v>1.0</v>
      </c>
      <c r="AP54" s="5">
        <f t="shared" si="4"/>
        <v>7</v>
      </c>
      <c r="AQ54" s="5">
        <v>2.0</v>
      </c>
      <c r="AR54" s="5">
        <f t="shared" si="5"/>
        <v>6</v>
      </c>
      <c r="AS54" s="5" t="s">
        <v>414</v>
      </c>
    </row>
    <row r="55">
      <c r="A55" s="8">
        <f>IFERROR(__xludf.DUMMYFUNCTION("IF(E55="""", """", VALUE(REGEXREPLACE(E55, ""^[Pp]"", """")))"),15.0)</f>
        <v>15</v>
      </c>
      <c r="B55" s="8">
        <v>627.0</v>
      </c>
      <c r="C55" s="7">
        <v>45868.089583333334</v>
      </c>
      <c r="D55" s="5" t="s">
        <v>419</v>
      </c>
      <c r="E55" s="5" t="s">
        <v>411</v>
      </c>
      <c r="F55" s="5" t="s">
        <v>211</v>
      </c>
      <c r="G55" s="6">
        <v>2.0</v>
      </c>
      <c r="H55" s="5">
        <v>2.0</v>
      </c>
      <c r="I55" s="5">
        <v>2.0</v>
      </c>
      <c r="J55" s="5" t="s">
        <v>199</v>
      </c>
      <c r="K55" s="5">
        <v>2.0</v>
      </c>
      <c r="L55" s="5">
        <v>1.0</v>
      </c>
      <c r="M55" s="5">
        <v>1.0</v>
      </c>
      <c r="N55" s="5">
        <v>2.0</v>
      </c>
      <c r="O55" s="5">
        <v>6.0</v>
      </c>
      <c r="P55" s="5">
        <v>4.0</v>
      </c>
      <c r="Q55" s="5">
        <v>5.0</v>
      </c>
      <c r="R55" s="5">
        <v>5.0</v>
      </c>
      <c r="S55" s="5">
        <v>1.0</v>
      </c>
      <c r="T55" s="5">
        <v>4.0</v>
      </c>
      <c r="U55" s="5">
        <v>2.0</v>
      </c>
      <c r="V55" s="5">
        <v>6.0</v>
      </c>
      <c r="W55" s="5">
        <f t="shared" si="1"/>
        <v>2</v>
      </c>
      <c r="X55" s="5" t="s">
        <v>420</v>
      </c>
      <c r="Y55" s="5" t="s">
        <v>206</v>
      </c>
      <c r="Z55" s="5">
        <v>1.0</v>
      </c>
      <c r="AA55" s="5">
        <v>3.0</v>
      </c>
      <c r="AB55" s="5">
        <v>1.0</v>
      </c>
      <c r="AC55" s="5">
        <v>4.0</v>
      </c>
      <c r="AD55" s="5">
        <v>5.0</v>
      </c>
      <c r="AE55" s="5">
        <v>6.0</v>
      </c>
      <c r="AF55" s="5" t="s">
        <v>421</v>
      </c>
      <c r="AG55" s="5" t="s">
        <v>206</v>
      </c>
      <c r="AH55" s="5">
        <v>5.0</v>
      </c>
      <c r="AI55" s="5">
        <v>4.0</v>
      </c>
      <c r="AJ55" s="5">
        <v>4.0</v>
      </c>
      <c r="AK55" s="5">
        <v>1.0</v>
      </c>
      <c r="AL55" s="5">
        <f t="shared" si="2"/>
        <v>7</v>
      </c>
      <c r="AM55" s="5">
        <v>1.0</v>
      </c>
      <c r="AN55" s="5">
        <f t="shared" si="3"/>
        <v>7</v>
      </c>
      <c r="AO55" s="5">
        <v>1.0</v>
      </c>
      <c r="AP55" s="5">
        <f t="shared" si="4"/>
        <v>7</v>
      </c>
      <c r="AQ55" s="5">
        <v>1.0</v>
      </c>
      <c r="AR55" s="5">
        <f t="shared" si="5"/>
        <v>7</v>
      </c>
      <c r="AS55" s="5" t="s">
        <v>422</v>
      </c>
    </row>
    <row r="56">
      <c r="A56" s="8">
        <f>IFERROR(__xludf.DUMMYFUNCTION("IF(E56="""", """", VALUE(REGEXREPLACE(E56, ""^[Pp]"", """")))"),15.0)</f>
        <v>15</v>
      </c>
      <c r="B56" s="8">
        <v>323.0</v>
      </c>
      <c r="C56" s="7">
        <v>45868.09583333333</v>
      </c>
      <c r="D56" s="5" t="s">
        <v>423</v>
      </c>
      <c r="E56" s="5" t="s">
        <v>411</v>
      </c>
      <c r="F56" s="5" t="s">
        <v>197</v>
      </c>
      <c r="G56" s="6">
        <v>3.0</v>
      </c>
      <c r="H56" s="5">
        <v>4.0</v>
      </c>
      <c r="I56" s="5">
        <v>3.0</v>
      </c>
      <c r="J56" s="5" t="s">
        <v>199</v>
      </c>
      <c r="K56" s="5">
        <v>5.0</v>
      </c>
      <c r="L56" s="5">
        <v>6.0</v>
      </c>
      <c r="M56" s="5">
        <v>4.0</v>
      </c>
      <c r="N56" s="5">
        <v>4.0</v>
      </c>
      <c r="O56" s="5">
        <v>6.0</v>
      </c>
      <c r="P56" s="5">
        <v>6.0</v>
      </c>
      <c r="Q56" s="5">
        <v>6.0</v>
      </c>
      <c r="R56" s="5">
        <v>6.0</v>
      </c>
      <c r="S56" s="5">
        <v>5.0</v>
      </c>
      <c r="T56" s="5">
        <v>4.0</v>
      </c>
      <c r="U56" s="5">
        <v>6.0</v>
      </c>
      <c r="V56" s="5">
        <v>4.0</v>
      </c>
      <c r="W56" s="5">
        <f t="shared" si="1"/>
        <v>4</v>
      </c>
      <c r="X56" s="11" t="s">
        <v>424</v>
      </c>
      <c r="Y56" s="5" t="s">
        <v>206</v>
      </c>
      <c r="Z56" s="5">
        <v>4.0</v>
      </c>
      <c r="AA56" s="5">
        <v>5.0</v>
      </c>
      <c r="AB56" s="5">
        <v>6.0</v>
      </c>
      <c r="AC56" s="5">
        <v>4.0</v>
      </c>
      <c r="AD56" s="5">
        <v>6.0</v>
      </c>
      <c r="AE56" s="5">
        <v>6.0</v>
      </c>
      <c r="AF56" s="11" t="s">
        <v>425</v>
      </c>
      <c r="AG56" s="10"/>
      <c r="AH56" s="5">
        <v>6.0</v>
      </c>
      <c r="AI56" s="5">
        <v>6.0</v>
      </c>
      <c r="AJ56" s="5">
        <v>6.0</v>
      </c>
      <c r="AK56" s="5">
        <v>1.0</v>
      </c>
      <c r="AL56" s="5">
        <f t="shared" si="2"/>
        <v>7</v>
      </c>
      <c r="AM56" s="5">
        <v>1.0</v>
      </c>
      <c r="AN56" s="5">
        <f t="shared" si="3"/>
        <v>7</v>
      </c>
      <c r="AO56" s="5">
        <v>1.0</v>
      </c>
      <c r="AP56" s="5">
        <f t="shared" si="4"/>
        <v>7</v>
      </c>
      <c r="AQ56" s="5">
        <v>1.0</v>
      </c>
      <c r="AR56" s="5">
        <f t="shared" si="5"/>
        <v>7</v>
      </c>
      <c r="AS56" s="5" t="s">
        <v>426</v>
      </c>
    </row>
    <row r="57">
      <c r="A57" s="8">
        <f>IFERROR(__xludf.DUMMYFUNCTION("IF(E57="""", """", VALUE(REGEXREPLACE(E57, ""^[Pp]"", """")))"),15.0)</f>
        <v>15</v>
      </c>
      <c r="B57" s="8">
        <v>459.0</v>
      </c>
      <c r="C57" s="7">
        <v>45868.222916666666</v>
      </c>
      <c r="D57" s="5" t="s">
        <v>466</v>
      </c>
      <c r="E57" s="5" t="s">
        <v>411</v>
      </c>
      <c r="F57" s="5" t="s">
        <v>211</v>
      </c>
      <c r="G57" s="6">
        <v>4.0</v>
      </c>
      <c r="H57" s="5">
        <v>3.0</v>
      </c>
      <c r="I57" s="5">
        <v>3.0</v>
      </c>
      <c r="J57" s="5" t="s">
        <v>199</v>
      </c>
      <c r="K57" s="5">
        <v>5.0</v>
      </c>
      <c r="L57" s="5">
        <v>5.0</v>
      </c>
      <c r="M57" s="5">
        <v>4.0</v>
      </c>
      <c r="N57" s="5">
        <v>5.0</v>
      </c>
      <c r="O57" s="5">
        <v>5.0</v>
      </c>
      <c r="P57" s="5">
        <v>6.0</v>
      </c>
      <c r="Q57" s="5">
        <v>5.0</v>
      </c>
      <c r="R57" s="5">
        <v>5.0</v>
      </c>
      <c r="S57" s="5">
        <v>4.0</v>
      </c>
      <c r="T57" s="5">
        <v>4.0</v>
      </c>
      <c r="U57" s="5">
        <v>5.0</v>
      </c>
      <c r="V57" s="5">
        <v>7.0</v>
      </c>
      <c r="W57" s="5">
        <f t="shared" si="1"/>
        <v>1</v>
      </c>
      <c r="X57" s="5" t="s">
        <v>467</v>
      </c>
      <c r="Y57" s="5" t="s">
        <v>206</v>
      </c>
      <c r="Z57" s="5">
        <v>5.0</v>
      </c>
      <c r="AA57" s="5">
        <v>6.0</v>
      </c>
      <c r="AB57" s="5">
        <v>6.0</v>
      </c>
      <c r="AC57" s="5">
        <v>5.0</v>
      </c>
      <c r="AD57" s="5">
        <v>4.0</v>
      </c>
      <c r="AE57" s="5">
        <v>5.0</v>
      </c>
      <c r="AF57" s="5" t="s">
        <v>413</v>
      </c>
      <c r="AG57" s="5" t="s">
        <v>206</v>
      </c>
      <c r="AH57" s="5">
        <v>5.0</v>
      </c>
      <c r="AI57" s="5">
        <v>5.0</v>
      </c>
      <c r="AJ57" s="5">
        <v>6.0</v>
      </c>
      <c r="AK57" s="5">
        <v>1.0</v>
      </c>
      <c r="AL57" s="5">
        <f t="shared" si="2"/>
        <v>7</v>
      </c>
      <c r="AM57" s="5">
        <v>1.0</v>
      </c>
      <c r="AN57" s="5">
        <f t="shared" si="3"/>
        <v>7</v>
      </c>
      <c r="AO57" s="5">
        <v>1.0</v>
      </c>
      <c r="AP57" s="5">
        <f t="shared" si="4"/>
        <v>7</v>
      </c>
      <c r="AQ57" s="5">
        <v>1.0</v>
      </c>
      <c r="AR57" s="5">
        <f t="shared" si="5"/>
        <v>7</v>
      </c>
      <c r="AS57" s="5" t="s">
        <v>413</v>
      </c>
    </row>
    <row r="58">
      <c r="A58" s="8">
        <f>IFERROR(__xludf.DUMMYFUNCTION("IF(E58="""", """", VALUE(REGEXREPLACE(E58, ""^[Pp]"", """")))"),15.0)</f>
        <v>15</v>
      </c>
      <c r="B58" s="8">
        <v>309.0</v>
      </c>
      <c r="C58" s="7">
        <v>45868.22986111111</v>
      </c>
      <c r="D58" s="5" t="s">
        <v>468</v>
      </c>
      <c r="E58" s="5" t="s">
        <v>411</v>
      </c>
      <c r="F58" s="5" t="s">
        <v>216</v>
      </c>
      <c r="G58" s="6">
        <v>1.0</v>
      </c>
      <c r="H58" s="5">
        <v>4.0</v>
      </c>
      <c r="I58" s="5">
        <v>2.0</v>
      </c>
      <c r="J58" s="5" t="s">
        <v>199</v>
      </c>
      <c r="K58" s="5">
        <v>5.0</v>
      </c>
      <c r="L58" s="5">
        <v>6.0</v>
      </c>
      <c r="M58" s="5">
        <v>3.0</v>
      </c>
      <c r="N58" s="5">
        <v>2.0</v>
      </c>
      <c r="O58" s="5">
        <v>5.0</v>
      </c>
      <c r="P58" s="5">
        <v>5.0</v>
      </c>
      <c r="Q58" s="5">
        <v>5.0</v>
      </c>
      <c r="R58" s="5">
        <v>5.0</v>
      </c>
      <c r="S58" s="5">
        <v>3.0</v>
      </c>
      <c r="T58" s="5">
        <v>4.0</v>
      </c>
      <c r="U58" s="5">
        <v>5.0</v>
      </c>
      <c r="V58" s="5">
        <v>3.0</v>
      </c>
      <c r="W58" s="5">
        <f t="shared" si="1"/>
        <v>5</v>
      </c>
      <c r="X58" s="5" t="s">
        <v>413</v>
      </c>
      <c r="Y58" s="5" t="s">
        <v>206</v>
      </c>
      <c r="Z58" s="5">
        <v>5.0</v>
      </c>
      <c r="AA58" s="5">
        <v>5.0</v>
      </c>
      <c r="AB58" s="5">
        <v>4.0</v>
      </c>
      <c r="AC58" s="5">
        <v>5.0</v>
      </c>
      <c r="AD58" s="5">
        <v>5.0</v>
      </c>
      <c r="AE58" s="5">
        <v>5.0</v>
      </c>
      <c r="AF58" s="5" t="s">
        <v>413</v>
      </c>
      <c r="AG58" s="5" t="s">
        <v>206</v>
      </c>
      <c r="AH58" s="5">
        <v>6.0</v>
      </c>
      <c r="AI58" s="5">
        <v>5.0</v>
      </c>
      <c r="AJ58" s="5">
        <v>5.0</v>
      </c>
      <c r="AK58" s="5">
        <v>1.0</v>
      </c>
      <c r="AL58" s="5">
        <f t="shared" si="2"/>
        <v>7</v>
      </c>
      <c r="AM58" s="5">
        <v>1.0</v>
      </c>
      <c r="AN58" s="5">
        <f t="shared" si="3"/>
        <v>7</v>
      </c>
      <c r="AO58" s="5">
        <v>1.0</v>
      </c>
      <c r="AP58" s="5">
        <f t="shared" si="4"/>
        <v>7</v>
      </c>
      <c r="AQ58" s="5">
        <v>1.0</v>
      </c>
      <c r="AR58" s="5">
        <f t="shared" si="5"/>
        <v>7</v>
      </c>
      <c r="AS58" s="5" t="s">
        <v>413</v>
      </c>
    </row>
    <row r="59">
      <c r="A59" s="8">
        <f>IFERROR(__xludf.DUMMYFUNCTION("IF(E59="""", """", VALUE(REGEXREPLACE(E59, ""^[Pp]"", """")))"),16.0)</f>
        <v>16</v>
      </c>
      <c r="B59" s="8">
        <v>885.0</v>
      </c>
      <c r="C59" s="7">
        <v>45868.10208333333</v>
      </c>
      <c r="D59" s="5" t="s">
        <v>427</v>
      </c>
      <c r="E59" s="5" t="s">
        <v>428</v>
      </c>
      <c r="F59" s="5" t="s">
        <v>216</v>
      </c>
      <c r="G59" s="6">
        <v>2.0</v>
      </c>
      <c r="H59" s="5">
        <v>4.0</v>
      </c>
      <c r="I59" s="5">
        <v>6.0</v>
      </c>
      <c r="J59" s="5" t="s">
        <v>199</v>
      </c>
      <c r="K59" s="5">
        <v>6.0</v>
      </c>
      <c r="L59" s="5">
        <v>6.0</v>
      </c>
      <c r="M59" s="5">
        <v>6.0</v>
      </c>
      <c r="N59" s="5">
        <v>3.0</v>
      </c>
      <c r="O59" s="5">
        <v>6.0</v>
      </c>
      <c r="P59" s="5">
        <v>6.0</v>
      </c>
      <c r="Q59" s="5">
        <v>6.0</v>
      </c>
      <c r="R59" s="5">
        <v>6.0</v>
      </c>
      <c r="S59" s="5">
        <v>3.0</v>
      </c>
      <c r="T59" s="5">
        <v>4.0</v>
      </c>
      <c r="U59" s="5">
        <v>6.0</v>
      </c>
      <c r="V59" s="5">
        <v>6.0</v>
      </c>
      <c r="W59" s="5">
        <f t="shared" si="1"/>
        <v>2</v>
      </c>
      <c r="X59" s="5" t="s">
        <v>429</v>
      </c>
      <c r="Y59" s="5" t="s">
        <v>206</v>
      </c>
      <c r="Z59" s="5">
        <v>5.0</v>
      </c>
      <c r="AA59" s="5">
        <v>5.0</v>
      </c>
      <c r="AB59" s="5">
        <v>5.0</v>
      </c>
      <c r="AC59" s="5">
        <v>6.0</v>
      </c>
      <c r="AD59" s="5">
        <v>4.0</v>
      </c>
      <c r="AE59" s="5">
        <v>5.0</v>
      </c>
      <c r="AF59" s="5" t="s">
        <v>430</v>
      </c>
      <c r="AG59" s="5" t="s">
        <v>206</v>
      </c>
      <c r="AH59" s="5">
        <v>6.0</v>
      </c>
      <c r="AI59" s="5">
        <v>5.0</v>
      </c>
      <c r="AJ59" s="5">
        <v>4.0</v>
      </c>
      <c r="AK59" s="5">
        <v>1.0</v>
      </c>
      <c r="AL59" s="5">
        <f t="shared" si="2"/>
        <v>7</v>
      </c>
      <c r="AM59" s="5">
        <v>1.0</v>
      </c>
      <c r="AN59" s="5">
        <f t="shared" si="3"/>
        <v>7</v>
      </c>
      <c r="AO59" s="5">
        <v>1.0</v>
      </c>
      <c r="AP59" s="5">
        <f t="shared" si="4"/>
        <v>7</v>
      </c>
      <c r="AQ59" s="5">
        <v>1.0</v>
      </c>
      <c r="AR59" s="5">
        <f t="shared" si="5"/>
        <v>7</v>
      </c>
      <c r="AS59" s="5" t="s">
        <v>431</v>
      </c>
    </row>
    <row r="60">
      <c r="A60" s="8">
        <f>IFERROR(__xludf.DUMMYFUNCTION("IF(E60="""", """", VALUE(REGEXREPLACE(E60, ""^[Pp]"", """")))"),16.0)</f>
        <v>16</v>
      </c>
      <c r="B60" s="8">
        <v>675.0</v>
      </c>
      <c r="C60" s="7">
        <v>45868.256944444445</v>
      </c>
      <c r="D60" s="5" t="s">
        <v>478</v>
      </c>
      <c r="E60" s="5" t="s">
        <v>428</v>
      </c>
      <c r="F60" s="5" t="s">
        <v>197</v>
      </c>
      <c r="G60" s="6">
        <v>3.0</v>
      </c>
      <c r="H60" s="5">
        <v>3.0</v>
      </c>
      <c r="I60" s="5">
        <v>2.0</v>
      </c>
      <c r="J60" s="5" t="s">
        <v>199</v>
      </c>
      <c r="K60" s="5">
        <v>5.0</v>
      </c>
      <c r="L60" s="5">
        <v>5.0</v>
      </c>
      <c r="M60" s="5">
        <v>2.0</v>
      </c>
      <c r="N60" s="5">
        <v>2.0</v>
      </c>
      <c r="O60" s="5">
        <v>2.0</v>
      </c>
      <c r="P60" s="5">
        <v>5.0</v>
      </c>
      <c r="Q60" s="5">
        <v>5.0</v>
      </c>
      <c r="R60" s="5">
        <v>5.0</v>
      </c>
      <c r="S60" s="5">
        <v>2.0</v>
      </c>
      <c r="T60" s="5">
        <v>4.0</v>
      </c>
      <c r="U60" s="5">
        <v>5.0</v>
      </c>
      <c r="V60" s="5">
        <v>2.0</v>
      </c>
      <c r="W60" s="5">
        <f t="shared" si="1"/>
        <v>6</v>
      </c>
      <c r="X60" s="5" t="s">
        <v>479</v>
      </c>
      <c r="Y60" s="5" t="s">
        <v>206</v>
      </c>
      <c r="Z60" s="5">
        <v>5.0</v>
      </c>
      <c r="AA60" s="5">
        <v>5.0</v>
      </c>
      <c r="AB60" s="5">
        <v>5.0</v>
      </c>
      <c r="AC60" s="5">
        <v>3.0</v>
      </c>
      <c r="AD60" s="5">
        <v>3.0</v>
      </c>
      <c r="AE60" s="5">
        <v>5.0</v>
      </c>
      <c r="AF60" s="5" t="s">
        <v>480</v>
      </c>
      <c r="AG60" s="5" t="s">
        <v>206</v>
      </c>
      <c r="AH60" s="5">
        <v>5.0</v>
      </c>
      <c r="AI60" s="5">
        <v>5.0</v>
      </c>
      <c r="AJ60" s="5">
        <v>4.0</v>
      </c>
      <c r="AK60" s="5">
        <v>5.0</v>
      </c>
      <c r="AL60" s="5">
        <f t="shared" si="2"/>
        <v>3</v>
      </c>
      <c r="AM60" s="5">
        <v>5.0</v>
      </c>
      <c r="AN60" s="5">
        <f t="shared" si="3"/>
        <v>3</v>
      </c>
      <c r="AO60" s="5">
        <v>5.0</v>
      </c>
      <c r="AP60" s="5">
        <f t="shared" si="4"/>
        <v>3</v>
      </c>
      <c r="AQ60" s="5">
        <v>3.0</v>
      </c>
      <c r="AR60" s="5">
        <f t="shared" si="5"/>
        <v>5</v>
      </c>
      <c r="AS60" s="5" t="s">
        <v>481</v>
      </c>
    </row>
    <row r="61">
      <c r="A61" s="8">
        <f>IFERROR(__xludf.DUMMYFUNCTION("IF(E61="""", """", VALUE(REGEXREPLACE(E61, ""^[Pp]"", """")))"),16.0)</f>
        <v>16</v>
      </c>
      <c r="B61" s="8">
        <v>616.0</v>
      </c>
      <c r="C61" s="7">
        <v>45868.27222222222</v>
      </c>
      <c r="D61" s="5" t="s">
        <v>491</v>
      </c>
      <c r="E61" s="5" t="s">
        <v>428</v>
      </c>
      <c r="F61" s="5" t="s">
        <v>263</v>
      </c>
      <c r="G61" s="6">
        <v>4.0</v>
      </c>
      <c r="H61" s="5">
        <v>2.0</v>
      </c>
      <c r="I61" s="5">
        <v>1.0</v>
      </c>
      <c r="J61" s="5" t="s">
        <v>199</v>
      </c>
      <c r="K61" s="5">
        <v>5.0</v>
      </c>
      <c r="L61" s="5">
        <v>4.0</v>
      </c>
      <c r="M61" s="5">
        <v>2.0</v>
      </c>
      <c r="N61" s="5">
        <v>2.0</v>
      </c>
      <c r="O61" s="5">
        <v>6.0</v>
      </c>
      <c r="P61" s="5">
        <v>5.0</v>
      </c>
      <c r="Q61" s="5">
        <v>6.0</v>
      </c>
      <c r="R61" s="5">
        <v>6.0</v>
      </c>
      <c r="S61" s="5">
        <v>2.0</v>
      </c>
      <c r="T61" s="5">
        <v>6.0</v>
      </c>
      <c r="U61" s="5">
        <v>5.0</v>
      </c>
      <c r="V61" s="5">
        <v>5.0</v>
      </c>
      <c r="W61" s="5">
        <f t="shared" si="1"/>
        <v>3</v>
      </c>
      <c r="X61" s="5" t="s">
        <v>492</v>
      </c>
      <c r="Y61" s="5" t="s">
        <v>206</v>
      </c>
      <c r="Z61" s="5">
        <v>2.0</v>
      </c>
      <c r="AA61" s="5">
        <v>2.0</v>
      </c>
      <c r="AB61" s="5">
        <v>2.0</v>
      </c>
      <c r="AC61" s="5">
        <v>2.0</v>
      </c>
      <c r="AD61" s="5">
        <v>7.0</v>
      </c>
      <c r="AE61" s="5">
        <v>1.0</v>
      </c>
      <c r="AF61" s="5" t="s">
        <v>493</v>
      </c>
      <c r="AG61" s="5" t="s">
        <v>206</v>
      </c>
      <c r="AH61" s="5">
        <v>6.0</v>
      </c>
      <c r="AI61" s="5">
        <v>2.0</v>
      </c>
      <c r="AJ61" s="5">
        <v>3.0</v>
      </c>
      <c r="AK61" s="5">
        <v>7.0</v>
      </c>
      <c r="AL61" s="5">
        <f t="shared" si="2"/>
        <v>1</v>
      </c>
      <c r="AM61" s="5">
        <v>7.0</v>
      </c>
      <c r="AN61" s="5">
        <f t="shared" si="3"/>
        <v>1</v>
      </c>
      <c r="AO61" s="5">
        <v>7.0</v>
      </c>
      <c r="AP61" s="5">
        <f t="shared" si="4"/>
        <v>1</v>
      </c>
      <c r="AQ61" s="5">
        <v>6.0</v>
      </c>
      <c r="AR61" s="5">
        <f t="shared" si="5"/>
        <v>2</v>
      </c>
      <c r="AS61" s="5" t="s">
        <v>494</v>
      </c>
    </row>
    <row r="62">
      <c r="A62" s="8">
        <f>IFERROR(__xludf.DUMMYFUNCTION("IF(E62="""", """", VALUE(REGEXREPLACE(E62, ""^[Pp]"", """")))"),17.0)</f>
        <v>17</v>
      </c>
      <c r="B62" s="8">
        <v>1034.0</v>
      </c>
      <c r="C62" s="7">
        <v>45868.16805555556</v>
      </c>
      <c r="D62" s="5" t="s">
        <v>432</v>
      </c>
      <c r="E62" s="5" t="s">
        <v>433</v>
      </c>
      <c r="F62" s="5" t="s">
        <v>216</v>
      </c>
      <c r="G62" s="6">
        <v>1.0</v>
      </c>
      <c r="H62" s="5">
        <v>3.0</v>
      </c>
      <c r="I62" s="5">
        <v>2.0</v>
      </c>
      <c r="J62" s="5" t="s">
        <v>199</v>
      </c>
      <c r="K62" s="5">
        <v>5.0</v>
      </c>
      <c r="L62" s="5">
        <v>4.0</v>
      </c>
      <c r="M62" s="5">
        <v>2.0</v>
      </c>
      <c r="N62" s="5">
        <v>2.0</v>
      </c>
      <c r="O62" s="5">
        <v>2.0</v>
      </c>
      <c r="P62" s="5">
        <v>6.0</v>
      </c>
      <c r="Q62" s="5">
        <v>6.0</v>
      </c>
      <c r="R62" s="5">
        <v>3.0</v>
      </c>
      <c r="S62" s="5">
        <v>2.0</v>
      </c>
      <c r="T62" s="5">
        <v>2.0</v>
      </c>
      <c r="U62" s="5">
        <v>6.0</v>
      </c>
      <c r="V62" s="5">
        <v>6.0</v>
      </c>
      <c r="W62" s="5">
        <f t="shared" si="1"/>
        <v>2</v>
      </c>
      <c r="X62" s="5" t="s">
        <v>434</v>
      </c>
      <c r="Y62" s="5" t="s">
        <v>206</v>
      </c>
      <c r="Z62" s="5">
        <v>6.0</v>
      </c>
      <c r="AA62" s="5">
        <v>4.0</v>
      </c>
      <c r="AB62" s="5">
        <v>3.0</v>
      </c>
      <c r="AC62" s="5">
        <v>6.0</v>
      </c>
      <c r="AD62" s="5">
        <v>4.0</v>
      </c>
      <c r="AE62" s="5">
        <v>2.0</v>
      </c>
      <c r="AF62" s="5" t="s">
        <v>435</v>
      </c>
      <c r="AG62" s="5" t="s">
        <v>206</v>
      </c>
      <c r="AH62" s="5">
        <v>6.0</v>
      </c>
      <c r="AI62" s="5">
        <v>5.0</v>
      </c>
      <c r="AJ62" s="5">
        <v>3.0</v>
      </c>
      <c r="AK62" s="5">
        <v>2.0</v>
      </c>
      <c r="AL62" s="5">
        <f t="shared" si="2"/>
        <v>6</v>
      </c>
      <c r="AM62" s="5">
        <v>2.0</v>
      </c>
      <c r="AN62" s="5">
        <f t="shared" si="3"/>
        <v>6</v>
      </c>
      <c r="AO62" s="5">
        <v>1.0</v>
      </c>
      <c r="AP62" s="5">
        <f t="shared" si="4"/>
        <v>7</v>
      </c>
      <c r="AQ62" s="5">
        <v>1.0</v>
      </c>
      <c r="AR62" s="5">
        <f t="shared" si="5"/>
        <v>7</v>
      </c>
      <c r="AS62" s="11" t="s">
        <v>436</v>
      </c>
    </row>
    <row r="63">
      <c r="A63" s="8">
        <f>IFERROR(__xludf.DUMMYFUNCTION("IF(E63="""", """", VALUE(REGEXREPLACE(E63, ""^[Pp]"", """")))"),17.0)</f>
        <v>17</v>
      </c>
      <c r="B63" s="8">
        <v>1006.0</v>
      </c>
      <c r="C63" s="7">
        <v>45868.180555555555</v>
      </c>
      <c r="D63" s="5" t="s">
        <v>437</v>
      </c>
      <c r="E63" s="5" t="s">
        <v>433</v>
      </c>
      <c r="F63" s="5" t="s">
        <v>211</v>
      </c>
      <c r="G63" s="6">
        <v>2.0</v>
      </c>
      <c r="H63" s="5">
        <v>2.0</v>
      </c>
      <c r="I63" s="5">
        <v>5.0</v>
      </c>
      <c r="J63" s="5" t="s">
        <v>199</v>
      </c>
      <c r="K63" s="5">
        <v>6.0</v>
      </c>
      <c r="L63" s="5">
        <v>5.0</v>
      </c>
      <c r="M63" s="5">
        <v>4.0</v>
      </c>
      <c r="N63" s="5">
        <v>5.0</v>
      </c>
      <c r="O63" s="5">
        <v>5.0</v>
      </c>
      <c r="P63" s="5">
        <v>7.0</v>
      </c>
      <c r="Q63" s="5">
        <v>6.0</v>
      </c>
      <c r="R63" s="5">
        <v>3.0</v>
      </c>
      <c r="S63" s="5">
        <v>5.0</v>
      </c>
      <c r="T63" s="5">
        <v>5.0</v>
      </c>
      <c r="U63" s="5">
        <v>6.0</v>
      </c>
      <c r="V63" s="5">
        <v>6.0</v>
      </c>
      <c r="W63" s="5">
        <f t="shared" si="1"/>
        <v>2</v>
      </c>
      <c r="X63" s="11" t="s">
        <v>438</v>
      </c>
      <c r="Y63" s="5" t="s">
        <v>206</v>
      </c>
      <c r="Z63" s="5">
        <v>6.0</v>
      </c>
      <c r="AA63" s="5">
        <v>4.0</v>
      </c>
      <c r="AB63" s="5">
        <v>5.0</v>
      </c>
      <c r="AC63" s="5">
        <v>5.0</v>
      </c>
      <c r="AD63" s="5">
        <v>5.0</v>
      </c>
      <c r="AE63" s="5">
        <v>6.0</v>
      </c>
      <c r="AF63" s="11" t="s">
        <v>439</v>
      </c>
      <c r="AG63" s="5" t="s">
        <v>206</v>
      </c>
      <c r="AH63" s="5">
        <v>5.0</v>
      </c>
      <c r="AI63" s="5">
        <v>6.0</v>
      </c>
      <c r="AJ63" s="5">
        <v>7.0</v>
      </c>
      <c r="AK63" s="5">
        <v>1.0</v>
      </c>
      <c r="AL63" s="5">
        <f t="shared" si="2"/>
        <v>7</v>
      </c>
      <c r="AM63" s="5">
        <v>2.0</v>
      </c>
      <c r="AN63" s="5">
        <f t="shared" si="3"/>
        <v>6</v>
      </c>
      <c r="AO63" s="5">
        <v>1.0</v>
      </c>
      <c r="AP63" s="5">
        <f t="shared" si="4"/>
        <v>7</v>
      </c>
      <c r="AQ63" s="5">
        <v>1.0</v>
      </c>
      <c r="AR63" s="5">
        <f t="shared" si="5"/>
        <v>7</v>
      </c>
      <c r="AS63" s="5" t="s">
        <v>440</v>
      </c>
    </row>
    <row r="64">
      <c r="A64" s="8">
        <f>IFERROR(__xludf.DUMMYFUNCTION("IF(E64="""", """", VALUE(REGEXREPLACE(E64, ""^[Pp]"", """")))"),17.0)</f>
        <v>17</v>
      </c>
      <c r="B64" s="8">
        <v>1471.0</v>
      </c>
      <c r="C64" s="7">
        <v>45868.20138888889</v>
      </c>
      <c r="D64" s="5" t="s">
        <v>450</v>
      </c>
      <c r="E64" s="5" t="s">
        <v>433</v>
      </c>
      <c r="F64" s="5" t="s">
        <v>197</v>
      </c>
      <c r="G64" s="6">
        <v>3.0</v>
      </c>
      <c r="H64" s="5">
        <v>6.0</v>
      </c>
      <c r="I64" s="5">
        <v>6.0</v>
      </c>
      <c r="J64" s="5" t="s">
        <v>199</v>
      </c>
      <c r="K64" s="5">
        <v>6.0</v>
      </c>
      <c r="L64" s="5">
        <v>7.0</v>
      </c>
      <c r="M64" s="5">
        <v>7.0</v>
      </c>
      <c r="N64" s="5">
        <v>6.0</v>
      </c>
      <c r="O64" s="5">
        <v>4.0</v>
      </c>
      <c r="P64" s="5">
        <v>6.0</v>
      </c>
      <c r="Q64" s="5">
        <v>6.0</v>
      </c>
      <c r="R64" s="5">
        <v>6.0</v>
      </c>
      <c r="S64" s="5">
        <v>6.0</v>
      </c>
      <c r="T64" s="5">
        <v>5.0</v>
      </c>
      <c r="U64" s="5">
        <v>7.0</v>
      </c>
      <c r="V64" s="5">
        <v>6.0</v>
      </c>
      <c r="W64" s="5">
        <f t="shared" si="1"/>
        <v>2</v>
      </c>
      <c r="X64" s="11" t="s">
        <v>451</v>
      </c>
      <c r="Y64" s="5" t="s">
        <v>206</v>
      </c>
      <c r="Z64" s="5">
        <v>6.0</v>
      </c>
      <c r="AA64" s="5">
        <v>6.0</v>
      </c>
      <c r="AB64" s="5">
        <v>6.0</v>
      </c>
      <c r="AC64" s="5">
        <v>5.0</v>
      </c>
      <c r="AD64" s="5">
        <v>5.0</v>
      </c>
      <c r="AE64" s="5">
        <v>6.0</v>
      </c>
      <c r="AF64" s="5" t="s">
        <v>452</v>
      </c>
      <c r="AG64" s="5" t="s">
        <v>206</v>
      </c>
      <c r="AH64" s="5">
        <v>6.0</v>
      </c>
      <c r="AI64" s="5">
        <v>2.0</v>
      </c>
      <c r="AJ64" s="5">
        <v>7.0</v>
      </c>
      <c r="AK64" s="5">
        <v>2.0</v>
      </c>
      <c r="AL64" s="5">
        <f t="shared" si="2"/>
        <v>6</v>
      </c>
      <c r="AM64" s="5">
        <v>2.0</v>
      </c>
      <c r="AN64" s="5">
        <f t="shared" si="3"/>
        <v>6</v>
      </c>
      <c r="AO64" s="5">
        <v>5.0</v>
      </c>
      <c r="AP64" s="5">
        <f t="shared" si="4"/>
        <v>3</v>
      </c>
      <c r="AQ64" s="5">
        <v>6.0</v>
      </c>
      <c r="AR64" s="5">
        <f t="shared" si="5"/>
        <v>2</v>
      </c>
      <c r="AS64" s="11" t="s">
        <v>453</v>
      </c>
    </row>
    <row r="65">
      <c r="A65" s="8">
        <f>IFERROR(__xludf.DUMMYFUNCTION("IF(E65="""", """", VALUE(REGEXREPLACE(E65, ""^[Pp]"", """")))"),17.0)</f>
        <v>17</v>
      </c>
      <c r="B65" s="8">
        <v>746.0</v>
      </c>
      <c r="C65" s="7">
        <v>45868.21597222222</v>
      </c>
      <c r="D65" s="5" t="s">
        <v>462</v>
      </c>
      <c r="E65" s="5" t="s">
        <v>433</v>
      </c>
      <c r="F65" s="5" t="s">
        <v>263</v>
      </c>
      <c r="G65" s="6">
        <v>4.0</v>
      </c>
      <c r="H65" s="5">
        <v>6.0</v>
      </c>
      <c r="I65" s="5">
        <v>5.0</v>
      </c>
      <c r="J65" s="5" t="s">
        <v>199</v>
      </c>
      <c r="K65" s="5">
        <v>6.0</v>
      </c>
      <c r="L65" s="5">
        <v>7.0</v>
      </c>
      <c r="M65" s="5">
        <v>6.0</v>
      </c>
      <c r="N65" s="5">
        <v>6.0</v>
      </c>
      <c r="O65" s="5">
        <v>5.0</v>
      </c>
      <c r="P65" s="5">
        <v>6.0</v>
      </c>
      <c r="Q65" s="5">
        <v>6.0</v>
      </c>
      <c r="R65" s="5">
        <v>6.0</v>
      </c>
      <c r="S65" s="5">
        <v>2.0</v>
      </c>
      <c r="T65" s="5">
        <v>3.0</v>
      </c>
      <c r="U65" s="5">
        <v>5.0</v>
      </c>
      <c r="V65" s="5">
        <v>6.0</v>
      </c>
      <c r="W65" s="5">
        <f t="shared" si="1"/>
        <v>2</v>
      </c>
      <c r="X65" s="11" t="s">
        <v>463</v>
      </c>
      <c r="Y65" s="5" t="s">
        <v>206</v>
      </c>
      <c r="Z65" s="5">
        <v>6.0</v>
      </c>
      <c r="AA65" s="5">
        <v>6.0</v>
      </c>
      <c r="AB65" s="5">
        <v>6.0</v>
      </c>
      <c r="AC65" s="5">
        <v>5.0</v>
      </c>
      <c r="AD65" s="5">
        <v>5.0</v>
      </c>
      <c r="AE65" s="5">
        <v>6.0</v>
      </c>
      <c r="AF65" s="5" t="s">
        <v>464</v>
      </c>
      <c r="AG65" s="5" t="s">
        <v>206</v>
      </c>
      <c r="AH65" s="5">
        <v>6.0</v>
      </c>
      <c r="AI65" s="5">
        <v>5.0</v>
      </c>
      <c r="AJ65" s="5">
        <v>7.0</v>
      </c>
      <c r="AK65" s="5">
        <v>2.0</v>
      </c>
      <c r="AL65" s="5">
        <f t="shared" si="2"/>
        <v>6</v>
      </c>
      <c r="AM65" s="5">
        <v>2.0</v>
      </c>
      <c r="AN65" s="5">
        <f t="shared" si="3"/>
        <v>6</v>
      </c>
      <c r="AO65" s="5">
        <v>6.0</v>
      </c>
      <c r="AP65" s="5">
        <f t="shared" si="4"/>
        <v>2</v>
      </c>
      <c r="AQ65" s="5">
        <v>5.0</v>
      </c>
      <c r="AR65" s="5">
        <f t="shared" si="5"/>
        <v>3</v>
      </c>
      <c r="AS65" s="11" t="s">
        <v>465</v>
      </c>
    </row>
    <row r="66">
      <c r="A66" s="8">
        <f>IFERROR(__xludf.DUMMYFUNCTION("IF(E66="""", """", VALUE(REGEXREPLACE(E66, ""^[Pp]"", """")))"),18.0)</f>
        <v>18</v>
      </c>
      <c r="B66" s="8">
        <v>961.0</v>
      </c>
      <c r="C66" s="7">
        <v>45868.183333333334</v>
      </c>
      <c r="D66" s="5" t="s">
        <v>441</v>
      </c>
      <c r="E66" s="5" t="s">
        <v>442</v>
      </c>
      <c r="F66" s="5" t="s">
        <v>197</v>
      </c>
      <c r="G66" s="6">
        <v>1.0</v>
      </c>
      <c r="H66" s="5">
        <v>3.0</v>
      </c>
      <c r="I66" s="5">
        <v>5.0</v>
      </c>
      <c r="J66" s="5" t="s">
        <v>199</v>
      </c>
      <c r="K66" s="5">
        <v>3.0</v>
      </c>
      <c r="L66" s="5">
        <v>5.0</v>
      </c>
      <c r="M66" s="5">
        <v>5.0</v>
      </c>
      <c r="N66" s="5">
        <v>6.0</v>
      </c>
      <c r="O66" s="5">
        <v>6.0</v>
      </c>
      <c r="P66" s="5">
        <v>6.0</v>
      </c>
      <c r="Q66" s="5">
        <v>6.0</v>
      </c>
      <c r="R66" s="5">
        <v>6.0</v>
      </c>
      <c r="S66" s="5">
        <v>4.0</v>
      </c>
      <c r="T66" s="5">
        <v>5.0</v>
      </c>
      <c r="U66" s="5">
        <v>6.0</v>
      </c>
      <c r="V66" s="5">
        <v>4.0</v>
      </c>
      <c r="W66" s="5">
        <f t="shared" si="1"/>
        <v>4</v>
      </c>
      <c r="X66" s="5" t="s">
        <v>443</v>
      </c>
      <c r="Y66" s="5" t="s">
        <v>206</v>
      </c>
      <c r="Z66" s="5">
        <v>3.0</v>
      </c>
      <c r="AA66" s="5">
        <v>3.0</v>
      </c>
      <c r="AB66" s="5">
        <v>3.0</v>
      </c>
      <c r="AC66" s="5">
        <v>3.0</v>
      </c>
      <c r="AD66" s="5">
        <v>4.0</v>
      </c>
      <c r="AE66" s="5">
        <v>5.0</v>
      </c>
      <c r="AF66" s="5" t="s">
        <v>444</v>
      </c>
      <c r="AG66" s="5" t="s">
        <v>206</v>
      </c>
      <c r="AH66" s="5">
        <v>4.0</v>
      </c>
      <c r="AI66" s="5">
        <v>5.0</v>
      </c>
      <c r="AJ66" s="5">
        <v>5.0</v>
      </c>
      <c r="AK66" s="5">
        <v>2.0</v>
      </c>
      <c r="AL66" s="5">
        <f t="shared" si="2"/>
        <v>6</v>
      </c>
      <c r="AM66" s="5">
        <v>3.0</v>
      </c>
      <c r="AN66" s="5">
        <f t="shared" si="3"/>
        <v>5</v>
      </c>
      <c r="AO66" s="5">
        <v>5.0</v>
      </c>
      <c r="AP66" s="5">
        <f t="shared" si="4"/>
        <v>3</v>
      </c>
      <c r="AQ66" s="5">
        <v>3.0</v>
      </c>
      <c r="AR66" s="5">
        <f t="shared" si="5"/>
        <v>5</v>
      </c>
      <c r="AS66" s="5" t="s">
        <v>445</v>
      </c>
    </row>
    <row r="67">
      <c r="A67" s="8">
        <f>IFERROR(__xludf.DUMMYFUNCTION("IF(E67="""", """", VALUE(REGEXREPLACE(E67, ""^[Pp]"", """")))"),18.0)</f>
        <v>18</v>
      </c>
      <c r="B67" s="8">
        <v>829.0</v>
      </c>
      <c r="C67" s="7">
        <v>45868.19375</v>
      </c>
      <c r="D67" s="5" t="s">
        <v>446</v>
      </c>
      <c r="E67" s="5" t="s">
        <v>442</v>
      </c>
      <c r="F67" s="5" t="s">
        <v>197</v>
      </c>
      <c r="G67" s="6">
        <v>2.0</v>
      </c>
      <c r="H67" s="5">
        <v>5.0</v>
      </c>
      <c r="I67" s="5">
        <v>3.0</v>
      </c>
      <c r="J67" s="5" t="s">
        <v>199</v>
      </c>
      <c r="K67" s="5">
        <v>4.0</v>
      </c>
      <c r="L67" s="5">
        <v>5.0</v>
      </c>
      <c r="M67" s="5">
        <v>7.0</v>
      </c>
      <c r="N67" s="5">
        <v>6.0</v>
      </c>
      <c r="O67" s="5">
        <v>7.0</v>
      </c>
      <c r="P67" s="5">
        <v>7.0</v>
      </c>
      <c r="Q67" s="5">
        <v>6.0</v>
      </c>
      <c r="R67" s="5">
        <v>6.0</v>
      </c>
      <c r="S67" s="5">
        <v>3.0</v>
      </c>
      <c r="T67" s="5">
        <v>5.0</v>
      </c>
      <c r="U67" s="5">
        <v>5.0</v>
      </c>
      <c r="V67" s="5">
        <v>5.0</v>
      </c>
      <c r="W67" s="5">
        <f t="shared" si="1"/>
        <v>3</v>
      </c>
      <c r="X67" s="5" t="s">
        <v>447</v>
      </c>
      <c r="Y67" s="5" t="s">
        <v>206</v>
      </c>
      <c r="Z67" s="5">
        <v>5.0</v>
      </c>
      <c r="AA67" s="5">
        <v>5.0</v>
      </c>
      <c r="AB67" s="5">
        <v>4.0</v>
      </c>
      <c r="AC67" s="5">
        <v>5.0</v>
      </c>
      <c r="AD67" s="5">
        <v>3.0</v>
      </c>
      <c r="AE67" s="5">
        <v>5.0</v>
      </c>
      <c r="AF67" s="5" t="s">
        <v>448</v>
      </c>
      <c r="AG67" s="5" t="s">
        <v>206</v>
      </c>
      <c r="AH67" s="5">
        <v>6.0</v>
      </c>
      <c r="AI67" s="5">
        <v>6.0</v>
      </c>
      <c r="AJ67" s="5">
        <v>6.0</v>
      </c>
      <c r="AK67" s="5">
        <v>2.0</v>
      </c>
      <c r="AL67" s="5">
        <f t="shared" si="2"/>
        <v>6</v>
      </c>
      <c r="AM67" s="5">
        <v>1.0</v>
      </c>
      <c r="AN67" s="5">
        <f t="shared" si="3"/>
        <v>7</v>
      </c>
      <c r="AO67" s="5">
        <v>2.0</v>
      </c>
      <c r="AP67" s="5">
        <f t="shared" si="4"/>
        <v>6</v>
      </c>
      <c r="AQ67" s="5">
        <v>1.0</v>
      </c>
      <c r="AR67" s="5">
        <f t="shared" si="5"/>
        <v>7</v>
      </c>
      <c r="AS67" s="5" t="s">
        <v>449</v>
      </c>
    </row>
    <row r="68">
      <c r="A68" s="8">
        <f>IFERROR(__xludf.DUMMYFUNCTION("IF(E68="""", """", VALUE(REGEXREPLACE(E68, ""^[Pp]"", """")))"),18.0)</f>
        <v>18</v>
      </c>
      <c r="B68" s="8">
        <v>626.0</v>
      </c>
      <c r="C68" s="7">
        <v>45868.20208333333</v>
      </c>
      <c r="D68" s="5" t="s">
        <v>454</v>
      </c>
      <c r="E68" s="5" t="s">
        <v>442</v>
      </c>
      <c r="F68" s="5" t="s">
        <v>216</v>
      </c>
      <c r="G68" s="6">
        <v>3.0</v>
      </c>
      <c r="H68" s="5">
        <v>5.0</v>
      </c>
      <c r="I68" s="5">
        <v>5.0</v>
      </c>
      <c r="J68" s="5" t="s">
        <v>199</v>
      </c>
      <c r="K68" s="5">
        <v>5.0</v>
      </c>
      <c r="L68" s="5">
        <v>5.0</v>
      </c>
      <c r="M68" s="5">
        <v>6.0</v>
      </c>
      <c r="N68" s="5">
        <v>5.0</v>
      </c>
      <c r="O68" s="5">
        <v>5.0</v>
      </c>
      <c r="P68" s="5">
        <v>5.0</v>
      </c>
      <c r="Q68" s="5">
        <v>5.0</v>
      </c>
      <c r="R68" s="5">
        <v>5.0</v>
      </c>
      <c r="S68" s="5">
        <v>4.0</v>
      </c>
      <c r="T68" s="5">
        <v>3.0</v>
      </c>
      <c r="U68" s="5">
        <v>5.0</v>
      </c>
      <c r="V68" s="5">
        <v>2.0</v>
      </c>
      <c r="W68" s="5">
        <f t="shared" si="1"/>
        <v>6</v>
      </c>
      <c r="X68" s="5" t="s">
        <v>455</v>
      </c>
      <c r="Y68" s="5" t="s">
        <v>206</v>
      </c>
      <c r="Z68" s="5">
        <v>5.0</v>
      </c>
      <c r="AA68" s="5">
        <v>5.0</v>
      </c>
      <c r="AB68" s="5">
        <v>5.0</v>
      </c>
      <c r="AC68" s="5">
        <v>6.0</v>
      </c>
      <c r="AD68" s="5">
        <v>6.0</v>
      </c>
      <c r="AE68" s="5">
        <v>6.0</v>
      </c>
      <c r="AF68" s="5" t="s">
        <v>456</v>
      </c>
      <c r="AG68" s="5" t="s">
        <v>206</v>
      </c>
      <c r="AH68" s="5">
        <v>6.0</v>
      </c>
      <c r="AI68" s="5">
        <v>6.0</v>
      </c>
      <c r="AJ68" s="5">
        <v>6.0</v>
      </c>
      <c r="AK68" s="5">
        <v>2.0</v>
      </c>
      <c r="AL68" s="5">
        <f t="shared" si="2"/>
        <v>6</v>
      </c>
      <c r="AM68" s="5">
        <v>2.0</v>
      </c>
      <c r="AN68" s="5">
        <f t="shared" si="3"/>
        <v>6</v>
      </c>
      <c r="AO68" s="5">
        <v>2.0</v>
      </c>
      <c r="AP68" s="5">
        <f t="shared" si="4"/>
        <v>6</v>
      </c>
      <c r="AQ68" s="5">
        <v>2.0</v>
      </c>
      <c r="AR68" s="5">
        <f t="shared" si="5"/>
        <v>6</v>
      </c>
      <c r="AS68" s="5" t="s">
        <v>457</v>
      </c>
    </row>
    <row r="69">
      <c r="A69" s="8">
        <f>IFERROR(__xludf.DUMMYFUNCTION("IF(E69="""", """", VALUE(REGEXREPLACE(E69, ""^[Pp]"", """")))"),18.0)</f>
        <v>18</v>
      </c>
      <c r="B69" s="8">
        <v>319.0</v>
      </c>
      <c r="C69" s="7">
        <v>45868.21527777778</v>
      </c>
      <c r="D69" s="5" t="s">
        <v>458</v>
      </c>
      <c r="E69" s="5" t="s">
        <v>442</v>
      </c>
      <c r="F69" s="5" t="s">
        <v>263</v>
      </c>
      <c r="G69" s="6">
        <v>4.0</v>
      </c>
      <c r="H69" s="5">
        <v>5.0</v>
      </c>
      <c r="I69" s="5">
        <v>5.0</v>
      </c>
      <c r="J69" s="5" t="s">
        <v>199</v>
      </c>
      <c r="K69" s="5">
        <v>6.0</v>
      </c>
      <c r="L69" s="5">
        <v>5.0</v>
      </c>
      <c r="M69" s="5">
        <v>5.0</v>
      </c>
      <c r="N69" s="5">
        <v>6.0</v>
      </c>
      <c r="O69" s="5">
        <v>6.0</v>
      </c>
      <c r="P69" s="5">
        <v>6.0</v>
      </c>
      <c r="Q69" s="5">
        <v>6.0</v>
      </c>
      <c r="R69" s="5">
        <v>6.0</v>
      </c>
      <c r="S69" s="5">
        <v>5.0</v>
      </c>
      <c r="T69" s="5">
        <v>4.0</v>
      </c>
      <c r="U69" s="5">
        <v>6.0</v>
      </c>
      <c r="V69" s="5">
        <v>4.0</v>
      </c>
      <c r="W69" s="5">
        <f t="shared" si="1"/>
        <v>4</v>
      </c>
      <c r="X69" s="5" t="s">
        <v>459</v>
      </c>
      <c r="Y69" s="5" t="s">
        <v>206</v>
      </c>
      <c r="Z69" s="5">
        <v>6.0</v>
      </c>
      <c r="AA69" s="5">
        <v>6.0</v>
      </c>
      <c r="AB69" s="5">
        <v>6.0</v>
      </c>
      <c r="AC69" s="5">
        <v>4.0</v>
      </c>
      <c r="AD69" s="5">
        <v>6.0</v>
      </c>
      <c r="AE69" s="5">
        <v>6.0</v>
      </c>
      <c r="AF69" s="5" t="s">
        <v>460</v>
      </c>
      <c r="AG69" s="5" t="s">
        <v>206</v>
      </c>
      <c r="AH69" s="5">
        <v>5.0</v>
      </c>
      <c r="AI69" s="5">
        <v>5.0</v>
      </c>
      <c r="AJ69" s="5">
        <v>4.0</v>
      </c>
      <c r="AK69" s="5">
        <v>3.0</v>
      </c>
      <c r="AL69" s="5">
        <f t="shared" si="2"/>
        <v>5</v>
      </c>
      <c r="AM69" s="5">
        <v>3.0</v>
      </c>
      <c r="AN69" s="5">
        <f t="shared" si="3"/>
        <v>5</v>
      </c>
      <c r="AO69" s="5">
        <v>5.0</v>
      </c>
      <c r="AP69" s="5">
        <f t="shared" si="4"/>
        <v>3</v>
      </c>
      <c r="AQ69" s="5">
        <v>5.0</v>
      </c>
      <c r="AR69" s="5">
        <f t="shared" si="5"/>
        <v>3</v>
      </c>
      <c r="AS69" s="5" t="s">
        <v>461</v>
      </c>
    </row>
    <row r="70">
      <c r="A70" s="8">
        <f>IFERROR(__xludf.DUMMYFUNCTION("IF(E70="""", """", VALUE(REGEXREPLACE(E70, ""^[Pp]"", """")))"),19.0)</f>
        <v>19</v>
      </c>
      <c r="B70" s="8">
        <v>723.0</v>
      </c>
      <c r="C70" s="7">
        <v>45868.2375</v>
      </c>
      <c r="D70" s="5" t="s">
        <v>469</v>
      </c>
      <c r="E70" s="5" t="s">
        <v>470</v>
      </c>
      <c r="F70" s="5" t="s">
        <v>197</v>
      </c>
      <c r="G70" s="6">
        <v>1.0</v>
      </c>
      <c r="H70" s="5">
        <v>5.0</v>
      </c>
      <c r="I70" s="5">
        <v>6.0</v>
      </c>
      <c r="J70" s="5" t="s">
        <v>199</v>
      </c>
      <c r="K70" s="5">
        <v>6.0</v>
      </c>
      <c r="L70" s="5">
        <v>6.0</v>
      </c>
      <c r="M70" s="5">
        <v>6.0</v>
      </c>
      <c r="N70" s="5">
        <v>6.0</v>
      </c>
      <c r="O70" s="5">
        <v>5.0</v>
      </c>
      <c r="P70" s="5">
        <v>6.0</v>
      </c>
      <c r="Q70" s="5">
        <v>6.0</v>
      </c>
      <c r="R70" s="5">
        <v>6.0</v>
      </c>
      <c r="S70" s="5">
        <v>4.0</v>
      </c>
      <c r="T70" s="5">
        <v>4.0</v>
      </c>
      <c r="U70" s="5">
        <v>5.0</v>
      </c>
      <c r="V70" s="5">
        <v>5.0</v>
      </c>
      <c r="W70" s="5">
        <f t="shared" si="1"/>
        <v>3</v>
      </c>
      <c r="X70" s="5" t="s">
        <v>471</v>
      </c>
      <c r="Y70" s="5" t="s">
        <v>206</v>
      </c>
      <c r="Z70" s="5">
        <v>4.0</v>
      </c>
      <c r="AA70" s="5">
        <v>4.0</v>
      </c>
      <c r="AB70" s="5">
        <v>5.0</v>
      </c>
      <c r="AC70" s="5">
        <v>6.0</v>
      </c>
      <c r="AD70" s="5">
        <v>5.0</v>
      </c>
      <c r="AE70" s="5">
        <v>6.0</v>
      </c>
      <c r="AF70" s="5" t="s">
        <v>472</v>
      </c>
      <c r="AG70" s="5" t="s">
        <v>206</v>
      </c>
      <c r="AH70" s="5">
        <v>5.0</v>
      </c>
      <c r="AI70" s="5">
        <v>6.0</v>
      </c>
      <c r="AJ70" s="5">
        <v>6.0</v>
      </c>
      <c r="AK70" s="5">
        <v>5.0</v>
      </c>
      <c r="AL70" s="5">
        <f t="shared" si="2"/>
        <v>3</v>
      </c>
      <c r="AM70" s="5">
        <v>5.0</v>
      </c>
      <c r="AN70" s="5">
        <f t="shared" si="3"/>
        <v>3</v>
      </c>
      <c r="AO70" s="5">
        <v>7.0</v>
      </c>
      <c r="AP70" s="5">
        <f t="shared" si="4"/>
        <v>1</v>
      </c>
      <c r="AQ70" s="5">
        <v>2.0</v>
      </c>
      <c r="AR70" s="5">
        <f t="shared" si="5"/>
        <v>6</v>
      </c>
      <c r="AS70" s="5" t="s">
        <v>473</v>
      </c>
    </row>
    <row r="71">
      <c r="A71" s="8">
        <f>IFERROR(__xludf.DUMMYFUNCTION("IF(E71="""", """", VALUE(REGEXREPLACE(E71, ""^[Pp]"", """")))"),19.0)</f>
        <v>19</v>
      </c>
      <c r="B71" s="8">
        <v>488.0</v>
      </c>
      <c r="C71" s="7">
        <v>45868.24930555555</v>
      </c>
      <c r="D71" s="5" t="s">
        <v>474</v>
      </c>
      <c r="E71" s="5" t="s">
        <v>470</v>
      </c>
      <c r="F71" s="5" t="s">
        <v>263</v>
      </c>
      <c r="G71" s="6">
        <v>2.0</v>
      </c>
      <c r="H71" s="5">
        <v>6.0</v>
      </c>
      <c r="I71" s="5">
        <v>6.0</v>
      </c>
      <c r="J71" s="5" t="s">
        <v>199</v>
      </c>
      <c r="K71" s="5">
        <v>6.0</v>
      </c>
      <c r="L71" s="5">
        <v>5.0</v>
      </c>
      <c r="M71" s="5">
        <v>6.0</v>
      </c>
      <c r="N71" s="5">
        <v>6.0</v>
      </c>
      <c r="O71" s="5">
        <v>6.0</v>
      </c>
      <c r="P71" s="5">
        <v>6.0</v>
      </c>
      <c r="Q71" s="5">
        <v>7.0</v>
      </c>
      <c r="R71" s="5">
        <v>6.0</v>
      </c>
      <c r="S71" s="5">
        <v>6.0</v>
      </c>
      <c r="T71" s="5">
        <v>5.0</v>
      </c>
      <c r="U71" s="5">
        <v>6.0</v>
      </c>
      <c r="V71" s="5">
        <v>7.0</v>
      </c>
      <c r="W71" s="5">
        <f t="shared" si="1"/>
        <v>1</v>
      </c>
      <c r="X71" s="5" t="s">
        <v>475</v>
      </c>
      <c r="Y71" s="5" t="s">
        <v>206</v>
      </c>
      <c r="Z71" s="5">
        <v>6.0</v>
      </c>
      <c r="AA71" s="5">
        <v>5.0</v>
      </c>
      <c r="AB71" s="5">
        <v>6.0</v>
      </c>
      <c r="AC71" s="5">
        <v>5.0</v>
      </c>
      <c r="AD71" s="5">
        <v>5.0</v>
      </c>
      <c r="AE71" s="5">
        <v>5.0</v>
      </c>
      <c r="AF71" s="5" t="s">
        <v>476</v>
      </c>
      <c r="AG71" s="5" t="s">
        <v>206</v>
      </c>
      <c r="AH71" s="5">
        <v>6.0</v>
      </c>
      <c r="AI71" s="5">
        <v>6.0</v>
      </c>
      <c r="AJ71" s="5">
        <v>6.0</v>
      </c>
      <c r="AK71" s="5">
        <v>5.0</v>
      </c>
      <c r="AL71" s="5">
        <f t="shared" si="2"/>
        <v>3</v>
      </c>
      <c r="AM71" s="5">
        <v>5.0</v>
      </c>
      <c r="AN71" s="5">
        <f t="shared" si="3"/>
        <v>3</v>
      </c>
      <c r="AO71" s="5">
        <v>6.0</v>
      </c>
      <c r="AP71" s="5">
        <f t="shared" si="4"/>
        <v>2</v>
      </c>
      <c r="AQ71" s="5">
        <v>4.0</v>
      </c>
      <c r="AR71" s="5">
        <f t="shared" si="5"/>
        <v>4</v>
      </c>
      <c r="AS71" s="5" t="s">
        <v>477</v>
      </c>
    </row>
    <row r="72">
      <c r="A72" s="8">
        <f>IFERROR(__xludf.DUMMYFUNCTION("IF(E72="""", """", VALUE(REGEXREPLACE(E72, ""^[Pp]"", """")))"),19.0)</f>
        <v>19</v>
      </c>
      <c r="B72" s="8">
        <v>735.0</v>
      </c>
      <c r="C72" s="7">
        <v>45868.25833333333</v>
      </c>
      <c r="D72" s="5" t="s">
        <v>482</v>
      </c>
      <c r="E72" s="5" t="s">
        <v>470</v>
      </c>
      <c r="F72" s="5" t="s">
        <v>211</v>
      </c>
      <c r="G72" s="6">
        <v>3.0</v>
      </c>
      <c r="H72" s="5">
        <v>4.0</v>
      </c>
      <c r="I72" s="5">
        <v>6.0</v>
      </c>
      <c r="J72" s="5" t="s">
        <v>199</v>
      </c>
      <c r="K72" s="5">
        <v>5.0</v>
      </c>
      <c r="L72" s="5">
        <v>5.0</v>
      </c>
      <c r="M72" s="5">
        <v>5.0</v>
      </c>
      <c r="N72" s="5">
        <v>5.0</v>
      </c>
      <c r="O72" s="5">
        <v>4.0</v>
      </c>
      <c r="P72" s="5">
        <v>5.0</v>
      </c>
      <c r="Q72" s="5">
        <v>6.0</v>
      </c>
      <c r="R72" s="5">
        <v>6.0</v>
      </c>
      <c r="S72" s="5">
        <v>3.0</v>
      </c>
      <c r="T72" s="5">
        <v>4.0</v>
      </c>
      <c r="U72" s="5">
        <v>6.0</v>
      </c>
      <c r="V72" s="5">
        <v>6.0</v>
      </c>
      <c r="W72" s="5">
        <f t="shared" si="1"/>
        <v>2</v>
      </c>
      <c r="X72" s="5" t="s">
        <v>483</v>
      </c>
      <c r="Y72" s="5" t="s">
        <v>206</v>
      </c>
      <c r="Z72" s="5">
        <v>5.0</v>
      </c>
      <c r="AA72" s="5">
        <v>4.0</v>
      </c>
      <c r="AB72" s="5">
        <v>5.0</v>
      </c>
      <c r="AC72" s="5">
        <v>3.0</v>
      </c>
      <c r="AD72" s="5">
        <v>3.0</v>
      </c>
      <c r="AE72" s="5">
        <v>6.0</v>
      </c>
      <c r="AF72" s="5" t="s">
        <v>484</v>
      </c>
      <c r="AG72" s="5" t="s">
        <v>206</v>
      </c>
      <c r="AH72" s="5">
        <v>6.0</v>
      </c>
      <c r="AI72" s="5">
        <v>6.0</v>
      </c>
      <c r="AJ72" s="5">
        <v>4.0</v>
      </c>
      <c r="AK72" s="5">
        <v>5.0</v>
      </c>
      <c r="AL72" s="5">
        <f t="shared" si="2"/>
        <v>3</v>
      </c>
      <c r="AM72" s="5">
        <v>4.0</v>
      </c>
      <c r="AN72" s="5">
        <f t="shared" si="3"/>
        <v>4</v>
      </c>
      <c r="AO72" s="5">
        <v>6.0</v>
      </c>
      <c r="AP72" s="5">
        <f t="shared" si="4"/>
        <v>2</v>
      </c>
      <c r="AQ72" s="5">
        <v>3.0</v>
      </c>
      <c r="AR72" s="5">
        <f t="shared" si="5"/>
        <v>5</v>
      </c>
      <c r="AS72" s="5" t="s">
        <v>485</v>
      </c>
    </row>
    <row r="73">
      <c r="A73" s="8">
        <f>IFERROR(__xludf.DUMMYFUNCTION("IF(E73="""", """", VALUE(REGEXREPLACE(E73, ""^[Pp]"", """")))"),19.0)</f>
        <v>19</v>
      </c>
      <c r="B73" s="8">
        <v>537.0</v>
      </c>
      <c r="C73" s="7">
        <v>45868.26527777778</v>
      </c>
      <c r="D73" s="5" t="s">
        <v>486</v>
      </c>
      <c r="E73" s="5" t="s">
        <v>470</v>
      </c>
      <c r="F73" s="5" t="s">
        <v>216</v>
      </c>
      <c r="G73" s="6">
        <v>4.0</v>
      </c>
      <c r="H73" s="5">
        <v>6.0</v>
      </c>
      <c r="I73" s="5">
        <v>6.0</v>
      </c>
      <c r="J73" s="5" t="s">
        <v>199</v>
      </c>
      <c r="K73" s="5">
        <v>7.0</v>
      </c>
      <c r="L73" s="5">
        <v>6.0</v>
      </c>
      <c r="M73" s="5">
        <v>4.0</v>
      </c>
      <c r="N73" s="5">
        <v>6.0</v>
      </c>
      <c r="O73" s="5">
        <v>5.0</v>
      </c>
      <c r="P73" s="5">
        <v>6.0</v>
      </c>
      <c r="Q73" s="5">
        <v>6.0</v>
      </c>
      <c r="R73" s="5">
        <v>6.0</v>
      </c>
      <c r="S73" s="5">
        <v>5.0</v>
      </c>
      <c r="T73" s="5">
        <v>5.0</v>
      </c>
      <c r="U73" s="5">
        <v>6.0</v>
      </c>
      <c r="V73" s="5">
        <v>5.0</v>
      </c>
      <c r="W73" s="5">
        <f t="shared" si="1"/>
        <v>3</v>
      </c>
      <c r="X73" s="5" t="s">
        <v>487</v>
      </c>
      <c r="Y73" s="5" t="s">
        <v>206</v>
      </c>
      <c r="Z73" s="5">
        <v>6.0</v>
      </c>
      <c r="AA73" s="5">
        <v>6.0</v>
      </c>
      <c r="AB73" s="5">
        <v>6.0</v>
      </c>
      <c r="AC73" s="5">
        <v>5.0</v>
      </c>
      <c r="AD73" s="5">
        <v>6.0</v>
      </c>
      <c r="AE73" s="5">
        <v>6.0</v>
      </c>
      <c r="AF73" s="5" t="s">
        <v>488</v>
      </c>
      <c r="AG73" s="5" t="s">
        <v>206</v>
      </c>
      <c r="AH73" s="5">
        <v>6.0</v>
      </c>
      <c r="AI73" s="5">
        <v>6.0</v>
      </c>
      <c r="AJ73" s="5">
        <v>6.0</v>
      </c>
      <c r="AK73" s="5">
        <v>4.0</v>
      </c>
      <c r="AL73" s="5">
        <f t="shared" si="2"/>
        <v>4</v>
      </c>
      <c r="AM73" s="5">
        <v>4.0</v>
      </c>
      <c r="AN73" s="5">
        <f t="shared" si="3"/>
        <v>4</v>
      </c>
      <c r="AO73" s="5">
        <v>5.0</v>
      </c>
      <c r="AP73" s="5">
        <f t="shared" si="4"/>
        <v>3</v>
      </c>
      <c r="AQ73" s="5">
        <v>3.0</v>
      </c>
      <c r="AR73" s="5">
        <f t="shared" si="5"/>
        <v>5</v>
      </c>
      <c r="AS73" s="5" t="s">
        <v>489</v>
      </c>
    </row>
    <row r="74">
      <c r="A74" s="8">
        <f>IFERROR(__xludf.DUMMYFUNCTION("IF(E74="""", """", VALUE(REGEXREPLACE(E74, ""^[Pp]"", """")))"),20.0)</f>
        <v>20</v>
      </c>
      <c r="B74" s="8">
        <v>1057.0</v>
      </c>
      <c r="C74" s="7">
        <v>45868.290972222225</v>
      </c>
      <c r="D74" s="5" t="s">
        <v>495</v>
      </c>
      <c r="E74" s="5" t="s">
        <v>496</v>
      </c>
      <c r="F74" s="5" t="s">
        <v>263</v>
      </c>
      <c r="G74" s="6">
        <v>1.0</v>
      </c>
      <c r="H74" s="5">
        <v>2.0</v>
      </c>
      <c r="I74" s="5">
        <v>3.0</v>
      </c>
      <c r="J74" s="5" t="s">
        <v>199</v>
      </c>
      <c r="K74" s="5">
        <v>5.0</v>
      </c>
      <c r="L74" s="5">
        <v>6.0</v>
      </c>
      <c r="M74" s="5">
        <v>2.0</v>
      </c>
      <c r="N74" s="5">
        <v>6.0</v>
      </c>
      <c r="O74" s="5">
        <v>3.0</v>
      </c>
      <c r="P74" s="5">
        <v>6.0</v>
      </c>
      <c r="Q74" s="5">
        <v>7.0</v>
      </c>
      <c r="R74" s="5">
        <v>7.0</v>
      </c>
      <c r="S74" s="5">
        <v>4.0</v>
      </c>
      <c r="T74" s="5">
        <v>3.0</v>
      </c>
      <c r="U74" s="5">
        <v>5.0</v>
      </c>
      <c r="V74" s="5">
        <v>2.0</v>
      </c>
      <c r="W74" s="5">
        <f t="shared" si="1"/>
        <v>6</v>
      </c>
      <c r="X74" s="11" t="s">
        <v>497</v>
      </c>
      <c r="Y74" s="5" t="s">
        <v>206</v>
      </c>
      <c r="Z74" s="5">
        <v>3.0</v>
      </c>
      <c r="AA74" s="5">
        <v>6.0</v>
      </c>
      <c r="AB74" s="5">
        <v>5.0</v>
      </c>
      <c r="AC74" s="5">
        <v>4.0</v>
      </c>
      <c r="AD74" s="5">
        <v>2.0</v>
      </c>
      <c r="AE74" s="5">
        <v>4.0</v>
      </c>
      <c r="AF74" s="11" t="s">
        <v>498</v>
      </c>
      <c r="AG74" s="5" t="s">
        <v>206</v>
      </c>
      <c r="AH74" s="5">
        <v>5.0</v>
      </c>
      <c r="AI74" s="5">
        <v>1.0</v>
      </c>
      <c r="AJ74" s="5">
        <v>6.0</v>
      </c>
      <c r="AK74" s="5">
        <v>4.0</v>
      </c>
      <c r="AL74" s="5">
        <f t="shared" si="2"/>
        <v>4</v>
      </c>
      <c r="AM74" s="5">
        <v>1.0</v>
      </c>
      <c r="AN74" s="5">
        <f t="shared" si="3"/>
        <v>7</v>
      </c>
      <c r="AO74" s="5">
        <v>2.0</v>
      </c>
      <c r="AP74" s="5">
        <f t="shared" si="4"/>
        <v>6</v>
      </c>
      <c r="AQ74" s="5">
        <v>2.0</v>
      </c>
      <c r="AR74" s="5">
        <f t="shared" si="5"/>
        <v>6</v>
      </c>
      <c r="AS74" s="5" t="s">
        <v>499</v>
      </c>
    </row>
    <row r="75">
      <c r="A75" s="8">
        <f>IFERROR(__xludf.DUMMYFUNCTION("IF(E75="""", """", VALUE(REGEXREPLACE(E75, ""^[Pp]"", """")))"),20.0)</f>
        <v>20</v>
      </c>
      <c r="B75" s="8">
        <v>553.0</v>
      </c>
      <c r="C75" s="7">
        <v>45868.30763888889</v>
      </c>
      <c r="D75" s="5" t="s">
        <v>505</v>
      </c>
      <c r="E75" s="5" t="s">
        <v>496</v>
      </c>
      <c r="F75" s="5" t="s">
        <v>216</v>
      </c>
      <c r="G75" s="6">
        <v>2.0</v>
      </c>
      <c r="H75" s="5">
        <v>4.0</v>
      </c>
      <c r="I75" s="5">
        <v>4.0</v>
      </c>
      <c r="J75" s="5" t="s">
        <v>199</v>
      </c>
      <c r="K75" s="5">
        <v>7.0</v>
      </c>
      <c r="L75" s="5">
        <v>7.0</v>
      </c>
      <c r="M75" s="5">
        <v>5.0</v>
      </c>
      <c r="N75" s="5">
        <v>3.0</v>
      </c>
      <c r="O75" s="5">
        <v>5.0</v>
      </c>
      <c r="P75" s="5">
        <v>7.0</v>
      </c>
      <c r="Q75" s="5">
        <v>7.0</v>
      </c>
      <c r="R75" s="5">
        <v>7.0</v>
      </c>
      <c r="S75" s="5">
        <v>4.0</v>
      </c>
      <c r="T75" s="5">
        <v>2.0</v>
      </c>
      <c r="U75" s="5">
        <v>7.0</v>
      </c>
      <c r="V75" s="5">
        <v>1.0</v>
      </c>
      <c r="W75" s="5">
        <f t="shared" si="1"/>
        <v>7</v>
      </c>
      <c r="X75" s="5" t="s">
        <v>506</v>
      </c>
      <c r="Y75" s="5" t="s">
        <v>206</v>
      </c>
      <c r="Z75" s="5">
        <v>7.0</v>
      </c>
      <c r="AA75" s="5">
        <v>6.0</v>
      </c>
      <c r="AB75" s="5">
        <v>6.0</v>
      </c>
      <c r="AC75" s="5">
        <v>7.0</v>
      </c>
      <c r="AD75" s="5">
        <v>7.0</v>
      </c>
      <c r="AE75" s="5">
        <v>7.0</v>
      </c>
      <c r="AF75" s="5" t="s">
        <v>507</v>
      </c>
      <c r="AG75" s="5" t="s">
        <v>206</v>
      </c>
      <c r="AH75" s="5">
        <v>7.0</v>
      </c>
      <c r="AI75" s="5">
        <v>7.0</v>
      </c>
      <c r="AJ75" s="5">
        <v>7.0</v>
      </c>
      <c r="AK75" s="5">
        <v>1.0</v>
      </c>
      <c r="AL75" s="5">
        <f t="shared" si="2"/>
        <v>7</v>
      </c>
      <c r="AM75" s="5">
        <v>1.0</v>
      </c>
      <c r="AN75" s="5">
        <f t="shared" si="3"/>
        <v>7</v>
      </c>
      <c r="AO75" s="5">
        <v>1.0</v>
      </c>
      <c r="AP75" s="5">
        <f t="shared" si="4"/>
        <v>7</v>
      </c>
      <c r="AQ75" s="5">
        <v>1.0</v>
      </c>
      <c r="AR75" s="5">
        <f t="shared" si="5"/>
        <v>7</v>
      </c>
      <c r="AS75" s="5" t="s">
        <v>508</v>
      </c>
    </row>
    <row r="76">
      <c r="A76" s="8">
        <f>IFERROR(__xludf.DUMMYFUNCTION("IF(E76="""", """", VALUE(REGEXREPLACE(E76, ""^[Pp]"", """")))"),20.0)</f>
        <v>20</v>
      </c>
      <c r="B76" s="8">
        <v>806.0</v>
      </c>
      <c r="C76" s="7">
        <v>45868.322222222225</v>
      </c>
      <c r="D76" s="5" t="s">
        <v>513</v>
      </c>
      <c r="E76" s="5" t="s">
        <v>496</v>
      </c>
      <c r="F76" s="5" t="s">
        <v>211</v>
      </c>
      <c r="G76" s="6">
        <v>3.0</v>
      </c>
      <c r="H76" s="5">
        <v>4.0</v>
      </c>
      <c r="I76" s="5">
        <v>4.0</v>
      </c>
      <c r="J76" s="5" t="s">
        <v>199</v>
      </c>
      <c r="K76" s="5">
        <v>4.0</v>
      </c>
      <c r="L76" s="5">
        <v>7.0</v>
      </c>
      <c r="M76" s="5">
        <v>3.0</v>
      </c>
      <c r="N76" s="5">
        <v>4.0</v>
      </c>
      <c r="O76" s="5">
        <v>7.0</v>
      </c>
      <c r="P76" s="5">
        <v>7.0</v>
      </c>
      <c r="Q76" s="5">
        <v>7.0</v>
      </c>
      <c r="R76" s="5">
        <v>7.0</v>
      </c>
      <c r="S76" s="5">
        <v>2.0</v>
      </c>
      <c r="T76" s="5">
        <v>1.0</v>
      </c>
      <c r="U76" s="5">
        <v>7.0</v>
      </c>
      <c r="V76" s="5">
        <v>1.0</v>
      </c>
      <c r="W76" s="5">
        <f t="shared" si="1"/>
        <v>7</v>
      </c>
      <c r="X76" s="5" t="s">
        <v>514</v>
      </c>
      <c r="Y76" s="5" t="s">
        <v>206</v>
      </c>
      <c r="Z76" s="5">
        <v>6.0</v>
      </c>
      <c r="AA76" s="5">
        <v>7.0</v>
      </c>
      <c r="AB76" s="5">
        <v>6.0</v>
      </c>
      <c r="AC76" s="5">
        <v>6.0</v>
      </c>
      <c r="AD76" s="5">
        <v>5.0</v>
      </c>
      <c r="AE76" s="5">
        <v>5.0</v>
      </c>
      <c r="AF76" s="5" t="s">
        <v>515</v>
      </c>
      <c r="AG76" s="5" t="s">
        <v>206</v>
      </c>
      <c r="AH76" s="5">
        <v>7.0</v>
      </c>
      <c r="AI76" s="5">
        <v>7.0</v>
      </c>
      <c r="AJ76" s="5">
        <v>7.0</v>
      </c>
      <c r="AK76" s="5">
        <v>1.0</v>
      </c>
      <c r="AL76" s="5">
        <f t="shared" si="2"/>
        <v>7</v>
      </c>
      <c r="AM76" s="5">
        <v>1.0</v>
      </c>
      <c r="AN76" s="5">
        <f t="shared" si="3"/>
        <v>7</v>
      </c>
      <c r="AO76" s="5">
        <v>1.0</v>
      </c>
      <c r="AP76" s="5">
        <f t="shared" si="4"/>
        <v>7</v>
      </c>
      <c r="AQ76" s="5">
        <v>1.0</v>
      </c>
      <c r="AR76" s="5">
        <f t="shared" si="5"/>
        <v>7</v>
      </c>
      <c r="AS76" s="5" t="s">
        <v>516</v>
      </c>
    </row>
    <row r="77">
      <c r="A77" s="8">
        <f>IFERROR(__xludf.DUMMYFUNCTION("IF(E77="""", """", VALUE(REGEXREPLACE(E77, ""^[Pp]"", """")))"),20.0)</f>
        <v>20</v>
      </c>
      <c r="B77" s="8">
        <v>561.0</v>
      </c>
      <c r="C77" s="7">
        <v>45868.334027777775</v>
      </c>
      <c r="D77" s="5" t="s">
        <v>521</v>
      </c>
      <c r="E77" s="5" t="s">
        <v>496</v>
      </c>
      <c r="F77" s="5" t="s">
        <v>197</v>
      </c>
      <c r="G77" s="6">
        <v>4.0</v>
      </c>
      <c r="H77" s="5">
        <v>2.0</v>
      </c>
      <c r="I77" s="5">
        <v>2.0</v>
      </c>
      <c r="J77" s="5" t="s">
        <v>199</v>
      </c>
      <c r="K77" s="5">
        <v>3.0</v>
      </c>
      <c r="L77" s="5">
        <v>4.0</v>
      </c>
      <c r="M77" s="5">
        <v>2.0</v>
      </c>
      <c r="N77" s="5">
        <v>4.0</v>
      </c>
      <c r="O77" s="5">
        <v>6.0</v>
      </c>
      <c r="P77" s="5">
        <v>4.0</v>
      </c>
      <c r="Q77" s="5">
        <v>6.0</v>
      </c>
      <c r="R77" s="5">
        <v>2.0</v>
      </c>
      <c r="S77" s="5">
        <v>6.0</v>
      </c>
      <c r="T77" s="5">
        <v>1.0</v>
      </c>
      <c r="U77" s="5">
        <v>4.0</v>
      </c>
      <c r="V77" s="5">
        <v>1.0</v>
      </c>
      <c r="W77" s="5">
        <f t="shared" si="1"/>
        <v>7</v>
      </c>
      <c r="X77" s="5" t="s">
        <v>522</v>
      </c>
      <c r="Y77" s="5" t="s">
        <v>206</v>
      </c>
      <c r="Z77" s="5">
        <v>2.0</v>
      </c>
      <c r="AA77" s="5">
        <v>4.0</v>
      </c>
      <c r="AB77" s="5">
        <v>4.0</v>
      </c>
      <c r="AC77" s="5">
        <v>6.0</v>
      </c>
      <c r="AD77" s="5">
        <v>6.0</v>
      </c>
      <c r="AE77" s="5">
        <v>2.0</v>
      </c>
      <c r="AF77" s="5" t="s">
        <v>523</v>
      </c>
      <c r="AG77" s="5" t="s">
        <v>206</v>
      </c>
      <c r="AH77" s="5">
        <v>1.0</v>
      </c>
      <c r="AI77" s="5">
        <v>1.0</v>
      </c>
      <c r="AJ77" s="5">
        <v>5.0</v>
      </c>
      <c r="AK77" s="5">
        <v>7.0</v>
      </c>
      <c r="AL77" s="5">
        <f t="shared" si="2"/>
        <v>1</v>
      </c>
      <c r="AM77" s="5">
        <v>5.0</v>
      </c>
      <c r="AN77" s="5">
        <f t="shared" si="3"/>
        <v>3</v>
      </c>
      <c r="AO77" s="5">
        <v>7.0</v>
      </c>
      <c r="AP77" s="5">
        <f t="shared" si="4"/>
        <v>1</v>
      </c>
      <c r="AQ77" s="5">
        <v>7.0</v>
      </c>
      <c r="AR77" s="5">
        <f t="shared" si="5"/>
        <v>1</v>
      </c>
      <c r="AS77" s="5" t="s">
        <v>524</v>
      </c>
    </row>
    <row r="78">
      <c r="A78" s="8">
        <f>IFERROR(__xludf.DUMMYFUNCTION("IF(E78="""", """", VALUE(REGEXREPLACE(E78, ""^[Pp]"", """")))"),21.0)</f>
        <v>21</v>
      </c>
      <c r="B78" s="8">
        <v>1105.0</v>
      </c>
      <c r="C78" s="7">
        <v>45868.294444444444</v>
      </c>
      <c r="D78" s="5" t="s">
        <v>500</v>
      </c>
      <c r="E78" s="5" t="s">
        <v>501</v>
      </c>
      <c r="F78" s="5" t="s">
        <v>211</v>
      </c>
      <c r="G78" s="6">
        <v>1.0</v>
      </c>
      <c r="H78" s="5">
        <v>5.0</v>
      </c>
      <c r="I78" s="5">
        <v>6.0</v>
      </c>
      <c r="J78" s="5" t="s">
        <v>199</v>
      </c>
      <c r="K78" s="5">
        <v>6.0</v>
      </c>
      <c r="L78" s="5">
        <v>6.0</v>
      </c>
      <c r="M78" s="5">
        <v>4.0</v>
      </c>
      <c r="N78" s="5">
        <v>5.0</v>
      </c>
      <c r="O78" s="5">
        <v>6.0</v>
      </c>
      <c r="P78" s="5">
        <v>6.0</v>
      </c>
      <c r="Q78" s="5">
        <v>6.0</v>
      </c>
      <c r="R78" s="5">
        <v>6.0</v>
      </c>
      <c r="S78" s="5">
        <v>6.0</v>
      </c>
      <c r="T78" s="5">
        <v>4.0</v>
      </c>
      <c r="U78" s="5">
        <v>6.0</v>
      </c>
      <c r="V78" s="5">
        <v>1.0</v>
      </c>
      <c r="W78" s="5">
        <f t="shared" si="1"/>
        <v>7</v>
      </c>
      <c r="X78" s="5" t="s">
        <v>502</v>
      </c>
      <c r="Y78" s="5" t="s">
        <v>206</v>
      </c>
      <c r="Z78" s="5">
        <v>6.0</v>
      </c>
      <c r="AA78" s="5">
        <v>7.0</v>
      </c>
      <c r="AB78" s="5">
        <v>7.0</v>
      </c>
      <c r="AC78" s="5">
        <v>7.0</v>
      </c>
      <c r="AD78" s="5">
        <v>6.0</v>
      </c>
      <c r="AE78" s="5">
        <v>7.0</v>
      </c>
      <c r="AF78" s="5" t="s">
        <v>503</v>
      </c>
      <c r="AG78" s="5" t="s">
        <v>206</v>
      </c>
      <c r="AH78" s="5">
        <v>7.0</v>
      </c>
      <c r="AI78" s="5">
        <v>6.0</v>
      </c>
      <c r="AJ78" s="5">
        <v>7.0</v>
      </c>
      <c r="AK78" s="5">
        <v>1.0</v>
      </c>
      <c r="AL78" s="5">
        <f t="shared" si="2"/>
        <v>7</v>
      </c>
      <c r="AM78" s="5">
        <v>1.0</v>
      </c>
      <c r="AN78" s="5">
        <f t="shared" si="3"/>
        <v>7</v>
      </c>
      <c r="AO78" s="5">
        <v>1.0</v>
      </c>
      <c r="AP78" s="5">
        <f t="shared" si="4"/>
        <v>7</v>
      </c>
      <c r="AQ78" s="5">
        <v>1.0</v>
      </c>
      <c r="AR78" s="5">
        <f t="shared" si="5"/>
        <v>7</v>
      </c>
      <c r="AS78" s="5" t="s">
        <v>504</v>
      </c>
    </row>
    <row r="79">
      <c r="A79" s="8">
        <f>IFERROR(__xludf.DUMMYFUNCTION("IF(E79="""", """", VALUE(REGEXREPLACE(E79, ""^[Pp]"", """")))"),21.0)</f>
        <v>21</v>
      </c>
      <c r="B79" s="8">
        <v>729.0</v>
      </c>
      <c r="C79" s="7">
        <v>45868.30972222222</v>
      </c>
      <c r="D79" s="5" t="s">
        <v>509</v>
      </c>
      <c r="E79" s="5" t="s">
        <v>501</v>
      </c>
      <c r="F79" s="5" t="s">
        <v>263</v>
      </c>
      <c r="G79" s="6">
        <v>2.0</v>
      </c>
      <c r="H79" s="5">
        <v>6.0</v>
      </c>
      <c r="I79" s="5">
        <v>6.0</v>
      </c>
      <c r="J79" s="5" t="s">
        <v>199</v>
      </c>
      <c r="K79" s="5">
        <v>7.0</v>
      </c>
      <c r="L79" s="5">
        <v>7.0</v>
      </c>
      <c r="M79" s="5">
        <v>6.0</v>
      </c>
      <c r="N79" s="5">
        <v>6.0</v>
      </c>
      <c r="O79" s="5">
        <v>7.0</v>
      </c>
      <c r="P79" s="5">
        <v>7.0</v>
      </c>
      <c r="Q79" s="5">
        <v>7.0</v>
      </c>
      <c r="R79" s="5">
        <v>7.0</v>
      </c>
      <c r="S79" s="5">
        <v>6.0</v>
      </c>
      <c r="T79" s="5">
        <v>6.0</v>
      </c>
      <c r="U79" s="5">
        <v>6.0</v>
      </c>
      <c r="V79" s="5">
        <v>4.0</v>
      </c>
      <c r="W79" s="5">
        <f t="shared" si="1"/>
        <v>4</v>
      </c>
      <c r="X79" s="5" t="s">
        <v>510</v>
      </c>
      <c r="Y79" s="5" t="s">
        <v>206</v>
      </c>
      <c r="Z79" s="5">
        <v>6.0</v>
      </c>
      <c r="AA79" s="5">
        <v>7.0</v>
      </c>
      <c r="AB79" s="5">
        <v>7.0</v>
      </c>
      <c r="AC79" s="5">
        <v>7.0</v>
      </c>
      <c r="AD79" s="5">
        <v>7.0</v>
      </c>
      <c r="AE79" s="5">
        <v>7.0</v>
      </c>
      <c r="AF79" s="5" t="s">
        <v>511</v>
      </c>
      <c r="AG79" s="5" t="s">
        <v>206</v>
      </c>
      <c r="AH79" s="5">
        <v>7.0</v>
      </c>
      <c r="AI79" s="5">
        <v>6.0</v>
      </c>
      <c r="AJ79" s="5">
        <v>7.0</v>
      </c>
      <c r="AK79" s="5">
        <v>1.0</v>
      </c>
      <c r="AL79" s="5">
        <f t="shared" si="2"/>
        <v>7</v>
      </c>
      <c r="AM79" s="5">
        <v>1.0</v>
      </c>
      <c r="AN79" s="5">
        <f t="shared" si="3"/>
        <v>7</v>
      </c>
      <c r="AO79" s="5">
        <v>2.0</v>
      </c>
      <c r="AP79" s="5">
        <f t="shared" si="4"/>
        <v>6</v>
      </c>
      <c r="AQ79" s="5">
        <v>1.0</v>
      </c>
      <c r="AR79" s="5">
        <f t="shared" si="5"/>
        <v>7</v>
      </c>
      <c r="AS79" s="5" t="s">
        <v>512</v>
      </c>
    </row>
    <row r="80">
      <c r="A80" s="8">
        <f>IFERROR(__xludf.DUMMYFUNCTION("IF(E80="""", """", VALUE(REGEXREPLACE(E80, ""^[Pp]"", """")))"),21.0)</f>
        <v>21</v>
      </c>
      <c r="B80" s="8">
        <v>612.0</v>
      </c>
      <c r="C80" s="7">
        <v>45868.32361111111</v>
      </c>
      <c r="D80" s="5" t="s">
        <v>517</v>
      </c>
      <c r="E80" s="5" t="s">
        <v>501</v>
      </c>
      <c r="F80" s="5" t="s">
        <v>197</v>
      </c>
      <c r="G80" s="6">
        <v>3.0</v>
      </c>
      <c r="H80" s="5">
        <v>6.0</v>
      </c>
      <c r="I80" s="5">
        <v>6.0</v>
      </c>
      <c r="J80" s="5" t="s">
        <v>199</v>
      </c>
      <c r="K80" s="5">
        <v>7.0</v>
      </c>
      <c r="L80" s="5">
        <v>7.0</v>
      </c>
      <c r="M80" s="5">
        <v>7.0</v>
      </c>
      <c r="N80" s="5">
        <v>6.0</v>
      </c>
      <c r="O80" s="5">
        <v>7.0</v>
      </c>
      <c r="P80" s="5">
        <v>7.0</v>
      </c>
      <c r="Q80" s="5">
        <v>7.0</v>
      </c>
      <c r="R80" s="5">
        <v>7.0</v>
      </c>
      <c r="S80" s="5">
        <v>6.0</v>
      </c>
      <c r="T80" s="5">
        <v>6.0</v>
      </c>
      <c r="U80" s="5">
        <v>7.0</v>
      </c>
      <c r="V80" s="5">
        <v>2.0</v>
      </c>
      <c r="W80" s="5">
        <f t="shared" si="1"/>
        <v>6</v>
      </c>
      <c r="X80" s="5" t="s">
        <v>518</v>
      </c>
      <c r="Y80" s="5" t="s">
        <v>206</v>
      </c>
      <c r="Z80" s="5">
        <v>7.0</v>
      </c>
      <c r="AA80" s="5">
        <v>7.0</v>
      </c>
      <c r="AB80" s="5">
        <v>7.0</v>
      </c>
      <c r="AC80" s="5">
        <v>7.0</v>
      </c>
      <c r="AD80" s="5">
        <v>7.0</v>
      </c>
      <c r="AE80" s="5">
        <v>7.0</v>
      </c>
      <c r="AF80" s="5" t="s">
        <v>519</v>
      </c>
      <c r="AG80" s="5" t="s">
        <v>206</v>
      </c>
      <c r="AH80" s="5">
        <v>7.0</v>
      </c>
      <c r="AI80" s="5">
        <v>6.0</v>
      </c>
      <c r="AJ80" s="5">
        <v>7.0</v>
      </c>
      <c r="AK80" s="5">
        <v>1.0</v>
      </c>
      <c r="AL80" s="5">
        <f t="shared" si="2"/>
        <v>7</v>
      </c>
      <c r="AM80" s="5">
        <v>1.0</v>
      </c>
      <c r="AN80" s="5">
        <f t="shared" si="3"/>
        <v>7</v>
      </c>
      <c r="AO80" s="5">
        <v>1.0</v>
      </c>
      <c r="AP80" s="5">
        <f t="shared" si="4"/>
        <v>7</v>
      </c>
      <c r="AQ80" s="5">
        <v>1.0</v>
      </c>
      <c r="AR80" s="5">
        <f t="shared" si="5"/>
        <v>7</v>
      </c>
      <c r="AS80" s="5" t="s">
        <v>520</v>
      </c>
    </row>
    <row r="81">
      <c r="A81" s="8">
        <f>IFERROR(__xludf.DUMMYFUNCTION("IF(E81="""", """", VALUE(REGEXREPLACE(E81, ""^[Pp]"", """")))"),21.0)</f>
        <v>21</v>
      </c>
      <c r="B81" s="8">
        <v>862.0</v>
      </c>
      <c r="C81" s="7">
        <v>45868.33611111111</v>
      </c>
      <c r="D81" s="5" t="s">
        <v>525</v>
      </c>
      <c r="E81" s="5" t="s">
        <v>501</v>
      </c>
      <c r="F81" s="5" t="s">
        <v>216</v>
      </c>
      <c r="G81" s="6">
        <v>4.0</v>
      </c>
      <c r="H81" s="5">
        <v>5.0</v>
      </c>
      <c r="I81" s="5">
        <v>6.0</v>
      </c>
      <c r="J81" s="5" t="s">
        <v>199</v>
      </c>
      <c r="K81" s="5">
        <v>7.0</v>
      </c>
      <c r="L81" s="5">
        <v>6.0</v>
      </c>
      <c r="M81" s="5">
        <v>6.0</v>
      </c>
      <c r="N81" s="5">
        <v>5.0</v>
      </c>
      <c r="O81" s="5">
        <v>7.0</v>
      </c>
      <c r="P81" s="5">
        <v>7.0</v>
      </c>
      <c r="Q81" s="5">
        <v>7.0</v>
      </c>
      <c r="R81" s="5">
        <v>7.0</v>
      </c>
      <c r="S81" s="5">
        <v>6.0</v>
      </c>
      <c r="T81" s="5">
        <v>6.0</v>
      </c>
      <c r="U81" s="5">
        <v>7.0</v>
      </c>
      <c r="V81" s="5">
        <v>2.0</v>
      </c>
      <c r="W81" s="5">
        <f t="shared" si="1"/>
        <v>6</v>
      </c>
      <c r="X81" s="5" t="s">
        <v>526</v>
      </c>
      <c r="Y81" s="5" t="s">
        <v>206</v>
      </c>
      <c r="Z81" s="5">
        <v>7.0</v>
      </c>
      <c r="AA81" s="5">
        <v>7.0</v>
      </c>
      <c r="AB81" s="5">
        <v>7.0</v>
      </c>
      <c r="AC81" s="5">
        <v>7.0</v>
      </c>
      <c r="AD81" s="5">
        <v>6.0</v>
      </c>
      <c r="AE81" s="5">
        <v>7.0</v>
      </c>
      <c r="AF81" s="5" t="s">
        <v>527</v>
      </c>
      <c r="AG81" s="5" t="s">
        <v>206</v>
      </c>
      <c r="AH81" s="5">
        <v>7.0</v>
      </c>
      <c r="AI81" s="5">
        <v>6.0</v>
      </c>
      <c r="AJ81" s="5">
        <v>7.0</v>
      </c>
      <c r="AK81" s="5">
        <v>1.0</v>
      </c>
      <c r="AL81" s="5">
        <f t="shared" si="2"/>
        <v>7</v>
      </c>
      <c r="AM81" s="5">
        <v>1.0</v>
      </c>
      <c r="AN81" s="5">
        <f t="shared" si="3"/>
        <v>7</v>
      </c>
      <c r="AO81" s="5">
        <v>1.0</v>
      </c>
      <c r="AP81" s="5">
        <f t="shared" si="4"/>
        <v>7</v>
      </c>
      <c r="AQ81" s="5">
        <v>1.0</v>
      </c>
      <c r="AR81" s="5">
        <f t="shared" si="5"/>
        <v>7</v>
      </c>
      <c r="AS81" s="5" t="s">
        <v>528</v>
      </c>
    </row>
    <row r="82">
      <c r="A82" s="8">
        <f>IFERROR(__xludf.DUMMYFUNCTION("IF(E82="""", """", VALUE(REGEXREPLACE(E82, ""^[Pp]"", """")))"),22.0)</f>
        <v>22</v>
      </c>
      <c r="B82" s="8">
        <v>1029.0</v>
      </c>
      <c r="C82" s="7">
        <v>45869.02222222222</v>
      </c>
      <c r="D82" s="5" t="s">
        <v>530</v>
      </c>
      <c r="E82" s="5" t="s">
        <v>531</v>
      </c>
      <c r="F82" s="5" t="s">
        <v>216</v>
      </c>
      <c r="G82" s="6">
        <v>1.0</v>
      </c>
      <c r="H82" s="5">
        <v>5.0</v>
      </c>
      <c r="I82" s="5">
        <v>3.0</v>
      </c>
      <c r="J82" s="5" t="s">
        <v>199</v>
      </c>
      <c r="K82" s="5">
        <v>2.0</v>
      </c>
      <c r="L82" s="5">
        <v>5.0</v>
      </c>
      <c r="M82" s="5">
        <v>5.0</v>
      </c>
      <c r="N82" s="5">
        <v>5.0</v>
      </c>
      <c r="O82" s="5">
        <v>6.0</v>
      </c>
      <c r="P82" s="5">
        <v>6.0</v>
      </c>
      <c r="Q82" s="5">
        <v>6.0</v>
      </c>
      <c r="R82" s="5">
        <v>2.0</v>
      </c>
      <c r="S82" s="5">
        <v>3.0</v>
      </c>
      <c r="T82" s="5">
        <v>2.0</v>
      </c>
      <c r="U82" s="5">
        <v>6.0</v>
      </c>
      <c r="V82" s="5">
        <v>6.0</v>
      </c>
      <c r="W82" s="5">
        <f t="shared" si="1"/>
        <v>2</v>
      </c>
      <c r="X82" s="5" t="s">
        <v>532</v>
      </c>
      <c r="Y82" s="5" t="s">
        <v>206</v>
      </c>
      <c r="Z82" s="5">
        <v>6.0</v>
      </c>
      <c r="AA82" s="5">
        <v>5.0</v>
      </c>
      <c r="AB82" s="5">
        <v>5.0</v>
      </c>
      <c r="AC82" s="5">
        <v>5.0</v>
      </c>
      <c r="AD82" s="5">
        <v>6.0</v>
      </c>
      <c r="AE82" s="5">
        <v>2.0</v>
      </c>
      <c r="AF82" s="5" t="s">
        <v>533</v>
      </c>
      <c r="AG82" s="5" t="s">
        <v>206</v>
      </c>
      <c r="AH82" s="5">
        <v>2.0</v>
      </c>
      <c r="AI82" s="5">
        <v>7.0</v>
      </c>
      <c r="AJ82" s="5">
        <v>5.0</v>
      </c>
      <c r="AK82" s="5">
        <v>3.0</v>
      </c>
      <c r="AL82" s="5">
        <f t="shared" si="2"/>
        <v>5</v>
      </c>
      <c r="AM82" s="5">
        <v>1.0</v>
      </c>
      <c r="AN82" s="5">
        <f t="shared" si="3"/>
        <v>7</v>
      </c>
      <c r="AO82" s="5">
        <v>1.0</v>
      </c>
      <c r="AP82" s="5">
        <f t="shared" si="4"/>
        <v>7</v>
      </c>
      <c r="AQ82" s="5">
        <v>1.0</v>
      </c>
      <c r="AR82" s="5">
        <f t="shared" si="5"/>
        <v>7</v>
      </c>
      <c r="AS82" s="5" t="s">
        <v>534</v>
      </c>
    </row>
    <row r="83">
      <c r="A83" s="8">
        <f>IFERROR(__xludf.DUMMYFUNCTION("IF(E83="""", """", VALUE(REGEXREPLACE(E83, ""^[Pp]"", """")))"),22.0)</f>
        <v>22</v>
      </c>
      <c r="B83" s="8">
        <v>497.0</v>
      </c>
      <c r="C83" s="7">
        <v>45869.041666666664</v>
      </c>
      <c r="D83" s="5" t="s">
        <v>540</v>
      </c>
      <c r="E83" s="5" t="s">
        <v>531</v>
      </c>
      <c r="F83" s="5" t="s">
        <v>197</v>
      </c>
      <c r="G83" s="6">
        <v>2.0</v>
      </c>
      <c r="H83" s="5">
        <v>6.0</v>
      </c>
      <c r="I83" s="5">
        <v>2.0</v>
      </c>
      <c r="J83" s="5" t="s">
        <v>199</v>
      </c>
      <c r="K83" s="5">
        <v>3.0</v>
      </c>
      <c r="L83" s="5">
        <v>5.0</v>
      </c>
      <c r="M83" s="5">
        <v>6.0</v>
      </c>
      <c r="N83" s="5">
        <v>3.0</v>
      </c>
      <c r="O83" s="5">
        <v>5.0</v>
      </c>
      <c r="P83" s="5">
        <v>6.0</v>
      </c>
      <c r="Q83" s="5">
        <v>5.0</v>
      </c>
      <c r="R83" s="5">
        <v>2.0</v>
      </c>
      <c r="S83" s="5">
        <v>2.0</v>
      </c>
      <c r="T83" s="5">
        <v>2.0</v>
      </c>
      <c r="U83" s="5">
        <v>5.0</v>
      </c>
      <c r="V83" s="5">
        <v>5.0</v>
      </c>
      <c r="W83" s="5">
        <f t="shared" si="1"/>
        <v>3</v>
      </c>
      <c r="X83" s="5" t="s">
        <v>541</v>
      </c>
      <c r="Y83" s="5" t="s">
        <v>206</v>
      </c>
      <c r="Z83" s="5">
        <v>5.0</v>
      </c>
      <c r="AA83" s="5">
        <v>6.0</v>
      </c>
      <c r="AB83" s="5">
        <v>5.0</v>
      </c>
      <c r="AC83" s="5">
        <v>3.0</v>
      </c>
      <c r="AD83" s="5">
        <v>5.0</v>
      </c>
      <c r="AE83" s="5">
        <v>6.0</v>
      </c>
      <c r="AF83" s="5" t="s">
        <v>542</v>
      </c>
      <c r="AH83" s="5">
        <v>5.0</v>
      </c>
      <c r="AI83" s="5">
        <v>2.0</v>
      </c>
      <c r="AJ83" s="5">
        <v>6.0</v>
      </c>
      <c r="AK83" s="5">
        <v>2.0</v>
      </c>
      <c r="AL83" s="5">
        <f t="shared" si="2"/>
        <v>6</v>
      </c>
      <c r="AM83" s="5">
        <v>2.0</v>
      </c>
      <c r="AN83" s="5">
        <f t="shared" si="3"/>
        <v>6</v>
      </c>
      <c r="AO83" s="5">
        <v>5.0</v>
      </c>
      <c r="AP83" s="5">
        <f t="shared" si="4"/>
        <v>3</v>
      </c>
      <c r="AQ83" s="5">
        <v>5.0</v>
      </c>
      <c r="AR83" s="5">
        <f t="shared" si="5"/>
        <v>3</v>
      </c>
      <c r="AS83" s="5" t="s">
        <v>543</v>
      </c>
    </row>
    <row r="84">
      <c r="A84" s="8">
        <f>IFERROR(__xludf.DUMMYFUNCTION("IF(E84="""", """", VALUE(REGEXREPLACE(E84, ""^[Pp]"", """")))"),22.0)</f>
        <v>22</v>
      </c>
      <c r="B84" s="8">
        <v>554.0</v>
      </c>
      <c r="C84" s="7">
        <v>45869.052777777775</v>
      </c>
      <c r="D84" s="5" t="s">
        <v>548</v>
      </c>
      <c r="E84" s="5" t="s">
        <v>531</v>
      </c>
      <c r="F84" s="5" t="s">
        <v>263</v>
      </c>
      <c r="G84" s="6">
        <v>3.0</v>
      </c>
      <c r="H84" s="5">
        <v>5.0</v>
      </c>
      <c r="I84" s="5">
        <v>2.0</v>
      </c>
      <c r="J84" s="5" t="s">
        <v>199</v>
      </c>
      <c r="K84" s="5">
        <v>4.0</v>
      </c>
      <c r="L84" s="5">
        <v>3.0</v>
      </c>
      <c r="M84" s="5">
        <v>4.0</v>
      </c>
      <c r="N84" s="5">
        <v>3.0</v>
      </c>
      <c r="O84" s="5">
        <v>5.0</v>
      </c>
      <c r="P84" s="5">
        <v>5.0</v>
      </c>
      <c r="Q84" s="5">
        <v>6.0</v>
      </c>
      <c r="R84" s="5">
        <v>3.0</v>
      </c>
      <c r="S84" s="5">
        <v>3.0</v>
      </c>
      <c r="T84" s="5">
        <v>4.0</v>
      </c>
      <c r="U84" s="5">
        <v>5.0</v>
      </c>
      <c r="V84" s="5">
        <v>5.0</v>
      </c>
      <c r="W84" s="5">
        <f t="shared" si="1"/>
        <v>3</v>
      </c>
      <c r="X84" s="5" t="s">
        <v>549</v>
      </c>
      <c r="Y84" s="5" t="s">
        <v>206</v>
      </c>
      <c r="Z84" s="5">
        <v>3.0</v>
      </c>
      <c r="AA84" s="5">
        <v>5.0</v>
      </c>
      <c r="AB84" s="5">
        <v>3.0</v>
      </c>
      <c r="AC84" s="5">
        <v>3.0</v>
      </c>
      <c r="AD84" s="5">
        <v>3.0</v>
      </c>
      <c r="AE84" s="5">
        <v>3.0</v>
      </c>
      <c r="AF84" s="5" t="s">
        <v>550</v>
      </c>
      <c r="AH84" s="5">
        <v>5.0</v>
      </c>
      <c r="AI84" s="5">
        <v>2.0</v>
      </c>
      <c r="AJ84" s="5">
        <v>3.0</v>
      </c>
      <c r="AK84" s="5">
        <v>2.0</v>
      </c>
      <c r="AL84" s="5">
        <f t="shared" si="2"/>
        <v>6</v>
      </c>
      <c r="AM84" s="5">
        <v>3.0</v>
      </c>
      <c r="AN84" s="5">
        <f t="shared" si="3"/>
        <v>5</v>
      </c>
      <c r="AO84" s="5">
        <v>5.0</v>
      </c>
      <c r="AP84" s="5">
        <f t="shared" si="4"/>
        <v>3</v>
      </c>
      <c r="AQ84" s="5">
        <v>3.0</v>
      </c>
      <c r="AR84" s="5">
        <f t="shared" si="5"/>
        <v>5</v>
      </c>
      <c r="AS84" s="5" t="s">
        <v>551</v>
      </c>
    </row>
    <row r="85">
      <c r="A85" s="8">
        <f>IFERROR(__xludf.DUMMYFUNCTION("IF(E85="""", """", VALUE(REGEXREPLACE(E85, ""^[Pp]"", """")))"),22.0)</f>
        <v>22</v>
      </c>
      <c r="B85" s="8">
        <v>680.0</v>
      </c>
      <c r="C85" s="7">
        <v>45869.06458333333</v>
      </c>
      <c r="D85" s="5" t="s">
        <v>556</v>
      </c>
      <c r="E85" s="5" t="s">
        <v>531</v>
      </c>
      <c r="F85" s="5" t="s">
        <v>211</v>
      </c>
      <c r="G85" s="6">
        <v>4.0</v>
      </c>
      <c r="H85" s="5">
        <v>3.0</v>
      </c>
      <c r="I85" s="5">
        <v>3.0</v>
      </c>
      <c r="J85" s="5" t="s">
        <v>199</v>
      </c>
      <c r="K85" s="5">
        <v>3.0</v>
      </c>
      <c r="L85" s="5">
        <v>5.0</v>
      </c>
      <c r="M85" s="5">
        <v>5.0</v>
      </c>
      <c r="N85" s="5">
        <v>3.0</v>
      </c>
      <c r="O85" s="5">
        <v>5.0</v>
      </c>
      <c r="P85" s="5">
        <v>6.0</v>
      </c>
      <c r="Q85" s="5">
        <v>5.0</v>
      </c>
      <c r="R85" s="5">
        <v>6.0</v>
      </c>
      <c r="S85" s="5">
        <v>2.0</v>
      </c>
      <c r="T85" s="5">
        <v>5.0</v>
      </c>
      <c r="U85" s="5">
        <v>6.0</v>
      </c>
      <c r="V85" s="5">
        <v>5.0</v>
      </c>
      <c r="W85" s="5">
        <f t="shared" si="1"/>
        <v>3</v>
      </c>
      <c r="X85" s="5" t="s">
        <v>557</v>
      </c>
      <c r="Y85" s="5" t="s">
        <v>206</v>
      </c>
      <c r="Z85" s="5">
        <v>4.0</v>
      </c>
      <c r="AA85" s="5">
        <v>5.0</v>
      </c>
      <c r="AB85" s="5">
        <v>5.0</v>
      </c>
      <c r="AC85" s="5">
        <v>6.0</v>
      </c>
      <c r="AD85" s="5">
        <v>5.0</v>
      </c>
      <c r="AE85" s="5">
        <v>5.0</v>
      </c>
      <c r="AF85" s="5" t="s">
        <v>558</v>
      </c>
      <c r="AG85" s="5" t="s">
        <v>206</v>
      </c>
      <c r="AH85" s="5">
        <v>3.0</v>
      </c>
      <c r="AI85" s="5">
        <v>5.0</v>
      </c>
      <c r="AJ85" s="5">
        <v>5.0</v>
      </c>
      <c r="AK85" s="5">
        <v>1.0</v>
      </c>
      <c r="AL85" s="5">
        <f t="shared" si="2"/>
        <v>7</v>
      </c>
      <c r="AM85" s="5">
        <v>1.0</v>
      </c>
      <c r="AN85" s="5">
        <f t="shared" si="3"/>
        <v>7</v>
      </c>
      <c r="AO85" s="5">
        <v>2.0</v>
      </c>
      <c r="AP85" s="5">
        <f t="shared" si="4"/>
        <v>6</v>
      </c>
      <c r="AQ85" s="5">
        <v>1.0</v>
      </c>
      <c r="AR85" s="5">
        <f t="shared" si="5"/>
        <v>7</v>
      </c>
      <c r="AS85" s="5" t="s">
        <v>559</v>
      </c>
    </row>
    <row r="86">
      <c r="A86" s="8">
        <f>IFERROR(__xludf.DUMMYFUNCTION("IF(E86="""", """", VALUE(REGEXREPLACE(E86, ""^[Pp]"", """")))"),23.0)</f>
        <v>23</v>
      </c>
      <c r="B86" s="8">
        <v>1024.0</v>
      </c>
      <c r="C86" s="7">
        <v>45869.092361111114</v>
      </c>
      <c r="D86" s="5" t="s">
        <v>572</v>
      </c>
      <c r="E86" s="5" t="s">
        <v>573</v>
      </c>
      <c r="F86" s="5" t="s">
        <v>211</v>
      </c>
      <c r="G86" s="6">
        <v>1.0</v>
      </c>
      <c r="H86" s="5">
        <v>6.0</v>
      </c>
      <c r="I86" s="5">
        <v>5.0</v>
      </c>
      <c r="J86" s="5" t="s">
        <v>199</v>
      </c>
      <c r="K86" s="5">
        <v>4.0</v>
      </c>
      <c r="L86" s="5">
        <v>7.0</v>
      </c>
      <c r="M86" s="5">
        <v>6.0</v>
      </c>
      <c r="N86" s="5">
        <v>6.0</v>
      </c>
      <c r="O86" s="5">
        <v>7.0</v>
      </c>
      <c r="P86" s="5">
        <v>7.0</v>
      </c>
      <c r="Q86" s="5">
        <v>5.0</v>
      </c>
      <c r="R86" s="5">
        <v>6.0</v>
      </c>
      <c r="S86" s="5">
        <v>4.0</v>
      </c>
      <c r="T86" s="5">
        <v>3.0</v>
      </c>
      <c r="U86" s="5">
        <v>7.0</v>
      </c>
      <c r="V86" s="5">
        <v>5.0</v>
      </c>
      <c r="W86" s="5">
        <f t="shared" si="1"/>
        <v>3</v>
      </c>
      <c r="X86" s="5" t="s">
        <v>574</v>
      </c>
      <c r="Y86" s="5" t="s">
        <v>206</v>
      </c>
      <c r="Z86" s="5">
        <v>3.0</v>
      </c>
      <c r="AA86" s="5">
        <v>7.0</v>
      </c>
      <c r="AB86" s="5">
        <v>7.0</v>
      </c>
      <c r="AC86" s="5">
        <v>3.0</v>
      </c>
      <c r="AD86" s="5">
        <v>6.0</v>
      </c>
      <c r="AE86" s="5">
        <v>7.0</v>
      </c>
      <c r="AF86" s="5" t="s">
        <v>575</v>
      </c>
      <c r="AG86" s="5" t="s">
        <v>206</v>
      </c>
      <c r="AH86" s="5">
        <v>5.0</v>
      </c>
      <c r="AI86" s="5">
        <v>5.0</v>
      </c>
      <c r="AJ86" s="5">
        <v>7.0</v>
      </c>
      <c r="AK86" s="5">
        <v>1.0</v>
      </c>
      <c r="AL86" s="5">
        <f t="shared" si="2"/>
        <v>7</v>
      </c>
      <c r="AM86" s="5">
        <v>1.0</v>
      </c>
      <c r="AN86" s="5">
        <f t="shared" si="3"/>
        <v>7</v>
      </c>
      <c r="AO86" s="5">
        <v>1.0</v>
      </c>
      <c r="AP86" s="5">
        <f t="shared" si="4"/>
        <v>7</v>
      </c>
      <c r="AQ86" s="5">
        <v>1.0</v>
      </c>
      <c r="AR86" s="5">
        <f t="shared" si="5"/>
        <v>7</v>
      </c>
      <c r="AS86" s="5" t="s">
        <v>576</v>
      </c>
    </row>
    <row r="87">
      <c r="A87" s="8">
        <f>IFERROR(__xludf.DUMMYFUNCTION("IF(E87="""", """", VALUE(REGEXREPLACE(E87, ""^[Pp]"", """")))"),23.0)</f>
        <v>23</v>
      </c>
      <c r="B87" s="8">
        <v>646.0</v>
      </c>
      <c r="C87" s="7">
        <v>45869.10486111111</v>
      </c>
      <c r="D87" s="5" t="s">
        <v>577</v>
      </c>
      <c r="E87" s="5" t="s">
        <v>573</v>
      </c>
      <c r="F87" s="5" t="s">
        <v>263</v>
      </c>
      <c r="G87" s="6">
        <v>2.0</v>
      </c>
      <c r="H87" s="5">
        <v>7.0</v>
      </c>
      <c r="I87" s="5">
        <v>6.0</v>
      </c>
      <c r="J87" s="5" t="s">
        <v>199</v>
      </c>
      <c r="K87" s="5">
        <v>6.0</v>
      </c>
      <c r="L87" s="5">
        <v>7.0</v>
      </c>
      <c r="M87" s="5">
        <v>7.0</v>
      </c>
      <c r="N87" s="5">
        <v>3.0</v>
      </c>
      <c r="O87" s="5">
        <v>7.0</v>
      </c>
      <c r="P87" s="5">
        <v>7.0</v>
      </c>
      <c r="Q87" s="5">
        <v>7.0</v>
      </c>
      <c r="R87" s="5">
        <v>6.0</v>
      </c>
      <c r="S87" s="5">
        <v>6.0</v>
      </c>
      <c r="T87" s="5">
        <v>6.0</v>
      </c>
      <c r="U87" s="5">
        <v>7.0</v>
      </c>
      <c r="V87" s="5">
        <v>3.0</v>
      </c>
      <c r="W87" s="5">
        <f t="shared" si="1"/>
        <v>5</v>
      </c>
      <c r="X87" s="5" t="s">
        <v>578</v>
      </c>
      <c r="Y87" s="5" t="s">
        <v>206</v>
      </c>
      <c r="Z87" s="5">
        <v>5.0</v>
      </c>
      <c r="AA87" s="5">
        <v>7.0</v>
      </c>
      <c r="AB87" s="5">
        <v>7.0</v>
      </c>
      <c r="AC87" s="5">
        <v>7.0</v>
      </c>
      <c r="AD87" s="5">
        <v>7.0</v>
      </c>
      <c r="AE87" s="5">
        <v>7.0</v>
      </c>
      <c r="AF87" s="5" t="s">
        <v>579</v>
      </c>
      <c r="AG87" s="5" t="s">
        <v>206</v>
      </c>
      <c r="AH87" s="5">
        <v>7.0</v>
      </c>
      <c r="AI87" s="5">
        <v>3.0</v>
      </c>
      <c r="AJ87" s="5">
        <v>7.0</v>
      </c>
      <c r="AK87" s="5">
        <v>5.0</v>
      </c>
      <c r="AL87" s="5">
        <f t="shared" si="2"/>
        <v>3</v>
      </c>
      <c r="AM87" s="5">
        <v>6.0</v>
      </c>
      <c r="AN87" s="5">
        <f t="shared" si="3"/>
        <v>2</v>
      </c>
      <c r="AO87" s="5">
        <v>1.0</v>
      </c>
      <c r="AP87" s="5">
        <f t="shared" si="4"/>
        <v>7</v>
      </c>
      <c r="AQ87" s="5">
        <v>1.0</v>
      </c>
      <c r="AR87" s="5">
        <f t="shared" si="5"/>
        <v>7</v>
      </c>
      <c r="AS87" s="5" t="s">
        <v>580</v>
      </c>
    </row>
    <row r="88">
      <c r="A88" s="8">
        <f>IFERROR(__xludf.DUMMYFUNCTION("IF(E88="""", """", VALUE(REGEXREPLACE(E88, ""^[Pp]"", """")))"),23.0)</f>
        <v>23</v>
      </c>
      <c r="B88" s="8">
        <v>484.0</v>
      </c>
      <c r="C88" s="7">
        <v>45869.114583333336</v>
      </c>
      <c r="D88" s="5" t="s">
        <v>586</v>
      </c>
      <c r="E88" s="5" t="s">
        <v>573</v>
      </c>
      <c r="F88" s="5" t="s">
        <v>197</v>
      </c>
      <c r="G88" s="6">
        <v>3.0</v>
      </c>
      <c r="H88" s="5">
        <v>7.0</v>
      </c>
      <c r="I88" s="5">
        <v>6.0</v>
      </c>
      <c r="J88" s="5" t="s">
        <v>199</v>
      </c>
      <c r="K88" s="5">
        <v>6.0</v>
      </c>
      <c r="L88" s="5">
        <v>7.0</v>
      </c>
      <c r="M88" s="5">
        <v>7.0</v>
      </c>
      <c r="N88" s="5">
        <v>6.0</v>
      </c>
      <c r="O88" s="5">
        <v>7.0</v>
      </c>
      <c r="P88" s="5">
        <v>7.0</v>
      </c>
      <c r="Q88" s="5">
        <v>7.0</v>
      </c>
      <c r="R88" s="5">
        <v>7.0</v>
      </c>
      <c r="S88" s="5">
        <v>3.0</v>
      </c>
      <c r="T88" s="5">
        <v>3.0</v>
      </c>
      <c r="U88" s="5">
        <v>7.0</v>
      </c>
      <c r="V88" s="5">
        <v>3.0</v>
      </c>
      <c r="W88" s="5">
        <f t="shared" si="1"/>
        <v>5</v>
      </c>
      <c r="X88" s="5" t="s">
        <v>587</v>
      </c>
      <c r="Y88" s="5" t="s">
        <v>206</v>
      </c>
      <c r="Z88" s="5">
        <v>6.0</v>
      </c>
      <c r="AA88" s="5">
        <v>7.0</v>
      </c>
      <c r="AB88" s="5">
        <v>7.0</v>
      </c>
      <c r="AC88" s="5">
        <v>7.0</v>
      </c>
      <c r="AD88" s="5">
        <v>7.0</v>
      </c>
      <c r="AE88" s="5">
        <v>7.0</v>
      </c>
      <c r="AF88" s="5" t="s">
        <v>588</v>
      </c>
      <c r="AG88" s="5" t="s">
        <v>206</v>
      </c>
      <c r="AH88" s="5">
        <v>7.0</v>
      </c>
      <c r="AI88" s="5">
        <v>7.0</v>
      </c>
      <c r="AJ88" s="5">
        <v>7.0</v>
      </c>
      <c r="AK88" s="5">
        <v>7.0</v>
      </c>
      <c r="AL88" s="5">
        <f t="shared" si="2"/>
        <v>1</v>
      </c>
      <c r="AM88" s="5">
        <v>7.0</v>
      </c>
      <c r="AN88" s="5">
        <f t="shared" si="3"/>
        <v>1</v>
      </c>
      <c r="AO88" s="5">
        <v>5.0</v>
      </c>
      <c r="AP88" s="5">
        <f t="shared" si="4"/>
        <v>3</v>
      </c>
      <c r="AQ88" s="5">
        <v>2.0</v>
      </c>
      <c r="AR88" s="5">
        <f t="shared" si="5"/>
        <v>6</v>
      </c>
      <c r="AS88" s="5" t="s">
        <v>589</v>
      </c>
    </row>
    <row r="89">
      <c r="A89" s="8">
        <f>IFERROR(__xludf.DUMMYFUNCTION("IF(E89="""", """", VALUE(REGEXREPLACE(E89, ""^[Pp]"", """")))"),23.0)</f>
        <v>23</v>
      </c>
      <c r="B89" s="8">
        <v>768.0</v>
      </c>
      <c r="C89" s="7">
        <v>45869.12569444445</v>
      </c>
      <c r="D89" s="5" t="s">
        <v>590</v>
      </c>
      <c r="E89" s="5" t="s">
        <v>573</v>
      </c>
      <c r="F89" s="5" t="s">
        <v>216</v>
      </c>
      <c r="G89" s="6">
        <v>4.0</v>
      </c>
      <c r="H89" s="5">
        <v>7.0</v>
      </c>
      <c r="I89" s="5">
        <v>5.0</v>
      </c>
      <c r="J89" s="5" t="s">
        <v>199</v>
      </c>
      <c r="K89" s="5">
        <v>5.0</v>
      </c>
      <c r="L89" s="5">
        <v>7.0</v>
      </c>
      <c r="M89" s="5">
        <v>6.0</v>
      </c>
      <c r="N89" s="5">
        <v>4.0</v>
      </c>
      <c r="O89" s="5">
        <v>5.0</v>
      </c>
      <c r="P89" s="5">
        <v>5.0</v>
      </c>
      <c r="Q89" s="5">
        <v>4.0</v>
      </c>
      <c r="R89" s="5">
        <v>5.0</v>
      </c>
      <c r="S89" s="5">
        <v>5.0</v>
      </c>
      <c r="T89" s="5">
        <v>5.0</v>
      </c>
      <c r="U89" s="5">
        <v>5.0</v>
      </c>
      <c r="V89" s="5">
        <v>5.0</v>
      </c>
      <c r="W89" s="5">
        <f t="shared" si="1"/>
        <v>3</v>
      </c>
      <c r="X89" s="5" t="s">
        <v>591</v>
      </c>
      <c r="Y89" s="5" t="s">
        <v>206</v>
      </c>
      <c r="Z89" s="5">
        <v>6.0</v>
      </c>
      <c r="AA89" s="5">
        <v>7.0</v>
      </c>
      <c r="AB89" s="5">
        <v>7.0</v>
      </c>
      <c r="AC89" s="5">
        <v>5.0</v>
      </c>
      <c r="AD89" s="5">
        <v>6.0</v>
      </c>
      <c r="AE89" s="5">
        <v>7.0</v>
      </c>
      <c r="AF89" s="5" t="s">
        <v>592</v>
      </c>
      <c r="AG89" s="5" t="s">
        <v>206</v>
      </c>
      <c r="AH89" s="5">
        <v>7.0</v>
      </c>
      <c r="AI89" s="5">
        <v>5.0</v>
      </c>
      <c r="AJ89" s="5">
        <v>7.0</v>
      </c>
      <c r="AK89" s="5">
        <v>1.0</v>
      </c>
      <c r="AL89" s="5">
        <f t="shared" si="2"/>
        <v>7</v>
      </c>
      <c r="AM89" s="5">
        <v>1.0</v>
      </c>
      <c r="AN89" s="5">
        <f t="shared" si="3"/>
        <v>7</v>
      </c>
      <c r="AO89" s="5">
        <v>1.0</v>
      </c>
      <c r="AP89" s="5">
        <f t="shared" si="4"/>
        <v>7</v>
      </c>
      <c r="AQ89" s="5">
        <v>1.0</v>
      </c>
      <c r="AR89" s="5">
        <f t="shared" si="5"/>
        <v>7</v>
      </c>
      <c r="AS89" s="5" t="s">
        <v>593</v>
      </c>
    </row>
    <row r="90">
      <c r="A90" s="8">
        <f>IFERROR(__xludf.DUMMYFUNCTION("IF(E90="""", """", VALUE(REGEXREPLACE(E90, ""^[Pp]"", """")))"),24.0)</f>
        <v>24</v>
      </c>
      <c r="B90" s="8">
        <v>1424.0</v>
      </c>
      <c r="C90" s="7">
        <v>45869.10902777778</v>
      </c>
      <c r="D90" s="5" t="s">
        <v>581</v>
      </c>
      <c r="E90" s="5" t="s">
        <v>582</v>
      </c>
      <c r="F90" s="5" t="s">
        <v>197</v>
      </c>
      <c r="G90" s="6">
        <v>1.0</v>
      </c>
      <c r="H90" s="5">
        <v>6.0</v>
      </c>
      <c r="I90" s="5">
        <v>6.0</v>
      </c>
      <c r="J90" s="5" t="s">
        <v>199</v>
      </c>
      <c r="K90" s="5">
        <v>7.0</v>
      </c>
      <c r="L90" s="5">
        <v>7.0</v>
      </c>
      <c r="M90" s="5">
        <v>5.0</v>
      </c>
      <c r="N90" s="5">
        <v>6.0</v>
      </c>
      <c r="O90" s="5">
        <v>7.0</v>
      </c>
      <c r="P90" s="5">
        <v>6.0</v>
      </c>
      <c r="Q90" s="5">
        <v>6.0</v>
      </c>
      <c r="R90" s="5">
        <v>7.0</v>
      </c>
      <c r="S90" s="5">
        <v>6.0</v>
      </c>
      <c r="T90" s="5">
        <v>5.0</v>
      </c>
      <c r="U90" s="5">
        <v>7.0</v>
      </c>
      <c r="V90" s="5">
        <v>6.0</v>
      </c>
      <c r="W90" s="5">
        <f t="shared" si="1"/>
        <v>2</v>
      </c>
      <c r="X90" s="5" t="s">
        <v>583</v>
      </c>
      <c r="Y90" s="5" t="s">
        <v>206</v>
      </c>
      <c r="Z90" s="5">
        <v>6.0</v>
      </c>
      <c r="AA90" s="5">
        <v>6.0</v>
      </c>
      <c r="AB90" s="5">
        <v>7.0</v>
      </c>
      <c r="AC90" s="5">
        <v>6.0</v>
      </c>
      <c r="AD90" s="5">
        <v>7.0</v>
      </c>
      <c r="AE90" s="5">
        <v>7.0</v>
      </c>
      <c r="AF90" s="11" t="s">
        <v>584</v>
      </c>
      <c r="AG90" s="5" t="s">
        <v>206</v>
      </c>
      <c r="AH90" s="5">
        <v>6.0</v>
      </c>
      <c r="AI90" s="5">
        <v>6.0</v>
      </c>
      <c r="AJ90" s="5">
        <v>7.0</v>
      </c>
      <c r="AK90" s="5">
        <v>1.0</v>
      </c>
      <c r="AL90" s="5">
        <f t="shared" si="2"/>
        <v>7</v>
      </c>
      <c r="AM90" s="5">
        <v>1.0</v>
      </c>
      <c r="AN90" s="5">
        <f t="shared" si="3"/>
        <v>7</v>
      </c>
      <c r="AO90" s="5">
        <v>1.0</v>
      </c>
      <c r="AP90" s="5">
        <f t="shared" si="4"/>
        <v>7</v>
      </c>
      <c r="AQ90" s="5">
        <v>1.0</v>
      </c>
      <c r="AR90" s="5">
        <f t="shared" si="5"/>
        <v>7</v>
      </c>
      <c r="AS90" s="5" t="s">
        <v>585</v>
      </c>
    </row>
    <row r="91">
      <c r="A91" s="8">
        <f>IFERROR(__xludf.DUMMYFUNCTION("IF(E91="""", """", VALUE(REGEXREPLACE(E91, ""^[Pp]"", """")))"),24.0)</f>
        <v>24</v>
      </c>
      <c r="B91" s="8">
        <v>1117.0</v>
      </c>
      <c r="C91" s="7">
        <v>45869.17638888889</v>
      </c>
      <c r="D91" s="5" t="s">
        <v>596</v>
      </c>
      <c r="E91" s="5" t="s">
        <v>582</v>
      </c>
      <c r="F91" s="5" t="s">
        <v>211</v>
      </c>
      <c r="G91" s="6">
        <v>2.0</v>
      </c>
      <c r="H91" s="5">
        <v>6.0</v>
      </c>
      <c r="I91" s="5">
        <v>5.0</v>
      </c>
      <c r="J91" s="5" t="s">
        <v>199</v>
      </c>
      <c r="K91" s="5">
        <v>7.0</v>
      </c>
      <c r="L91" s="5">
        <v>7.0</v>
      </c>
      <c r="M91" s="5">
        <v>5.0</v>
      </c>
      <c r="N91" s="5">
        <v>5.0</v>
      </c>
      <c r="O91" s="5">
        <v>6.0</v>
      </c>
      <c r="P91" s="5">
        <v>6.0</v>
      </c>
      <c r="Q91" s="5">
        <v>6.0</v>
      </c>
      <c r="R91" s="5">
        <v>7.0</v>
      </c>
      <c r="S91" s="5">
        <v>5.0</v>
      </c>
      <c r="T91" s="5">
        <v>4.0</v>
      </c>
      <c r="U91" s="5">
        <v>6.0</v>
      </c>
      <c r="V91" s="5">
        <v>4.0</v>
      </c>
      <c r="W91" s="5">
        <f t="shared" si="1"/>
        <v>4</v>
      </c>
      <c r="X91" s="5" t="s">
        <v>597</v>
      </c>
      <c r="Y91" s="5" t="s">
        <v>206</v>
      </c>
      <c r="Z91" s="5">
        <v>6.0</v>
      </c>
      <c r="AA91" s="5">
        <v>7.0</v>
      </c>
      <c r="AB91" s="5">
        <v>7.0</v>
      </c>
      <c r="AC91" s="5">
        <v>7.0</v>
      </c>
      <c r="AD91" s="5">
        <v>7.0</v>
      </c>
      <c r="AE91" s="5">
        <v>7.0</v>
      </c>
      <c r="AF91" s="5" t="s">
        <v>598</v>
      </c>
      <c r="AG91" s="5" t="s">
        <v>206</v>
      </c>
      <c r="AH91" s="5">
        <v>6.0</v>
      </c>
      <c r="AI91" s="5">
        <v>6.0</v>
      </c>
      <c r="AJ91" s="5">
        <v>7.0</v>
      </c>
      <c r="AK91" s="5">
        <v>1.0</v>
      </c>
      <c r="AL91" s="5">
        <f t="shared" si="2"/>
        <v>7</v>
      </c>
      <c r="AM91" s="5">
        <v>1.0</v>
      </c>
      <c r="AN91" s="5">
        <f t="shared" si="3"/>
        <v>7</v>
      </c>
      <c r="AO91" s="5">
        <v>1.0</v>
      </c>
      <c r="AP91" s="5">
        <f t="shared" si="4"/>
        <v>7</v>
      </c>
      <c r="AQ91" s="5">
        <v>1.0</v>
      </c>
      <c r="AR91" s="5">
        <f t="shared" si="5"/>
        <v>7</v>
      </c>
      <c r="AS91" s="5" t="s">
        <v>599</v>
      </c>
    </row>
    <row r="92">
      <c r="A92" s="8">
        <f>IFERROR(__xludf.DUMMYFUNCTION("IF(E92="""", """", VALUE(REGEXREPLACE(E92, ""^[Pp]"", """")))"),24.0)</f>
        <v>24</v>
      </c>
      <c r="B92" s="8">
        <v>808.0</v>
      </c>
      <c r="C92" s="7">
        <v>45869.19236111111</v>
      </c>
      <c r="D92" s="5" t="s">
        <v>612</v>
      </c>
      <c r="E92" s="5" t="s">
        <v>582</v>
      </c>
      <c r="F92" s="5" t="s">
        <v>263</v>
      </c>
      <c r="G92" s="6">
        <v>3.0</v>
      </c>
      <c r="H92" s="5">
        <v>7.0</v>
      </c>
      <c r="I92" s="5">
        <v>5.0</v>
      </c>
      <c r="J92" s="5" t="s">
        <v>199</v>
      </c>
      <c r="K92" s="5">
        <v>7.0</v>
      </c>
      <c r="L92" s="5">
        <v>7.0</v>
      </c>
      <c r="M92" s="5">
        <v>5.0</v>
      </c>
      <c r="N92" s="5">
        <v>5.0</v>
      </c>
      <c r="O92" s="5">
        <v>6.0</v>
      </c>
      <c r="P92" s="5">
        <v>6.0</v>
      </c>
      <c r="Q92" s="5">
        <v>5.0</v>
      </c>
      <c r="R92" s="5">
        <v>6.0</v>
      </c>
      <c r="S92" s="5">
        <v>5.0</v>
      </c>
      <c r="T92" s="5">
        <v>2.0</v>
      </c>
      <c r="U92" s="5">
        <v>6.0</v>
      </c>
      <c r="V92" s="5">
        <v>5.0</v>
      </c>
      <c r="W92" s="5">
        <f t="shared" si="1"/>
        <v>3</v>
      </c>
      <c r="X92" s="5" t="s">
        <v>613</v>
      </c>
      <c r="Y92" s="5" t="s">
        <v>206</v>
      </c>
      <c r="Z92" s="5">
        <v>7.0</v>
      </c>
      <c r="AA92" s="5">
        <v>7.0</v>
      </c>
      <c r="AB92" s="5">
        <v>7.0</v>
      </c>
      <c r="AC92" s="5">
        <v>7.0</v>
      </c>
      <c r="AD92" s="5">
        <v>7.0</v>
      </c>
      <c r="AE92" s="5">
        <v>7.0</v>
      </c>
      <c r="AF92" s="5" t="s">
        <v>614</v>
      </c>
      <c r="AG92" s="5" t="s">
        <v>206</v>
      </c>
      <c r="AH92" s="5">
        <v>7.0</v>
      </c>
      <c r="AI92" s="5">
        <v>6.0</v>
      </c>
      <c r="AJ92" s="5">
        <v>7.0</v>
      </c>
      <c r="AK92" s="5">
        <v>1.0</v>
      </c>
      <c r="AL92" s="5">
        <f t="shared" si="2"/>
        <v>7</v>
      </c>
      <c r="AM92" s="5">
        <v>1.0</v>
      </c>
      <c r="AN92" s="5">
        <f t="shared" si="3"/>
        <v>7</v>
      </c>
      <c r="AO92" s="5">
        <v>1.0</v>
      </c>
      <c r="AP92" s="5">
        <f t="shared" si="4"/>
        <v>7</v>
      </c>
      <c r="AQ92" s="5">
        <v>1.0</v>
      </c>
      <c r="AR92" s="5">
        <f t="shared" si="5"/>
        <v>7</v>
      </c>
      <c r="AS92" s="5" t="s">
        <v>615</v>
      </c>
    </row>
    <row r="93">
      <c r="A93" s="8">
        <f>IFERROR(__xludf.DUMMYFUNCTION("IF(E93="""", """", VALUE(REGEXREPLACE(E93, ""^[Pp]"", """")))"),24.0)</f>
        <v>24</v>
      </c>
      <c r="B93" s="8">
        <v>677.0</v>
      </c>
      <c r="C93" s="7">
        <v>45869.20416666667</v>
      </c>
      <c r="D93" s="5" t="s">
        <v>620</v>
      </c>
      <c r="E93" s="5" t="s">
        <v>582</v>
      </c>
      <c r="F93" s="5" t="s">
        <v>216</v>
      </c>
      <c r="G93" s="6">
        <v>4.0</v>
      </c>
      <c r="H93" s="5">
        <v>7.0</v>
      </c>
      <c r="I93" s="5">
        <v>4.0</v>
      </c>
      <c r="J93" s="5" t="s">
        <v>199</v>
      </c>
      <c r="K93" s="5">
        <v>7.0</v>
      </c>
      <c r="L93" s="5">
        <v>7.0</v>
      </c>
      <c r="M93" s="5">
        <v>3.0</v>
      </c>
      <c r="N93" s="5">
        <v>6.0</v>
      </c>
      <c r="O93" s="5">
        <v>6.0</v>
      </c>
      <c r="P93" s="5">
        <v>6.0</v>
      </c>
      <c r="Q93" s="5">
        <v>6.0</v>
      </c>
      <c r="R93" s="5">
        <v>6.0</v>
      </c>
      <c r="S93" s="5">
        <v>3.0</v>
      </c>
      <c r="T93" s="5">
        <v>1.0</v>
      </c>
      <c r="U93" s="5">
        <v>6.0</v>
      </c>
      <c r="V93" s="5">
        <v>4.0</v>
      </c>
      <c r="W93" s="5">
        <f t="shared" si="1"/>
        <v>4</v>
      </c>
      <c r="X93" s="5" t="s">
        <v>621</v>
      </c>
      <c r="Y93" s="5" t="s">
        <v>206</v>
      </c>
      <c r="Z93" s="5">
        <v>6.0</v>
      </c>
      <c r="AA93" s="5">
        <v>6.0</v>
      </c>
      <c r="AB93" s="5">
        <v>7.0</v>
      </c>
      <c r="AC93" s="5">
        <v>6.0</v>
      </c>
      <c r="AD93" s="5">
        <v>7.0</v>
      </c>
      <c r="AE93" s="5">
        <v>7.0</v>
      </c>
      <c r="AF93" s="5" t="s">
        <v>622</v>
      </c>
      <c r="AG93" s="5" t="s">
        <v>206</v>
      </c>
      <c r="AH93" s="5">
        <v>7.0</v>
      </c>
      <c r="AI93" s="5">
        <v>7.0</v>
      </c>
      <c r="AJ93" s="5">
        <v>7.0</v>
      </c>
      <c r="AK93" s="5">
        <v>1.0</v>
      </c>
      <c r="AL93" s="5">
        <f t="shared" si="2"/>
        <v>7</v>
      </c>
      <c r="AM93" s="5">
        <v>1.0</v>
      </c>
      <c r="AN93" s="5">
        <f t="shared" si="3"/>
        <v>7</v>
      </c>
      <c r="AO93" s="5">
        <v>1.0</v>
      </c>
      <c r="AP93" s="5">
        <f t="shared" si="4"/>
        <v>7</v>
      </c>
      <c r="AQ93" s="5">
        <v>1.0</v>
      </c>
      <c r="AR93" s="5">
        <f t="shared" si="5"/>
        <v>7</v>
      </c>
      <c r="AS93" s="5" t="s">
        <v>623</v>
      </c>
    </row>
    <row r="94">
      <c r="A94" s="8">
        <f>IFERROR(__xludf.DUMMYFUNCTION("IF(E94="""", """", VALUE(REGEXREPLACE(E94, ""^[Pp]"", """")))"),25.0)</f>
        <v>25</v>
      </c>
      <c r="B94" s="8">
        <v>644.0</v>
      </c>
      <c r="C94" s="7">
        <v>45869.165972222225</v>
      </c>
      <c r="D94" s="5" t="s">
        <v>594</v>
      </c>
      <c r="E94" s="5" t="s">
        <v>595</v>
      </c>
      <c r="F94" s="5" t="s">
        <v>216</v>
      </c>
      <c r="G94" s="6">
        <v>1.0</v>
      </c>
      <c r="H94" s="5">
        <v>6.0</v>
      </c>
      <c r="I94" s="5">
        <v>5.0</v>
      </c>
      <c r="J94" s="5" t="s">
        <v>199</v>
      </c>
      <c r="K94" s="5">
        <v>6.0</v>
      </c>
      <c r="L94" s="5">
        <v>4.0</v>
      </c>
      <c r="M94" s="5">
        <v>6.0</v>
      </c>
      <c r="N94" s="5">
        <v>5.0</v>
      </c>
      <c r="O94" s="5">
        <v>5.0</v>
      </c>
      <c r="P94" s="5">
        <v>4.0</v>
      </c>
      <c r="Q94" s="5">
        <v>5.0</v>
      </c>
      <c r="R94" s="5">
        <v>5.0</v>
      </c>
      <c r="S94" s="5">
        <v>5.0</v>
      </c>
      <c r="T94" s="5">
        <v>3.0</v>
      </c>
      <c r="U94" s="5">
        <v>5.0</v>
      </c>
      <c r="V94" s="5">
        <v>4.0</v>
      </c>
      <c r="W94" s="5">
        <f t="shared" si="1"/>
        <v>4</v>
      </c>
      <c r="X94" s="5" t="s">
        <v>413</v>
      </c>
      <c r="Y94" s="5" t="s">
        <v>206</v>
      </c>
      <c r="Z94" s="5">
        <v>5.0</v>
      </c>
      <c r="AA94" s="5">
        <v>3.0</v>
      </c>
      <c r="AB94" s="5">
        <v>4.0</v>
      </c>
      <c r="AC94" s="5">
        <v>3.0</v>
      </c>
      <c r="AD94" s="5">
        <v>3.0</v>
      </c>
      <c r="AE94" s="5">
        <v>3.0</v>
      </c>
      <c r="AF94" s="5" t="s">
        <v>413</v>
      </c>
      <c r="AG94" s="5" t="s">
        <v>206</v>
      </c>
      <c r="AH94" s="5">
        <v>5.0</v>
      </c>
      <c r="AI94" s="5">
        <v>6.0</v>
      </c>
      <c r="AJ94" s="5">
        <v>5.0</v>
      </c>
      <c r="AK94" s="5">
        <v>3.0</v>
      </c>
      <c r="AL94" s="5">
        <f t="shared" si="2"/>
        <v>5</v>
      </c>
      <c r="AM94" s="5">
        <v>3.0</v>
      </c>
      <c r="AN94" s="5">
        <f t="shared" si="3"/>
        <v>5</v>
      </c>
      <c r="AO94" s="5">
        <v>3.0</v>
      </c>
      <c r="AP94" s="5">
        <f t="shared" si="4"/>
        <v>5</v>
      </c>
      <c r="AQ94" s="5">
        <v>3.0</v>
      </c>
      <c r="AR94" s="5">
        <f t="shared" si="5"/>
        <v>5</v>
      </c>
      <c r="AS94" s="5" t="s">
        <v>413</v>
      </c>
    </row>
    <row r="95">
      <c r="A95" s="8">
        <f>IFERROR(__xludf.DUMMYFUNCTION("IF(E95="""", """", VALUE(REGEXREPLACE(E95, ""^[Pp]"", """")))"),25.0)</f>
        <v>25</v>
      </c>
      <c r="B95" s="8">
        <v>447.0</v>
      </c>
      <c r="C95" s="7">
        <v>45869.18194444444</v>
      </c>
      <c r="D95" s="5" t="s">
        <v>600</v>
      </c>
      <c r="E95" s="5" t="s">
        <v>595</v>
      </c>
      <c r="F95" s="5" t="s">
        <v>263</v>
      </c>
      <c r="G95" s="6">
        <v>2.0</v>
      </c>
      <c r="H95" s="5">
        <v>6.0</v>
      </c>
      <c r="I95" s="5">
        <v>5.0</v>
      </c>
      <c r="J95" s="5" t="s">
        <v>199</v>
      </c>
      <c r="K95" s="5">
        <v>6.0</v>
      </c>
      <c r="L95" s="5">
        <v>5.0</v>
      </c>
      <c r="M95" s="5">
        <v>6.0</v>
      </c>
      <c r="N95" s="5">
        <v>6.0</v>
      </c>
      <c r="O95" s="5">
        <v>6.0</v>
      </c>
      <c r="P95" s="5">
        <v>6.0</v>
      </c>
      <c r="Q95" s="5">
        <v>6.0</v>
      </c>
      <c r="R95" s="5">
        <v>6.0</v>
      </c>
      <c r="S95" s="5">
        <v>6.0</v>
      </c>
      <c r="T95" s="5">
        <v>3.0</v>
      </c>
      <c r="U95" s="5">
        <v>6.0</v>
      </c>
      <c r="V95" s="5">
        <v>5.0</v>
      </c>
      <c r="W95" s="5">
        <f t="shared" si="1"/>
        <v>3</v>
      </c>
      <c r="X95" s="5" t="s">
        <v>413</v>
      </c>
      <c r="Y95" s="5" t="s">
        <v>206</v>
      </c>
      <c r="Z95" s="5">
        <v>6.0</v>
      </c>
      <c r="AA95" s="5">
        <v>6.0</v>
      </c>
      <c r="AB95" s="5">
        <v>6.0</v>
      </c>
      <c r="AC95" s="5">
        <v>6.0</v>
      </c>
      <c r="AD95" s="5">
        <v>6.0</v>
      </c>
      <c r="AE95" s="5">
        <v>5.0</v>
      </c>
      <c r="AF95" s="5" t="s">
        <v>413</v>
      </c>
      <c r="AG95" s="5" t="s">
        <v>206</v>
      </c>
      <c r="AH95" s="5">
        <v>6.0</v>
      </c>
      <c r="AI95" s="5">
        <v>6.0</v>
      </c>
      <c r="AJ95" s="5">
        <v>5.0</v>
      </c>
      <c r="AK95" s="5">
        <v>3.0</v>
      </c>
      <c r="AL95" s="5">
        <f t="shared" si="2"/>
        <v>5</v>
      </c>
      <c r="AM95" s="5">
        <v>2.0</v>
      </c>
      <c r="AN95" s="5">
        <f t="shared" si="3"/>
        <v>6</v>
      </c>
      <c r="AO95" s="5">
        <v>3.0</v>
      </c>
      <c r="AP95" s="5">
        <f t="shared" si="4"/>
        <v>5</v>
      </c>
      <c r="AQ95" s="5">
        <v>2.0</v>
      </c>
      <c r="AR95" s="5">
        <f t="shared" si="5"/>
        <v>6</v>
      </c>
      <c r="AS95" s="5" t="s">
        <v>413</v>
      </c>
    </row>
    <row r="96">
      <c r="A96" s="8">
        <f>IFERROR(__xludf.DUMMYFUNCTION("IF(E96="""", """", VALUE(REGEXREPLACE(E96, ""^[Pp]"", """")))"),25.0)</f>
        <v>25</v>
      </c>
      <c r="B96" s="8">
        <v>300.0</v>
      </c>
      <c r="C96" s="7">
        <v>45869.19097222222</v>
      </c>
      <c r="D96" s="5" t="s">
        <v>611</v>
      </c>
      <c r="E96" s="5" t="s">
        <v>595</v>
      </c>
      <c r="F96" s="5" t="s">
        <v>211</v>
      </c>
      <c r="G96" s="6">
        <v>3.0</v>
      </c>
      <c r="H96" s="5">
        <v>5.0</v>
      </c>
      <c r="I96" s="5">
        <v>6.0</v>
      </c>
      <c r="J96" s="5" t="s">
        <v>199</v>
      </c>
      <c r="K96" s="5">
        <v>6.0</v>
      </c>
      <c r="L96" s="5">
        <v>6.0</v>
      </c>
      <c r="M96" s="5">
        <v>6.0</v>
      </c>
      <c r="N96" s="5">
        <v>6.0</v>
      </c>
      <c r="O96" s="5">
        <v>6.0</v>
      </c>
      <c r="P96" s="5">
        <v>6.0</v>
      </c>
      <c r="Q96" s="5">
        <v>6.0</v>
      </c>
      <c r="R96" s="5">
        <v>6.0</v>
      </c>
      <c r="S96" s="5">
        <v>6.0</v>
      </c>
      <c r="T96" s="5">
        <v>3.0</v>
      </c>
      <c r="U96" s="5">
        <v>6.0</v>
      </c>
      <c r="V96" s="5">
        <v>5.0</v>
      </c>
      <c r="W96" s="5">
        <f t="shared" si="1"/>
        <v>3</v>
      </c>
      <c r="X96" s="5" t="s">
        <v>413</v>
      </c>
      <c r="Y96" s="5" t="s">
        <v>206</v>
      </c>
      <c r="Z96" s="5">
        <v>6.0</v>
      </c>
      <c r="AA96" s="5">
        <v>6.0</v>
      </c>
      <c r="AB96" s="5">
        <v>6.0</v>
      </c>
      <c r="AC96" s="5">
        <v>6.0</v>
      </c>
      <c r="AD96" s="5">
        <v>6.0</v>
      </c>
      <c r="AE96" s="5">
        <v>6.0</v>
      </c>
      <c r="AF96" s="5" t="s">
        <v>413</v>
      </c>
      <c r="AG96" s="5" t="s">
        <v>206</v>
      </c>
      <c r="AH96" s="5">
        <v>6.0</v>
      </c>
      <c r="AI96" s="5">
        <v>6.0</v>
      </c>
      <c r="AJ96" s="5">
        <v>5.0</v>
      </c>
      <c r="AK96" s="5">
        <v>2.0</v>
      </c>
      <c r="AL96" s="5">
        <f t="shared" si="2"/>
        <v>6</v>
      </c>
      <c r="AM96" s="5">
        <v>2.0</v>
      </c>
      <c r="AN96" s="5">
        <f t="shared" si="3"/>
        <v>6</v>
      </c>
      <c r="AO96" s="5">
        <v>2.0</v>
      </c>
      <c r="AP96" s="5">
        <f t="shared" si="4"/>
        <v>6</v>
      </c>
      <c r="AQ96" s="5">
        <v>2.0</v>
      </c>
      <c r="AR96" s="5">
        <f t="shared" si="5"/>
        <v>6</v>
      </c>
      <c r="AS96" s="5" t="s">
        <v>413</v>
      </c>
    </row>
    <row r="97">
      <c r="A97" s="8">
        <f>IFERROR(__xludf.DUMMYFUNCTION("IF(E97="""", """", VALUE(REGEXREPLACE(E97, ""^[Pp]"", """")))"),25.0)</f>
        <v>25</v>
      </c>
      <c r="B97" s="8">
        <v>417.0</v>
      </c>
      <c r="C97" s="7">
        <v>45869.21388888889</v>
      </c>
      <c r="D97" s="5" t="s">
        <v>628</v>
      </c>
      <c r="E97" s="5" t="s">
        <v>595</v>
      </c>
      <c r="F97" s="5" t="s">
        <v>197</v>
      </c>
      <c r="G97" s="6">
        <v>4.0</v>
      </c>
      <c r="H97" s="5">
        <v>6.0</v>
      </c>
      <c r="I97" s="5">
        <v>6.0</v>
      </c>
      <c r="J97" s="5" t="s">
        <v>199</v>
      </c>
      <c r="K97" s="5">
        <v>5.0</v>
      </c>
      <c r="L97" s="5">
        <v>5.0</v>
      </c>
      <c r="M97" s="5">
        <v>3.0</v>
      </c>
      <c r="N97" s="5">
        <v>6.0</v>
      </c>
      <c r="O97" s="5">
        <v>6.0</v>
      </c>
      <c r="P97" s="5">
        <v>6.0</v>
      </c>
      <c r="Q97" s="5">
        <v>3.0</v>
      </c>
      <c r="R97" s="5">
        <v>6.0</v>
      </c>
      <c r="S97" s="5">
        <v>6.0</v>
      </c>
      <c r="T97" s="5">
        <v>3.0</v>
      </c>
      <c r="U97" s="5">
        <v>5.0</v>
      </c>
      <c r="V97" s="5">
        <v>3.0</v>
      </c>
      <c r="W97" s="5">
        <f t="shared" si="1"/>
        <v>5</v>
      </c>
      <c r="X97" s="5" t="s">
        <v>413</v>
      </c>
      <c r="Y97" s="5" t="s">
        <v>206</v>
      </c>
      <c r="Z97" s="5">
        <v>6.0</v>
      </c>
      <c r="AA97" s="5">
        <v>6.0</v>
      </c>
      <c r="AB97" s="5">
        <v>6.0</v>
      </c>
      <c r="AC97" s="5">
        <v>6.0</v>
      </c>
      <c r="AD97" s="5">
        <v>6.0</v>
      </c>
      <c r="AE97" s="5">
        <v>6.0</v>
      </c>
      <c r="AF97" s="5" t="s">
        <v>413</v>
      </c>
      <c r="AG97" s="5" t="s">
        <v>206</v>
      </c>
      <c r="AH97" s="5">
        <v>6.0</v>
      </c>
      <c r="AI97" s="5">
        <v>5.0</v>
      </c>
      <c r="AJ97" s="5">
        <v>5.0</v>
      </c>
      <c r="AK97" s="5">
        <v>3.0</v>
      </c>
      <c r="AL97" s="5">
        <f t="shared" si="2"/>
        <v>5</v>
      </c>
      <c r="AM97" s="5">
        <v>3.0</v>
      </c>
      <c r="AN97" s="5">
        <f t="shared" si="3"/>
        <v>5</v>
      </c>
      <c r="AO97" s="5">
        <v>5.0</v>
      </c>
      <c r="AP97" s="5">
        <f t="shared" si="4"/>
        <v>3</v>
      </c>
      <c r="AQ97" s="5">
        <v>4.0</v>
      </c>
      <c r="AR97" s="5">
        <f t="shared" si="5"/>
        <v>4</v>
      </c>
      <c r="AS97" s="5" t="s">
        <v>413</v>
      </c>
    </row>
    <row r="98">
      <c r="A98" s="8">
        <f>IFERROR(__xludf.DUMMYFUNCTION("IF(E98="""", """", VALUE(REGEXREPLACE(E98, ""^[Pp]"", """")))"),26.0)</f>
        <v>26</v>
      </c>
      <c r="B98" s="8">
        <v>1215.0</v>
      </c>
      <c r="C98" s="7">
        <v>45869.18402777778</v>
      </c>
      <c r="D98" s="5" t="s">
        <v>601</v>
      </c>
      <c r="E98" s="5" t="s">
        <v>602</v>
      </c>
      <c r="F98" s="5" t="s">
        <v>197</v>
      </c>
      <c r="G98" s="6">
        <v>1.0</v>
      </c>
      <c r="H98" s="5">
        <v>6.0</v>
      </c>
      <c r="I98" s="5">
        <v>5.0</v>
      </c>
      <c r="J98" s="5" t="s">
        <v>199</v>
      </c>
      <c r="K98" s="5">
        <v>6.0</v>
      </c>
      <c r="L98" s="5">
        <v>6.0</v>
      </c>
      <c r="M98" s="5">
        <v>7.0</v>
      </c>
      <c r="N98" s="5">
        <v>5.0</v>
      </c>
      <c r="O98" s="5">
        <v>5.0</v>
      </c>
      <c r="P98" s="5">
        <v>6.0</v>
      </c>
      <c r="Q98" s="5">
        <v>6.0</v>
      </c>
      <c r="R98" s="5">
        <v>7.0</v>
      </c>
      <c r="S98" s="5">
        <v>5.0</v>
      </c>
      <c r="T98" s="5">
        <v>6.0</v>
      </c>
      <c r="U98" s="5">
        <v>6.0</v>
      </c>
      <c r="V98" s="5">
        <v>5.0</v>
      </c>
      <c r="W98" s="5">
        <f t="shared" si="1"/>
        <v>3</v>
      </c>
      <c r="X98" s="5" t="s">
        <v>603</v>
      </c>
      <c r="Y98" s="5" t="s">
        <v>206</v>
      </c>
      <c r="Z98" s="5">
        <v>6.0</v>
      </c>
      <c r="AA98" s="5">
        <v>6.0</v>
      </c>
      <c r="AB98" s="5">
        <v>6.0</v>
      </c>
      <c r="AC98" s="5">
        <v>7.0</v>
      </c>
      <c r="AD98" s="5">
        <v>6.0</v>
      </c>
      <c r="AE98" s="5">
        <v>6.0</v>
      </c>
      <c r="AF98" s="5" t="s">
        <v>604</v>
      </c>
      <c r="AG98" s="5" t="s">
        <v>206</v>
      </c>
      <c r="AH98" s="5">
        <v>6.0</v>
      </c>
      <c r="AI98" s="5">
        <v>6.0</v>
      </c>
      <c r="AJ98" s="5">
        <v>7.0</v>
      </c>
      <c r="AK98" s="5">
        <v>1.0</v>
      </c>
      <c r="AL98" s="5">
        <f t="shared" si="2"/>
        <v>7</v>
      </c>
      <c r="AM98" s="5">
        <v>1.0</v>
      </c>
      <c r="AN98" s="5">
        <f t="shared" si="3"/>
        <v>7</v>
      </c>
      <c r="AO98" s="5">
        <v>1.0</v>
      </c>
      <c r="AP98" s="5">
        <f t="shared" si="4"/>
        <v>7</v>
      </c>
      <c r="AQ98" s="5">
        <v>1.0</v>
      </c>
      <c r="AR98" s="5">
        <f t="shared" si="5"/>
        <v>7</v>
      </c>
      <c r="AS98" s="5" t="s">
        <v>605</v>
      </c>
    </row>
    <row r="99">
      <c r="A99" s="8">
        <f>IFERROR(__xludf.DUMMYFUNCTION("IF(E99="""", """", VALUE(REGEXREPLACE(E99, ""^[Pp]"", """")))"),26.0)</f>
        <v>26</v>
      </c>
      <c r="B99" s="8">
        <v>1307.0</v>
      </c>
      <c r="C99" s="7">
        <v>45869.20347222222</v>
      </c>
      <c r="D99" s="5" t="s">
        <v>616</v>
      </c>
      <c r="E99" s="5" t="s">
        <v>602</v>
      </c>
      <c r="F99" s="5" t="s">
        <v>211</v>
      </c>
      <c r="G99" s="6">
        <v>2.0</v>
      </c>
      <c r="H99" s="5">
        <v>3.0</v>
      </c>
      <c r="I99" s="5">
        <v>3.0</v>
      </c>
      <c r="J99" s="5" t="s">
        <v>199</v>
      </c>
      <c r="K99" s="5">
        <v>6.0</v>
      </c>
      <c r="L99" s="5">
        <v>5.0</v>
      </c>
      <c r="M99" s="5">
        <v>3.0</v>
      </c>
      <c r="N99" s="5">
        <v>3.0</v>
      </c>
      <c r="O99" s="5">
        <v>3.0</v>
      </c>
      <c r="P99" s="5">
        <v>5.0</v>
      </c>
      <c r="Q99" s="5">
        <v>5.0</v>
      </c>
      <c r="R99" s="5">
        <v>6.0</v>
      </c>
      <c r="S99" s="5">
        <v>3.0</v>
      </c>
      <c r="T99" s="5">
        <v>3.0</v>
      </c>
      <c r="U99" s="5">
        <v>5.0</v>
      </c>
      <c r="V99" s="5">
        <v>6.0</v>
      </c>
      <c r="W99" s="5">
        <f t="shared" si="1"/>
        <v>2</v>
      </c>
      <c r="X99" s="5" t="s">
        <v>617</v>
      </c>
      <c r="Y99" s="5" t="s">
        <v>206</v>
      </c>
      <c r="Z99" s="5">
        <v>6.0</v>
      </c>
      <c r="AA99" s="5">
        <v>5.0</v>
      </c>
      <c r="AB99" s="5">
        <v>3.0</v>
      </c>
      <c r="AC99" s="5">
        <v>3.0</v>
      </c>
      <c r="AD99" s="5">
        <v>3.0</v>
      </c>
      <c r="AE99" s="5">
        <v>3.0</v>
      </c>
      <c r="AF99" s="5" t="s">
        <v>618</v>
      </c>
      <c r="AG99" s="5" t="s">
        <v>206</v>
      </c>
      <c r="AH99" s="5">
        <v>5.0</v>
      </c>
      <c r="AI99" s="5">
        <v>6.0</v>
      </c>
      <c r="AJ99" s="5">
        <v>5.0</v>
      </c>
      <c r="AK99" s="5">
        <v>1.0</v>
      </c>
      <c r="AL99" s="5">
        <f t="shared" si="2"/>
        <v>7</v>
      </c>
      <c r="AM99" s="5">
        <v>1.0</v>
      </c>
      <c r="AN99" s="5">
        <f t="shared" si="3"/>
        <v>7</v>
      </c>
      <c r="AO99" s="5">
        <v>1.0</v>
      </c>
      <c r="AP99" s="5">
        <f t="shared" si="4"/>
        <v>7</v>
      </c>
      <c r="AQ99" s="5">
        <v>1.0</v>
      </c>
      <c r="AR99" s="5">
        <f t="shared" si="5"/>
        <v>7</v>
      </c>
      <c r="AS99" s="5" t="s">
        <v>619</v>
      </c>
    </row>
    <row r="100">
      <c r="A100" s="8">
        <f>IFERROR(__xludf.DUMMYFUNCTION("IF(E100="""", """", VALUE(REGEXREPLACE(E100, ""^[Pp]"", """")))"),26.0)</f>
        <v>26</v>
      </c>
      <c r="B100" s="8">
        <v>1053.0</v>
      </c>
      <c r="C100" s="7">
        <v>45869.217361111114</v>
      </c>
      <c r="D100" s="5" t="s">
        <v>629</v>
      </c>
      <c r="E100" s="5" t="s">
        <v>602</v>
      </c>
      <c r="F100" s="5" t="s">
        <v>216</v>
      </c>
      <c r="G100" s="6">
        <v>3.0</v>
      </c>
      <c r="H100" s="5">
        <v>3.0</v>
      </c>
      <c r="I100" s="5">
        <v>2.0</v>
      </c>
      <c r="J100" s="5" t="s">
        <v>199</v>
      </c>
      <c r="K100" s="5">
        <v>6.0</v>
      </c>
      <c r="L100" s="5">
        <v>5.0</v>
      </c>
      <c r="M100" s="5">
        <v>2.0</v>
      </c>
      <c r="N100" s="5">
        <v>2.0</v>
      </c>
      <c r="O100" s="5">
        <v>5.0</v>
      </c>
      <c r="P100" s="5">
        <v>5.0</v>
      </c>
      <c r="Q100" s="5">
        <v>5.0</v>
      </c>
      <c r="R100" s="5">
        <v>6.0</v>
      </c>
      <c r="S100" s="5">
        <v>2.0</v>
      </c>
      <c r="T100" s="5">
        <v>2.0</v>
      </c>
      <c r="U100" s="5">
        <v>3.0</v>
      </c>
      <c r="V100" s="5">
        <v>6.0</v>
      </c>
      <c r="W100" s="5">
        <f t="shared" si="1"/>
        <v>2</v>
      </c>
      <c r="X100" s="5" t="s">
        <v>630</v>
      </c>
      <c r="Y100" s="5" t="s">
        <v>206</v>
      </c>
      <c r="Z100" s="5">
        <v>5.0</v>
      </c>
      <c r="AA100" s="5">
        <v>3.0</v>
      </c>
      <c r="AB100" s="5">
        <v>3.0</v>
      </c>
      <c r="AC100" s="5">
        <v>2.0</v>
      </c>
      <c r="AD100" s="5">
        <v>2.0</v>
      </c>
      <c r="AE100" s="5">
        <v>2.0</v>
      </c>
      <c r="AF100" s="5" t="s">
        <v>631</v>
      </c>
      <c r="AG100" s="5" t="s">
        <v>206</v>
      </c>
      <c r="AH100" s="5">
        <v>5.0</v>
      </c>
      <c r="AI100" s="5">
        <v>6.0</v>
      </c>
      <c r="AJ100" s="5">
        <v>3.0</v>
      </c>
      <c r="AK100" s="5">
        <v>1.0</v>
      </c>
      <c r="AL100" s="5">
        <f t="shared" si="2"/>
        <v>7</v>
      </c>
      <c r="AM100" s="5">
        <v>1.0</v>
      </c>
      <c r="AN100" s="5">
        <f t="shared" si="3"/>
        <v>7</v>
      </c>
      <c r="AO100" s="5">
        <v>1.0</v>
      </c>
      <c r="AP100" s="5">
        <f t="shared" si="4"/>
        <v>7</v>
      </c>
      <c r="AQ100" s="5">
        <v>1.0</v>
      </c>
      <c r="AR100" s="5">
        <f t="shared" si="5"/>
        <v>7</v>
      </c>
      <c r="AS100" s="5" t="s">
        <v>632</v>
      </c>
    </row>
    <row r="101">
      <c r="A101" s="8">
        <f>IFERROR(__xludf.DUMMYFUNCTION("IF(E101="""", """", VALUE(REGEXREPLACE(E101, ""^[Pp]"", """")))"),26.0)</f>
        <v>26</v>
      </c>
      <c r="B101" s="8">
        <v>824.0</v>
      </c>
      <c r="C101" s="7">
        <v>45869.23263888889</v>
      </c>
      <c r="D101" s="5" t="s">
        <v>646</v>
      </c>
      <c r="E101" s="5" t="s">
        <v>602</v>
      </c>
      <c r="F101" s="5" t="s">
        <v>263</v>
      </c>
      <c r="G101" s="6">
        <v>4.0</v>
      </c>
      <c r="H101" s="5">
        <v>6.0</v>
      </c>
      <c r="I101" s="5">
        <v>5.0</v>
      </c>
      <c r="J101" s="5" t="s">
        <v>199</v>
      </c>
      <c r="K101" s="5">
        <v>6.0</v>
      </c>
      <c r="L101" s="5">
        <v>5.0</v>
      </c>
      <c r="M101" s="5">
        <v>6.0</v>
      </c>
      <c r="N101" s="5">
        <v>2.0</v>
      </c>
      <c r="O101" s="5">
        <v>3.0</v>
      </c>
      <c r="P101" s="5">
        <v>5.0</v>
      </c>
      <c r="Q101" s="5">
        <v>5.0</v>
      </c>
      <c r="R101" s="5">
        <v>6.0</v>
      </c>
      <c r="S101" s="5">
        <v>2.0</v>
      </c>
      <c r="T101" s="5">
        <v>5.0</v>
      </c>
      <c r="U101" s="5">
        <v>5.0</v>
      </c>
      <c r="V101" s="5">
        <v>6.0</v>
      </c>
      <c r="W101" s="5">
        <f t="shared" si="1"/>
        <v>2</v>
      </c>
      <c r="X101" s="5" t="s">
        <v>647</v>
      </c>
      <c r="Y101" s="5" t="s">
        <v>206</v>
      </c>
      <c r="Z101" s="5">
        <v>6.0</v>
      </c>
      <c r="AA101" s="5">
        <v>6.0</v>
      </c>
      <c r="AB101" s="5">
        <v>6.0</v>
      </c>
      <c r="AC101" s="5">
        <v>5.0</v>
      </c>
      <c r="AD101" s="5">
        <v>6.0</v>
      </c>
      <c r="AE101" s="5">
        <v>6.0</v>
      </c>
      <c r="AF101" s="5" t="s">
        <v>648</v>
      </c>
      <c r="AG101" s="5" t="s">
        <v>206</v>
      </c>
      <c r="AH101" s="5">
        <v>6.0</v>
      </c>
      <c r="AI101" s="5">
        <v>6.0</v>
      </c>
      <c r="AJ101" s="5">
        <v>6.0</v>
      </c>
      <c r="AK101" s="5">
        <v>1.0</v>
      </c>
      <c r="AL101" s="5">
        <f t="shared" si="2"/>
        <v>7</v>
      </c>
      <c r="AM101" s="5">
        <v>1.0</v>
      </c>
      <c r="AN101" s="5">
        <f t="shared" si="3"/>
        <v>7</v>
      </c>
      <c r="AO101" s="5">
        <v>1.0</v>
      </c>
      <c r="AP101" s="5">
        <f t="shared" si="4"/>
        <v>7</v>
      </c>
      <c r="AQ101" s="5">
        <v>1.0</v>
      </c>
      <c r="AR101" s="5">
        <f t="shared" si="5"/>
        <v>7</v>
      </c>
      <c r="AS101" s="5" t="s">
        <v>649</v>
      </c>
    </row>
    <row r="102">
      <c r="A102" s="8">
        <f>IFERROR(__xludf.DUMMYFUNCTION("IF(E102="""", """", VALUE(REGEXREPLACE(E102, ""^[Pp]"", """")))"),27.0)</f>
        <v>27</v>
      </c>
      <c r="B102" s="8">
        <v>973.0</v>
      </c>
      <c r="C102" s="7">
        <v>45869.18819444445</v>
      </c>
      <c r="D102" s="5" t="s">
        <v>606</v>
      </c>
      <c r="E102" s="5" t="s">
        <v>607</v>
      </c>
      <c r="F102" s="5" t="s">
        <v>211</v>
      </c>
      <c r="G102" s="6">
        <v>1.0</v>
      </c>
      <c r="H102" s="5">
        <v>2.0</v>
      </c>
      <c r="I102" s="5">
        <v>1.0</v>
      </c>
      <c r="J102" s="5" t="s">
        <v>199</v>
      </c>
      <c r="K102" s="5">
        <v>1.0</v>
      </c>
      <c r="L102" s="5">
        <v>1.0</v>
      </c>
      <c r="M102" s="5">
        <v>1.0</v>
      </c>
      <c r="N102" s="5">
        <v>2.0</v>
      </c>
      <c r="O102" s="5">
        <v>1.0</v>
      </c>
      <c r="P102" s="5">
        <v>5.0</v>
      </c>
      <c r="Q102" s="5">
        <v>4.0</v>
      </c>
      <c r="R102" s="5">
        <v>3.0</v>
      </c>
      <c r="S102" s="5">
        <v>1.0</v>
      </c>
      <c r="T102" s="5">
        <v>1.0</v>
      </c>
      <c r="U102" s="5">
        <v>1.0</v>
      </c>
      <c r="V102" s="5">
        <v>7.0</v>
      </c>
      <c r="W102" s="5">
        <f t="shared" si="1"/>
        <v>1</v>
      </c>
      <c r="X102" s="5" t="s">
        <v>608</v>
      </c>
      <c r="Y102" s="5" t="s">
        <v>206</v>
      </c>
      <c r="Z102" s="5">
        <v>2.0</v>
      </c>
      <c r="AA102" s="5">
        <v>4.0</v>
      </c>
      <c r="AB102" s="5">
        <v>2.0</v>
      </c>
      <c r="AC102" s="5">
        <v>6.0</v>
      </c>
      <c r="AD102" s="5">
        <v>6.0</v>
      </c>
      <c r="AE102" s="5">
        <v>4.0</v>
      </c>
      <c r="AF102" s="5" t="s">
        <v>609</v>
      </c>
      <c r="AG102" s="5" t="s">
        <v>206</v>
      </c>
      <c r="AH102" s="5">
        <v>1.0</v>
      </c>
      <c r="AI102" s="5">
        <v>5.0</v>
      </c>
      <c r="AJ102" s="5">
        <v>6.0</v>
      </c>
      <c r="AK102" s="5">
        <v>1.0</v>
      </c>
      <c r="AL102" s="5">
        <f t="shared" si="2"/>
        <v>7</v>
      </c>
      <c r="AM102" s="5">
        <v>1.0</v>
      </c>
      <c r="AN102" s="5">
        <f t="shared" si="3"/>
        <v>7</v>
      </c>
      <c r="AO102" s="5">
        <v>2.0</v>
      </c>
      <c r="AP102" s="5">
        <f t="shared" si="4"/>
        <v>6</v>
      </c>
      <c r="AQ102" s="5">
        <v>1.0</v>
      </c>
      <c r="AR102" s="5">
        <f t="shared" si="5"/>
        <v>7</v>
      </c>
      <c r="AS102" s="5" t="s">
        <v>610</v>
      </c>
    </row>
    <row r="103">
      <c r="A103" s="8">
        <f>IFERROR(__xludf.DUMMYFUNCTION("IF(E103="""", """", VALUE(REGEXREPLACE(E103, ""^[Pp]"", """")))"),27.0)</f>
        <v>27</v>
      </c>
      <c r="B103" s="8">
        <v>726.0</v>
      </c>
      <c r="C103" s="7">
        <v>45869.20763888889</v>
      </c>
      <c r="D103" s="5" t="s">
        <v>624</v>
      </c>
      <c r="E103" s="5" t="s">
        <v>607</v>
      </c>
      <c r="F103" s="5" t="s">
        <v>263</v>
      </c>
      <c r="G103" s="6">
        <v>2.0</v>
      </c>
      <c r="H103" s="5">
        <v>5.0</v>
      </c>
      <c r="I103" s="5">
        <v>5.0</v>
      </c>
      <c r="J103" s="5" t="s">
        <v>199</v>
      </c>
      <c r="K103" s="5">
        <v>2.0</v>
      </c>
      <c r="L103" s="5">
        <v>5.0</v>
      </c>
      <c r="M103" s="5">
        <v>4.0</v>
      </c>
      <c r="N103" s="5">
        <v>5.0</v>
      </c>
      <c r="O103" s="5">
        <v>5.0</v>
      </c>
      <c r="P103" s="5">
        <v>5.0</v>
      </c>
      <c r="Q103" s="5">
        <v>5.0</v>
      </c>
      <c r="R103" s="5">
        <v>2.0</v>
      </c>
      <c r="S103" s="5">
        <v>5.0</v>
      </c>
      <c r="T103" s="5">
        <v>5.0</v>
      </c>
      <c r="U103" s="5">
        <v>5.0</v>
      </c>
      <c r="V103" s="5">
        <v>7.0</v>
      </c>
      <c r="W103" s="5">
        <f t="shared" si="1"/>
        <v>1</v>
      </c>
      <c r="X103" s="5" t="s">
        <v>625</v>
      </c>
      <c r="Y103" s="5" t="s">
        <v>206</v>
      </c>
      <c r="Z103" s="5">
        <v>3.0</v>
      </c>
      <c r="AA103" s="5">
        <v>5.0</v>
      </c>
      <c r="AB103" s="5">
        <v>3.0</v>
      </c>
      <c r="AC103" s="5">
        <v>7.0</v>
      </c>
      <c r="AD103" s="5">
        <v>6.0</v>
      </c>
      <c r="AE103" s="5">
        <v>6.0</v>
      </c>
      <c r="AF103" s="5" t="s">
        <v>626</v>
      </c>
      <c r="AG103" s="5" t="s">
        <v>206</v>
      </c>
      <c r="AH103" s="5">
        <v>5.0</v>
      </c>
      <c r="AI103" s="5">
        <v>5.0</v>
      </c>
      <c r="AJ103" s="5">
        <v>2.0</v>
      </c>
      <c r="AK103" s="5">
        <v>6.0</v>
      </c>
      <c r="AL103" s="5">
        <f t="shared" si="2"/>
        <v>2</v>
      </c>
      <c r="AM103" s="5">
        <v>2.0</v>
      </c>
      <c r="AN103" s="5">
        <f t="shared" si="3"/>
        <v>6</v>
      </c>
      <c r="AO103" s="5">
        <v>7.0</v>
      </c>
      <c r="AP103" s="5">
        <f t="shared" si="4"/>
        <v>1</v>
      </c>
      <c r="AQ103" s="5">
        <v>3.0</v>
      </c>
      <c r="AR103" s="5">
        <f t="shared" si="5"/>
        <v>5</v>
      </c>
      <c r="AS103" s="5" t="s">
        <v>627</v>
      </c>
    </row>
    <row r="104">
      <c r="A104" s="8">
        <f>IFERROR(__xludf.DUMMYFUNCTION("IF(E104="""", """", VALUE(REGEXREPLACE(E104, ""^[Pp]"", """")))"),27.0)</f>
        <v>27</v>
      </c>
      <c r="B104" s="8">
        <v>494.0</v>
      </c>
      <c r="C104" s="7">
        <v>45869.22083333333</v>
      </c>
      <c r="D104" s="5" t="s">
        <v>638</v>
      </c>
      <c r="E104" s="5" t="s">
        <v>607</v>
      </c>
      <c r="F104" s="5" t="s">
        <v>197</v>
      </c>
      <c r="G104" s="6">
        <v>3.0</v>
      </c>
      <c r="H104" s="5">
        <v>4.0</v>
      </c>
      <c r="I104" s="5">
        <v>1.0</v>
      </c>
      <c r="J104" s="5" t="s">
        <v>199</v>
      </c>
      <c r="K104" s="5">
        <v>1.0</v>
      </c>
      <c r="L104" s="5">
        <v>1.0</v>
      </c>
      <c r="M104" s="5">
        <v>1.0</v>
      </c>
      <c r="N104" s="5">
        <v>4.0</v>
      </c>
      <c r="O104" s="5">
        <v>1.0</v>
      </c>
      <c r="P104" s="5">
        <v>4.0</v>
      </c>
      <c r="Q104" s="5">
        <v>1.0</v>
      </c>
      <c r="R104" s="5">
        <v>1.0</v>
      </c>
      <c r="S104" s="5">
        <v>4.0</v>
      </c>
      <c r="T104" s="5">
        <v>1.0</v>
      </c>
      <c r="U104" s="5">
        <v>1.0</v>
      </c>
      <c r="V104" s="5">
        <v>1.0</v>
      </c>
      <c r="W104" s="5">
        <f t="shared" si="1"/>
        <v>7</v>
      </c>
      <c r="X104" s="5" t="s">
        <v>639</v>
      </c>
      <c r="Y104" s="5" t="s">
        <v>206</v>
      </c>
      <c r="Z104" s="5">
        <v>1.0</v>
      </c>
      <c r="AA104" s="5">
        <v>1.0</v>
      </c>
      <c r="AB104" s="5">
        <v>1.0</v>
      </c>
      <c r="AC104" s="5">
        <v>4.0</v>
      </c>
      <c r="AD104" s="5">
        <v>5.0</v>
      </c>
      <c r="AE104" s="5">
        <v>1.0</v>
      </c>
      <c r="AF104" s="5" t="s">
        <v>640</v>
      </c>
      <c r="AG104" s="5" t="s">
        <v>206</v>
      </c>
      <c r="AH104" s="5">
        <v>1.0</v>
      </c>
      <c r="AI104" s="5">
        <v>1.0</v>
      </c>
      <c r="AJ104" s="5">
        <v>1.0</v>
      </c>
      <c r="AK104" s="5">
        <v>5.0</v>
      </c>
      <c r="AL104" s="5">
        <f t="shared" si="2"/>
        <v>3</v>
      </c>
      <c r="AM104" s="5">
        <v>4.0</v>
      </c>
      <c r="AN104" s="5">
        <f t="shared" si="3"/>
        <v>4</v>
      </c>
      <c r="AO104" s="5">
        <v>7.0</v>
      </c>
      <c r="AP104" s="5">
        <f t="shared" si="4"/>
        <v>1</v>
      </c>
      <c r="AQ104" s="5">
        <v>5.0</v>
      </c>
      <c r="AR104" s="5">
        <f t="shared" si="5"/>
        <v>3</v>
      </c>
      <c r="AS104" s="11" t="s">
        <v>641</v>
      </c>
    </row>
    <row r="105">
      <c r="A105" s="8">
        <f>IFERROR(__xludf.DUMMYFUNCTION("IF(E105="""", """", VALUE(REGEXREPLACE(E105, ""^[Pp]"", """")))"),27.0)</f>
        <v>27</v>
      </c>
      <c r="B105" s="8">
        <v>567.0</v>
      </c>
      <c r="C105" s="7">
        <v>45869.23402777778</v>
      </c>
      <c r="D105" s="5" t="s">
        <v>650</v>
      </c>
      <c r="E105" s="5" t="s">
        <v>607</v>
      </c>
      <c r="F105" s="5" t="s">
        <v>216</v>
      </c>
      <c r="G105" s="6">
        <v>4.0</v>
      </c>
      <c r="H105" s="5">
        <v>3.0</v>
      </c>
      <c r="I105" s="5">
        <v>2.0</v>
      </c>
      <c r="J105" s="5" t="s">
        <v>199</v>
      </c>
      <c r="K105" s="5">
        <v>4.0</v>
      </c>
      <c r="L105" s="5">
        <v>1.0</v>
      </c>
      <c r="M105" s="5">
        <v>1.0</v>
      </c>
      <c r="N105" s="5">
        <v>2.0</v>
      </c>
      <c r="O105" s="5">
        <v>2.0</v>
      </c>
      <c r="P105" s="5">
        <v>5.0</v>
      </c>
      <c r="Q105" s="5">
        <v>6.0</v>
      </c>
      <c r="R105" s="5">
        <v>1.0</v>
      </c>
      <c r="S105" s="5">
        <v>5.0</v>
      </c>
      <c r="T105" s="5">
        <v>2.0</v>
      </c>
      <c r="U105" s="5">
        <v>2.0</v>
      </c>
      <c r="V105" s="5">
        <v>1.0</v>
      </c>
      <c r="W105" s="5">
        <f t="shared" si="1"/>
        <v>7</v>
      </c>
      <c r="X105" s="5" t="s">
        <v>651</v>
      </c>
      <c r="Y105" s="5" t="s">
        <v>206</v>
      </c>
      <c r="Z105" s="5">
        <v>5.0</v>
      </c>
      <c r="AA105" s="5">
        <v>5.0</v>
      </c>
      <c r="AB105" s="5">
        <v>2.0</v>
      </c>
      <c r="AC105" s="5">
        <v>5.0</v>
      </c>
      <c r="AD105" s="5">
        <v>2.0</v>
      </c>
      <c r="AE105" s="5">
        <v>6.0</v>
      </c>
      <c r="AF105" s="5" t="s">
        <v>652</v>
      </c>
      <c r="AG105" s="5" t="s">
        <v>206</v>
      </c>
      <c r="AH105" s="5">
        <v>2.0</v>
      </c>
      <c r="AI105" s="5">
        <v>3.0</v>
      </c>
      <c r="AJ105" s="5">
        <v>1.0</v>
      </c>
      <c r="AK105" s="5">
        <v>1.0</v>
      </c>
      <c r="AL105" s="5">
        <f t="shared" si="2"/>
        <v>7</v>
      </c>
      <c r="AM105" s="5">
        <v>1.0</v>
      </c>
      <c r="AN105" s="5">
        <f t="shared" si="3"/>
        <v>7</v>
      </c>
      <c r="AO105" s="5">
        <v>2.0</v>
      </c>
      <c r="AP105" s="5">
        <f t="shared" si="4"/>
        <v>6</v>
      </c>
      <c r="AQ105" s="5">
        <v>1.0</v>
      </c>
      <c r="AR105" s="5">
        <f t="shared" si="5"/>
        <v>7</v>
      </c>
      <c r="AS105" s="5" t="s">
        <v>653</v>
      </c>
    </row>
    <row r="106">
      <c r="A106" s="8">
        <f>IFERROR(__xludf.DUMMYFUNCTION("IF(E106="""", """", VALUE(REGEXREPLACE(E106, ""^[Pp]"", """")))"),28.0)</f>
        <v>28</v>
      </c>
      <c r="B106" s="8">
        <v>315.0</v>
      </c>
      <c r="C106" s="7">
        <v>45869.21805555555</v>
      </c>
      <c r="D106" s="5" t="s">
        <v>633</v>
      </c>
      <c r="E106" s="5" t="s">
        <v>634</v>
      </c>
      <c r="F106" s="5" t="s">
        <v>216</v>
      </c>
      <c r="G106" s="6">
        <v>1.0</v>
      </c>
      <c r="H106" s="5">
        <v>2.0</v>
      </c>
      <c r="I106" s="5">
        <v>1.0</v>
      </c>
      <c r="J106" s="5" t="s">
        <v>199</v>
      </c>
      <c r="K106" s="5">
        <v>4.0</v>
      </c>
      <c r="L106" s="5">
        <v>4.0</v>
      </c>
      <c r="M106" s="5">
        <v>1.0</v>
      </c>
      <c r="N106" s="5">
        <v>1.0</v>
      </c>
      <c r="O106" s="5">
        <v>1.0</v>
      </c>
      <c r="P106" s="5">
        <v>5.0</v>
      </c>
      <c r="Q106" s="5">
        <v>6.0</v>
      </c>
      <c r="R106" s="5">
        <v>6.0</v>
      </c>
      <c r="S106" s="5">
        <v>2.0</v>
      </c>
      <c r="T106" s="5">
        <v>2.0</v>
      </c>
      <c r="U106" s="5">
        <v>4.0</v>
      </c>
      <c r="V106" s="5">
        <v>7.0</v>
      </c>
      <c r="W106" s="5">
        <f t="shared" si="1"/>
        <v>1</v>
      </c>
      <c r="X106" s="5" t="s">
        <v>635</v>
      </c>
      <c r="Y106" s="5" t="s">
        <v>206</v>
      </c>
      <c r="Z106" s="5">
        <v>4.0</v>
      </c>
      <c r="AA106" s="5">
        <v>5.0</v>
      </c>
      <c r="AB106" s="5">
        <v>5.0</v>
      </c>
      <c r="AC106" s="5">
        <v>5.0</v>
      </c>
      <c r="AD106" s="5">
        <v>4.0</v>
      </c>
      <c r="AE106" s="5">
        <v>5.0</v>
      </c>
      <c r="AF106" s="5" t="s">
        <v>636</v>
      </c>
      <c r="AG106" s="5" t="s">
        <v>206</v>
      </c>
      <c r="AH106" s="5">
        <v>6.0</v>
      </c>
      <c r="AI106" s="5">
        <v>6.0</v>
      </c>
      <c r="AJ106" s="5">
        <v>6.0</v>
      </c>
      <c r="AK106" s="5">
        <v>5.0</v>
      </c>
      <c r="AL106" s="5">
        <f t="shared" si="2"/>
        <v>3</v>
      </c>
      <c r="AM106" s="5">
        <v>2.0</v>
      </c>
      <c r="AN106" s="5">
        <f t="shared" si="3"/>
        <v>6</v>
      </c>
      <c r="AO106" s="5">
        <v>3.0</v>
      </c>
      <c r="AP106" s="5">
        <f t="shared" si="4"/>
        <v>5</v>
      </c>
      <c r="AQ106" s="5">
        <v>2.0</v>
      </c>
      <c r="AR106" s="5">
        <f t="shared" si="5"/>
        <v>6</v>
      </c>
      <c r="AS106" s="5" t="s">
        <v>637</v>
      </c>
    </row>
    <row r="107">
      <c r="A107" s="8">
        <f>IFERROR(__xludf.DUMMYFUNCTION("IF(E107="""", """", VALUE(REGEXREPLACE(E107, ""^[Pp]"", """")))"),28.0)</f>
        <v>28</v>
      </c>
      <c r="B107" s="8">
        <v>359.0</v>
      </c>
      <c r="C107" s="7">
        <v>45869.22777777778</v>
      </c>
      <c r="D107" s="5" t="s">
        <v>642</v>
      </c>
      <c r="E107" s="5" t="s">
        <v>634</v>
      </c>
      <c r="F107" s="5" t="s">
        <v>211</v>
      </c>
      <c r="G107" s="6">
        <v>2.0</v>
      </c>
      <c r="H107" s="5">
        <v>2.0</v>
      </c>
      <c r="I107" s="5">
        <v>2.0</v>
      </c>
      <c r="J107" s="5" t="s">
        <v>199</v>
      </c>
      <c r="K107" s="5">
        <v>6.0</v>
      </c>
      <c r="L107" s="5">
        <v>6.0</v>
      </c>
      <c r="M107" s="5">
        <v>2.0</v>
      </c>
      <c r="N107" s="5">
        <v>2.0</v>
      </c>
      <c r="O107" s="5">
        <v>3.0</v>
      </c>
      <c r="P107" s="5">
        <v>6.0</v>
      </c>
      <c r="Q107" s="5">
        <v>6.0</v>
      </c>
      <c r="R107" s="5">
        <v>6.0</v>
      </c>
      <c r="S107" s="5">
        <v>2.0</v>
      </c>
      <c r="T107" s="5">
        <v>5.0</v>
      </c>
      <c r="U107" s="5">
        <v>6.0</v>
      </c>
      <c r="V107" s="5">
        <v>6.0</v>
      </c>
      <c r="W107" s="5">
        <f t="shared" si="1"/>
        <v>2</v>
      </c>
      <c r="X107" s="5" t="s">
        <v>643</v>
      </c>
      <c r="Y107" s="5" t="s">
        <v>206</v>
      </c>
      <c r="Z107" s="5">
        <v>6.0</v>
      </c>
      <c r="AA107" s="5">
        <v>7.0</v>
      </c>
      <c r="AB107" s="5">
        <v>7.0</v>
      </c>
      <c r="AC107" s="5">
        <v>6.0</v>
      </c>
      <c r="AD107" s="5">
        <v>4.0</v>
      </c>
      <c r="AE107" s="5">
        <v>6.0</v>
      </c>
      <c r="AF107" s="5" t="s">
        <v>644</v>
      </c>
      <c r="AG107" s="5" t="s">
        <v>206</v>
      </c>
      <c r="AH107" s="5">
        <v>6.0</v>
      </c>
      <c r="AI107" s="5">
        <v>6.0</v>
      </c>
      <c r="AJ107" s="5">
        <v>6.0</v>
      </c>
      <c r="AK107" s="5">
        <v>2.0</v>
      </c>
      <c r="AL107" s="5">
        <f t="shared" si="2"/>
        <v>6</v>
      </c>
      <c r="AM107" s="5">
        <v>2.0</v>
      </c>
      <c r="AN107" s="5">
        <f t="shared" si="3"/>
        <v>6</v>
      </c>
      <c r="AO107" s="5">
        <v>2.0</v>
      </c>
      <c r="AP107" s="5">
        <f t="shared" si="4"/>
        <v>6</v>
      </c>
      <c r="AQ107" s="5">
        <v>2.0</v>
      </c>
      <c r="AR107" s="5">
        <f t="shared" si="5"/>
        <v>6</v>
      </c>
      <c r="AS107" s="5" t="s">
        <v>645</v>
      </c>
    </row>
    <row r="108">
      <c r="A108" s="8">
        <f>IFERROR(__xludf.DUMMYFUNCTION("IF(E108="""", """", VALUE(REGEXREPLACE(E108, ""^[Pp]"", """")))"),28.0)</f>
        <v>28</v>
      </c>
      <c r="B108" s="8">
        <v>480.0</v>
      </c>
      <c r="C108" s="7">
        <v>45869.236805555556</v>
      </c>
      <c r="D108" s="5" t="s">
        <v>654</v>
      </c>
      <c r="E108" s="5" t="s">
        <v>655</v>
      </c>
      <c r="F108" s="5" t="s">
        <v>197</v>
      </c>
      <c r="G108" s="6">
        <v>3.0</v>
      </c>
      <c r="H108" s="5">
        <v>5.0</v>
      </c>
      <c r="I108" s="5">
        <v>2.0</v>
      </c>
      <c r="J108" s="5" t="s">
        <v>199</v>
      </c>
      <c r="K108" s="5">
        <v>4.0</v>
      </c>
      <c r="L108" s="5">
        <v>6.0</v>
      </c>
      <c r="M108" s="5">
        <v>5.0</v>
      </c>
      <c r="N108" s="5">
        <v>2.0</v>
      </c>
      <c r="O108" s="5">
        <v>4.0</v>
      </c>
      <c r="P108" s="5">
        <v>6.0</v>
      </c>
      <c r="Q108" s="5">
        <v>6.0</v>
      </c>
      <c r="R108" s="5">
        <v>6.0</v>
      </c>
      <c r="S108" s="5">
        <v>2.0</v>
      </c>
      <c r="T108" s="5">
        <v>2.0</v>
      </c>
      <c r="U108" s="5">
        <v>6.0</v>
      </c>
      <c r="V108" s="5">
        <v>6.0</v>
      </c>
      <c r="W108" s="5">
        <f t="shared" si="1"/>
        <v>2</v>
      </c>
      <c r="X108" s="5" t="s">
        <v>656</v>
      </c>
      <c r="Y108" s="5" t="s">
        <v>206</v>
      </c>
      <c r="Z108" s="5">
        <v>6.0</v>
      </c>
      <c r="AA108" s="5">
        <v>6.0</v>
      </c>
      <c r="AB108" s="5">
        <v>6.0</v>
      </c>
      <c r="AC108" s="5">
        <v>6.0</v>
      </c>
      <c r="AD108" s="5">
        <v>4.0</v>
      </c>
      <c r="AE108" s="5">
        <v>6.0</v>
      </c>
      <c r="AF108" s="5" t="s">
        <v>657</v>
      </c>
      <c r="AG108" s="5" t="s">
        <v>206</v>
      </c>
      <c r="AH108" s="5">
        <v>6.0</v>
      </c>
      <c r="AI108" s="5">
        <v>7.0</v>
      </c>
      <c r="AJ108" s="5">
        <v>6.0</v>
      </c>
      <c r="AK108" s="5">
        <v>5.0</v>
      </c>
      <c r="AL108" s="5">
        <f t="shared" si="2"/>
        <v>3</v>
      </c>
      <c r="AM108" s="5">
        <v>5.0</v>
      </c>
      <c r="AN108" s="5">
        <f t="shared" si="3"/>
        <v>3</v>
      </c>
      <c r="AO108" s="5">
        <v>5.0</v>
      </c>
      <c r="AP108" s="5">
        <f t="shared" si="4"/>
        <v>3</v>
      </c>
      <c r="AQ108" s="5">
        <v>2.0</v>
      </c>
      <c r="AR108" s="5">
        <f t="shared" si="5"/>
        <v>6</v>
      </c>
      <c r="AS108" s="5" t="s">
        <v>658</v>
      </c>
    </row>
    <row r="109">
      <c r="A109" s="8">
        <f>IFERROR(__xludf.DUMMYFUNCTION("IF(E109="""", """", VALUE(REGEXREPLACE(E109, ""^[Pp]"", """")))"),28.0)</f>
        <v>28</v>
      </c>
      <c r="B109" s="8">
        <v>539.0</v>
      </c>
      <c r="C109" s="7">
        <v>45869.25069444445</v>
      </c>
      <c r="D109" s="5" t="s">
        <v>659</v>
      </c>
      <c r="E109" s="5" t="s">
        <v>655</v>
      </c>
      <c r="F109" s="5" t="s">
        <v>263</v>
      </c>
      <c r="G109" s="6">
        <v>4.0</v>
      </c>
      <c r="H109" s="5">
        <v>5.0</v>
      </c>
      <c r="I109" s="5">
        <v>2.0</v>
      </c>
      <c r="J109" s="5" t="s">
        <v>199</v>
      </c>
      <c r="K109" s="5">
        <v>3.0</v>
      </c>
      <c r="L109" s="5">
        <v>3.0</v>
      </c>
      <c r="M109" s="5">
        <v>4.0</v>
      </c>
      <c r="N109" s="5">
        <v>1.0</v>
      </c>
      <c r="O109" s="5">
        <v>2.0</v>
      </c>
      <c r="P109" s="5">
        <v>4.0</v>
      </c>
      <c r="Q109" s="5">
        <v>3.0</v>
      </c>
      <c r="R109" s="5">
        <v>4.0</v>
      </c>
      <c r="S109" s="5">
        <v>1.0</v>
      </c>
      <c r="T109" s="5">
        <v>2.0</v>
      </c>
      <c r="U109" s="5">
        <v>3.0</v>
      </c>
      <c r="V109" s="5">
        <v>6.0</v>
      </c>
      <c r="W109" s="5">
        <f t="shared" si="1"/>
        <v>2</v>
      </c>
      <c r="X109" s="5" t="s">
        <v>660</v>
      </c>
      <c r="Y109" s="5" t="s">
        <v>206</v>
      </c>
      <c r="Z109" s="5">
        <v>4.0</v>
      </c>
      <c r="AA109" s="5">
        <v>5.0</v>
      </c>
      <c r="AB109" s="5">
        <v>5.0</v>
      </c>
      <c r="AC109" s="5">
        <v>3.0</v>
      </c>
      <c r="AD109" s="5">
        <v>4.0</v>
      </c>
      <c r="AE109" s="5">
        <v>5.0</v>
      </c>
      <c r="AF109" s="5" t="s">
        <v>661</v>
      </c>
      <c r="AG109" s="5" t="s">
        <v>206</v>
      </c>
      <c r="AH109" s="5">
        <v>6.0</v>
      </c>
      <c r="AI109" s="5">
        <v>6.0</v>
      </c>
      <c r="AJ109" s="5">
        <v>6.0</v>
      </c>
      <c r="AK109" s="5">
        <v>5.0</v>
      </c>
      <c r="AL109" s="5">
        <f t="shared" si="2"/>
        <v>3</v>
      </c>
      <c r="AM109" s="5">
        <v>5.0</v>
      </c>
      <c r="AN109" s="5">
        <f t="shared" si="3"/>
        <v>3</v>
      </c>
      <c r="AO109" s="5">
        <v>5.0</v>
      </c>
      <c r="AP109" s="5">
        <f t="shared" si="4"/>
        <v>3</v>
      </c>
      <c r="AQ109" s="5">
        <v>2.0</v>
      </c>
      <c r="AR109" s="5">
        <f t="shared" si="5"/>
        <v>6</v>
      </c>
      <c r="AS109" s="5" t="s">
        <v>662</v>
      </c>
    </row>
    <row r="110">
      <c r="A110" s="8">
        <f>IFERROR(__xludf.DUMMYFUNCTION("IF(E110="""", """", VALUE(REGEXREPLACE(E110, ""^[Pp]"", """")))"),29.0)</f>
        <v>29</v>
      </c>
      <c r="B110" s="8">
        <v>1112.0</v>
      </c>
      <c r="C110" s="7">
        <v>45869.25347222222</v>
      </c>
      <c r="D110" s="5" t="s">
        <v>663</v>
      </c>
      <c r="E110" s="5" t="s">
        <v>664</v>
      </c>
      <c r="F110" s="5" t="s">
        <v>197</v>
      </c>
      <c r="G110" s="6">
        <v>1.0</v>
      </c>
      <c r="H110" s="5">
        <v>6.0</v>
      </c>
      <c r="I110" s="5">
        <v>6.0</v>
      </c>
      <c r="J110" s="5" t="s">
        <v>199</v>
      </c>
      <c r="K110" s="5">
        <v>5.0</v>
      </c>
      <c r="L110" s="5">
        <v>5.0</v>
      </c>
      <c r="M110" s="5">
        <v>4.0</v>
      </c>
      <c r="N110" s="5">
        <v>5.0</v>
      </c>
      <c r="O110" s="5">
        <v>3.0</v>
      </c>
      <c r="P110" s="5">
        <v>6.0</v>
      </c>
      <c r="Q110" s="5">
        <v>6.0</v>
      </c>
      <c r="R110" s="5">
        <v>5.0</v>
      </c>
      <c r="S110" s="5">
        <v>5.0</v>
      </c>
      <c r="T110" s="5">
        <v>4.0</v>
      </c>
      <c r="U110" s="5">
        <v>6.0</v>
      </c>
      <c r="V110" s="5">
        <v>4.0</v>
      </c>
      <c r="W110" s="5">
        <f t="shared" si="1"/>
        <v>4</v>
      </c>
      <c r="X110" s="5" t="s">
        <v>665</v>
      </c>
      <c r="Y110" s="5" t="s">
        <v>206</v>
      </c>
      <c r="Z110" s="5">
        <v>4.0</v>
      </c>
      <c r="AA110" s="5">
        <v>4.0</v>
      </c>
      <c r="AB110" s="5">
        <v>5.0</v>
      </c>
      <c r="AC110" s="5">
        <v>3.0</v>
      </c>
      <c r="AD110" s="5">
        <v>6.0</v>
      </c>
      <c r="AE110" s="5">
        <v>5.0</v>
      </c>
      <c r="AF110" s="5" t="s">
        <v>666</v>
      </c>
      <c r="AG110" s="5" t="s">
        <v>206</v>
      </c>
      <c r="AH110" s="5">
        <v>4.0</v>
      </c>
      <c r="AI110" s="5">
        <v>5.0</v>
      </c>
      <c r="AJ110" s="5">
        <v>7.0</v>
      </c>
      <c r="AK110" s="5">
        <v>1.0</v>
      </c>
      <c r="AL110" s="5">
        <f t="shared" si="2"/>
        <v>7</v>
      </c>
      <c r="AM110" s="5">
        <v>1.0</v>
      </c>
      <c r="AN110" s="5">
        <f t="shared" si="3"/>
        <v>7</v>
      </c>
      <c r="AO110" s="5">
        <v>2.0</v>
      </c>
      <c r="AP110" s="5">
        <f t="shared" si="4"/>
        <v>6</v>
      </c>
      <c r="AQ110" s="5">
        <v>1.0</v>
      </c>
      <c r="AR110" s="5">
        <f t="shared" si="5"/>
        <v>7</v>
      </c>
      <c r="AS110" s="5" t="s">
        <v>667</v>
      </c>
    </row>
    <row r="111">
      <c r="A111" s="8">
        <f>IFERROR(__xludf.DUMMYFUNCTION("IF(E111="""", """", VALUE(REGEXREPLACE(E111, ""^[Pp]"", """")))"),29.0)</f>
        <v>29</v>
      </c>
      <c r="B111" s="8">
        <v>841.0</v>
      </c>
      <c r="C111" s="7">
        <v>45869.268055555556</v>
      </c>
      <c r="D111" s="5" t="s">
        <v>673</v>
      </c>
      <c r="E111" s="5" t="s">
        <v>674</v>
      </c>
      <c r="F111" s="5" t="s">
        <v>211</v>
      </c>
      <c r="G111" s="6">
        <v>2.0</v>
      </c>
      <c r="H111" s="5">
        <v>3.0</v>
      </c>
      <c r="I111" s="5">
        <v>5.0</v>
      </c>
      <c r="J111" s="5" t="s">
        <v>199</v>
      </c>
      <c r="K111" s="5">
        <v>6.0</v>
      </c>
      <c r="L111" s="5">
        <v>6.0</v>
      </c>
      <c r="M111" s="5">
        <v>4.0</v>
      </c>
      <c r="N111" s="5">
        <v>5.0</v>
      </c>
      <c r="O111" s="5">
        <v>5.0</v>
      </c>
      <c r="P111" s="5">
        <v>6.0</v>
      </c>
      <c r="Q111" s="5">
        <v>6.0</v>
      </c>
      <c r="R111" s="5">
        <v>4.0</v>
      </c>
      <c r="S111" s="5">
        <v>4.0</v>
      </c>
      <c r="T111" s="5">
        <v>5.0</v>
      </c>
      <c r="U111" s="5">
        <v>6.0</v>
      </c>
      <c r="V111" s="5">
        <v>5.0</v>
      </c>
      <c r="W111" s="5">
        <f t="shared" si="1"/>
        <v>3</v>
      </c>
      <c r="X111" s="5" t="s">
        <v>675</v>
      </c>
      <c r="Y111" s="5" t="s">
        <v>206</v>
      </c>
      <c r="Z111" s="5">
        <v>5.0</v>
      </c>
      <c r="AA111" s="5">
        <v>6.0</v>
      </c>
      <c r="AB111" s="5">
        <v>5.0</v>
      </c>
      <c r="AC111" s="5">
        <v>4.0</v>
      </c>
      <c r="AD111" s="5">
        <v>5.0</v>
      </c>
      <c r="AE111" s="5">
        <v>5.0</v>
      </c>
      <c r="AF111" s="5" t="s">
        <v>676</v>
      </c>
      <c r="AG111" s="5" t="s">
        <v>206</v>
      </c>
      <c r="AH111" s="5">
        <v>6.0</v>
      </c>
      <c r="AI111" s="5">
        <v>7.0</v>
      </c>
      <c r="AJ111" s="5">
        <v>5.0</v>
      </c>
      <c r="AK111" s="5">
        <v>1.0</v>
      </c>
      <c r="AL111" s="5">
        <f t="shared" si="2"/>
        <v>7</v>
      </c>
      <c r="AM111" s="5">
        <v>3.0</v>
      </c>
      <c r="AN111" s="5">
        <f t="shared" si="3"/>
        <v>5</v>
      </c>
      <c r="AO111" s="5">
        <v>1.0</v>
      </c>
      <c r="AP111" s="5">
        <f t="shared" si="4"/>
        <v>7</v>
      </c>
      <c r="AQ111" s="5">
        <v>1.0</v>
      </c>
      <c r="AR111" s="5">
        <f t="shared" si="5"/>
        <v>7</v>
      </c>
      <c r="AS111" s="5" t="s">
        <v>677</v>
      </c>
    </row>
    <row r="112">
      <c r="A112" s="8">
        <f>IFERROR(__xludf.DUMMYFUNCTION("IF(E112="""", """", VALUE(REGEXREPLACE(E112, ""^[Pp]"", """")))"),29.0)</f>
        <v>29</v>
      </c>
      <c r="B112" s="8">
        <v>834.0</v>
      </c>
      <c r="C112" s="7">
        <v>45869.27847222222</v>
      </c>
      <c r="D112" s="5" t="s">
        <v>683</v>
      </c>
      <c r="E112" s="5" t="s">
        <v>664</v>
      </c>
      <c r="F112" s="5" t="s">
        <v>216</v>
      </c>
      <c r="G112" s="6">
        <v>3.0</v>
      </c>
      <c r="H112" s="5">
        <v>4.0</v>
      </c>
      <c r="I112" s="5">
        <v>2.0</v>
      </c>
      <c r="J112" s="5" t="s">
        <v>199</v>
      </c>
      <c r="K112" s="5">
        <v>4.0</v>
      </c>
      <c r="L112" s="5">
        <v>5.0</v>
      </c>
      <c r="M112" s="5">
        <v>2.0</v>
      </c>
      <c r="N112" s="5">
        <v>5.0</v>
      </c>
      <c r="O112" s="5">
        <v>4.0</v>
      </c>
      <c r="P112" s="5">
        <v>3.0</v>
      </c>
      <c r="Q112" s="5">
        <v>4.0</v>
      </c>
      <c r="R112" s="5">
        <v>4.0</v>
      </c>
      <c r="S112" s="5">
        <v>2.0</v>
      </c>
      <c r="T112" s="5">
        <v>5.0</v>
      </c>
      <c r="U112" s="5">
        <v>3.0</v>
      </c>
      <c r="V112" s="5">
        <v>7.0</v>
      </c>
      <c r="W112" s="5">
        <f t="shared" si="1"/>
        <v>1</v>
      </c>
      <c r="X112" s="5" t="s">
        <v>413</v>
      </c>
      <c r="Y112" s="5" t="s">
        <v>206</v>
      </c>
      <c r="Z112" s="5">
        <v>5.0</v>
      </c>
      <c r="AA112" s="5">
        <v>6.0</v>
      </c>
      <c r="AB112" s="5">
        <v>5.0</v>
      </c>
      <c r="AC112" s="5">
        <v>6.0</v>
      </c>
      <c r="AD112" s="5">
        <v>5.0</v>
      </c>
      <c r="AE112" s="5">
        <v>6.0</v>
      </c>
      <c r="AF112" s="5" t="s">
        <v>413</v>
      </c>
      <c r="AG112" s="5" t="s">
        <v>206</v>
      </c>
      <c r="AH112" s="5">
        <v>6.0</v>
      </c>
      <c r="AI112" s="5">
        <v>6.0</v>
      </c>
      <c r="AJ112" s="5">
        <v>7.0</v>
      </c>
      <c r="AK112" s="5">
        <v>3.0</v>
      </c>
      <c r="AL112" s="5">
        <f t="shared" si="2"/>
        <v>5</v>
      </c>
      <c r="AM112" s="5">
        <v>1.0</v>
      </c>
      <c r="AN112" s="5">
        <f t="shared" si="3"/>
        <v>7</v>
      </c>
      <c r="AO112" s="5">
        <v>1.0</v>
      </c>
      <c r="AP112" s="5">
        <f t="shared" si="4"/>
        <v>7</v>
      </c>
      <c r="AQ112" s="5">
        <v>1.0</v>
      </c>
      <c r="AR112" s="5">
        <f t="shared" si="5"/>
        <v>7</v>
      </c>
      <c r="AS112" s="5" t="s">
        <v>413</v>
      </c>
    </row>
    <row r="113">
      <c r="A113" s="8">
        <f>IFERROR(__xludf.DUMMYFUNCTION("IF(E113="""", """", VALUE(REGEXREPLACE(E113, ""^[Pp]"", """")))"),29.0)</f>
        <v>29</v>
      </c>
      <c r="B113" s="8">
        <v>1099.0</v>
      </c>
      <c r="C113" s="7">
        <v>45869.41527777778</v>
      </c>
      <c r="D113" s="5" t="s">
        <v>717</v>
      </c>
      <c r="E113" s="5" t="s">
        <v>674</v>
      </c>
      <c r="F113" s="5" t="s">
        <v>263</v>
      </c>
      <c r="G113" s="6">
        <v>4.0</v>
      </c>
      <c r="H113" s="5">
        <v>6.0</v>
      </c>
      <c r="I113" s="5">
        <v>5.0</v>
      </c>
      <c r="J113" s="5" t="s">
        <v>199</v>
      </c>
      <c r="K113" s="5">
        <v>4.0</v>
      </c>
      <c r="L113" s="5">
        <v>5.0</v>
      </c>
      <c r="M113" s="5">
        <v>5.0</v>
      </c>
      <c r="N113" s="5">
        <v>5.0</v>
      </c>
      <c r="O113" s="5">
        <v>5.0</v>
      </c>
      <c r="P113" s="5">
        <v>4.0</v>
      </c>
      <c r="Q113" s="5">
        <v>4.0</v>
      </c>
      <c r="R113" s="5">
        <v>5.0</v>
      </c>
      <c r="S113" s="5">
        <v>2.0</v>
      </c>
      <c r="T113" s="5">
        <v>5.0</v>
      </c>
      <c r="U113" s="5">
        <v>4.0</v>
      </c>
      <c r="V113" s="5">
        <v>6.0</v>
      </c>
      <c r="W113" s="5">
        <f t="shared" si="1"/>
        <v>2</v>
      </c>
      <c r="X113" s="5" t="s">
        <v>413</v>
      </c>
      <c r="Y113" s="5" t="s">
        <v>206</v>
      </c>
      <c r="Z113" s="5">
        <v>4.0</v>
      </c>
      <c r="AA113" s="5">
        <v>5.0</v>
      </c>
      <c r="AB113" s="5">
        <v>5.0</v>
      </c>
      <c r="AC113" s="5">
        <v>5.0</v>
      </c>
      <c r="AD113" s="5">
        <v>5.0</v>
      </c>
      <c r="AE113" s="5">
        <v>6.0</v>
      </c>
      <c r="AF113" s="5" t="s">
        <v>413</v>
      </c>
      <c r="AG113" s="5" t="s">
        <v>206</v>
      </c>
      <c r="AH113" s="5">
        <v>5.0</v>
      </c>
      <c r="AI113" s="5">
        <v>5.0</v>
      </c>
      <c r="AJ113" s="5">
        <v>6.0</v>
      </c>
      <c r="AK113" s="5">
        <v>1.0</v>
      </c>
      <c r="AL113" s="5">
        <f t="shared" si="2"/>
        <v>7</v>
      </c>
      <c r="AM113" s="5">
        <v>1.0</v>
      </c>
      <c r="AN113" s="5">
        <f t="shared" si="3"/>
        <v>7</v>
      </c>
      <c r="AO113" s="5">
        <v>1.0</v>
      </c>
      <c r="AP113" s="5">
        <f t="shared" si="4"/>
        <v>7</v>
      </c>
      <c r="AQ113" s="5">
        <v>1.0</v>
      </c>
      <c r="AR113" s="5">
        <f t="shared" si="5"/>
        <v>7</v>
      </c>
      <c r="AS113" s="5" t="s">
        <v>413</v>
      </c>
    </row>
    <row r="114">
      <c r="A114" s="8">
        <f>IFERROR(__xludf.DUMMYFUNCTION("IF(E114="""", """", VALUE(REGEXREPLACE(E114, ""^[Pp]"", """")))"),30.0)</f>
        <v>30</v>
      </c>
      <c r="B114" s="8">
        <v>1458.0</v>
      </c>
      <c r="C114" s="7">
        <v>45869.263194444444</v>
      </c>
      <c r="D114" s="5" t="s">
        <v>668</v>
      </c>
      <c r="E114" s="5" t="s">
        <v>669</v>
      </c>
      <c r="F114" s="5" t="s">
        <v>211</v>
      </c>
      <c r="G114" s="6">
        <v>1.0</v>
      </c>
      <c r="H114" s="5">
        <v>5.0</v>
      </c>
      <c r="I114" s="5">
        <v>7.0</v>
      </c>
      <c r="J114" s="5" t="s">
        <v>199</v>
      </c>
      <c r="K114" s="5">
        <v>6.0</v>
      </c>
      <c r="L114" s="5">
        <v>6.0</v>
      </c>
      <c r="M114" s="5">
        <v>2.0</v>
      </c>
      <c r="N114" s="5">
        <v>7.0</v>
      </c>
      <c r="O114" s="5">
        <v>7.0</v>
      </c>
      <c r="P114" s="5">
        <v>6.0</v>
      </c>
      <c r="Q114" s="5">
        <v>6.0</v>
      </c>
      <c r="R114" s="5">
        <v>4.0</v>
      </c>
      <c r="S114" s="5">
        <v>3.0</v>
      </c>
      <c r="T114" s="5">
        <v>4.0</v>
      </c>
      <c r="U114" s="5">
        <v>7.0</v>
      </c>
      <c r="V114" s="5">
        <v>5.0</v>
      </c>
      <c r="W114" s="5">
        <f t="shared" si="1"/>
        <v>3</v>
      </c>
      <c r="X114" s="5" t="s">
        <v>670</v>
      </c>
      <c r="Y114" s="5" t="s">
        <v>206</v>
      </c>
      <c r="Z114" s="5">
        <v>4.0</v>
      </c>
      <c r="AA114" s="5">
        <v>7.0</v>
      </c>
      <c r="AB114" s="5">
        <v>6.0</v>
      </c>
      <c r="AC114" s="5">
        <v>7.0</v>
      </c>
      <c r="AD114" s="5">
        <v>6.0</v>
      </c>
      <c r="AE114" s="5">
        <v>7.0</v>
      </c>
      <c r="AF114" s="5" t="s">
        <v>671</v>
      </c>
      <c r="AG114" s="5" t="s">
        <v>206</v>
      </c>
      <c r="AH114" s="5">
        <v>7.0</v>
      </c>
      <c r="AI114" s="5">
        <v>3.0</v>
      </c>
      <c r="AJ114" s="5">
        <v>6.0</v>
      </c>
      <c r="AK114" s="5">
        <v>1.0</v>
      </c>
      <c r="AL114" s="5">
        <f t="shared" si="2"/>
        <v>7</v>
      </c>
      <c r="AM114" s="5">
        <v>1.0</v>
      </c>
      <c r="AN114" s="5">
        <f t="shared" si="3"/>
        <v>7</v>
      </c>
      <c r="AO114" s="5">
        <v>1.0</v>
      </c>
      <c r="AP114" s="5">
        <f t="shared" si="4"/>
        <v>7</v>
      </c>
      <c r="AQ114" s="5">
        <v>1.0</v>
      </c>
      <c r="AR114" s="5">
        <f t="shared" si="5"/>
        <v>7</v>
      </c>
      <c r="AS114" s="5" t="s">
        <v>672</v>
      </c>
    </row>
    <row r="115">
      <c r="A115" s="8">
        <f>IFERROR(__xludf.DUMMYFUNCTION("IF(E115="""", """", VALUE(REGEXREPLACE(E115, ""^[Pp]"", """")))"),30.0)</f>
        <v>30</v>
      </c>
      <c r="B115" s="8">
        <v>945.0</v>
      </c>
      <c r="C115" s="7">
        <v>45869.28333333333</v>
      </c>
      <c r="D115" s="5" t="s">
        <v>684</v>
      </c>
      <c r="E115" s="5" t="s">
        <v>669</v>
      </c>
      <c r="F115" s="5" t="s">
        <v>263</v>
      </c>
      <c r="G115" s="6">
        <v>2.0</v>
      </c>
      <c r="H115" s="5">
        <v>7.0</v>
      </c>
      <c r="I115" s="5">
        <v>6.0</v>
      </c>
      <c r="J115" s="5" t="s">
        <v>199</v>
      </c>
      <c r="K115" s="5">
        <v>7.0</v>
      </c>
      <c r="L115" s="5">
        <v>6.0</v>
      </c>
      <c r="M115" s="5">
        <v>7.0</v>
      </c>
      <c r="N115" s="5">
        <v>6.0</v>
      </c>
      <c r="O115" s="5">
        <v>7.0</v>
      </c>
      <c r="P115" s="5">
        <v>7.0</v>
      </c>
      <c r="Q115" s="5">
        <v>6.0</v>
      </c>
      <c r="R115" s="5">
        <v>7.0</v>
      </c>
      <c r="S115" s="5">
        <v>6.0</v>
      </c>
      <c r="T115" s="5">
        <v>1.0</v>
      </c>
      <c r="U115" s="5">
        <v>7.0</v>
      </c>
      <c r="V115" s="5">
        <v>6.0</v>
      </c>
      <c r="W115" s="5">
        <f t="shared" si="1"/>
        <v>2</v>
      </c>
      <c r="X115" s="5" t="s">
        <v>685</v>
      </c>
      <c r="Y115" s="5" t="s">
        <v>206</v>
      </c>
      <c r="Z115" s="5">
        <v>6.0</v>
      </c>
      <c r="AA115" s="5">
        <v>6.0</v>
      </c>
      <c r="AB115" s="5">
        <v>6.0</v>
      </c>
      <c r="AC115" s="5">
        <v>7.0</v>
      </c>
      <c r="AD115" s="5">
        <v>7.0</v>
      </c>
      <c r="AE115" s="5">
        <v>6.0</v>
      </c>
      <c r="AF115" s="5" t="s">
        <v>686</v>
      </c>
      <c r="AG115" s="5" t="s">
        <v>206</v>
      </c>
      <c r="AH115" s="5">
        <v>7.0</v>
      </c>
      <c r="AI115" s="5">
        <v>6.0</v>
      </c>
      <c r="AJ115" s="5">
        <v>7.0</v>
      </c>
      <c r="AK115" s="5">
        <v>1.0</v>
      </c>
      <c r="AL115" s="5">
        <f t="shared" si="2"/>
        <v>7</v>
      </c>
      <c r="AM115" s="5">
        <v>1.0</v>
      </c>
      <c r="AN115" s="5">
        <f t="shared" si="3"/>
        <v>7</v>
      </c>
      <c r="AO115" s="5">
        <v>1.0</v>
      </c>
      <c r="AP115" s="5">
        <f t="shared" si="4"/>
        <v>7</v>
      </c>
      <c r="AQ115" s="5">
        <v>1.0</v>
      </c>
      <c r="AR115" s="5">
        <f t="shared" si="5"/>
        <v>7</v>
      </c>
      <c r="AS115" s="5" t="s">
        <v>687</v>
      </c>
    </row>
    <row r="116">
      <c r="A116" s="8">
        <f>IFERROR(__xludf.DUMMYFUNCTION("IF(E116="""", """", VALUE(REGEXREPLACE(E116, ""^[Pp]"", """")))"),30.0)</f>
        <v>30</v>
      </c>
      <c r="B116" s="8">
        <v>784.0</v>
      </c>
      <c r="C116" s="7">
        <v>45869.29722222222</v>
      </c>
      <c r="D116" s="5" t="s">
        <v>692</v>
      </c>
      <c r="E116" s="5" t="s">
        <v>669</v>
      </c>
      <c r="F116" s="5" t="s">
        <v>216</v>
      </c>
      <c r="G116" s="6">
        <v>3.0</v>
      </c>
      <c r="H116" s="5">
        <v>2.0</v>
      </c>
      <c r="I116" s="5">
        <v>6.0</v>
      </c>
      <c r="J116" s="5" t="s">
        <v>199</v>
      </c>
      <c r="K116" s="5">
        <v>7.0</v>
      </c>
      <c r="L116" s="5">
        <v>6.0</v>
      </c>
      <c r="M116" s="5">
        <v>1.0</v>
      </c>
      <c r="N116" s="5">
        <v>7.0</v>
      </c>
      <c r="O116" s="5">
        <v>6.0</v>
      </c>
      <c r="P116" s="5">
        <v>6.0</v>
      </c>
      <c r="Q116" s="5">
        <v>6.0</v>
      </c>
      <c r="R116" s="5">
        <v>7.0</v>
      </c>
      <c r="S116" s="5">
        <v>5.0</v>
      </c>
      <c r="T116" s="5">
        <v>1.0</v>
      </c>
      <c r="U116" s="5">
        <v>6.0</v>
      </c>
      <c r="V116" s="5">
        <v>6.0</v>
      </c>
      <c r="W116" s="5">
        <f t="shared" si="1"/>
        <v>2</v>
      </c>
      <c r="X116" s="5" t="s">
        <v>693</v>
      </c>
      <c r="Y116" s="5" t="s">
        <v>206</v>
      </c>
      <c r="Z116" s="5">
        <v>7.0</v>
      </c>
      <c r="AA116" s="5">
        <v>6.0</v>
      </c>
      <c r="AB116" s="5">
        <v>7.0</v>
      </c>
      <c r="AC116" s="5">
        <v>7.0</v>
      </c>
      <c r="AD116" s="5">
        <v>7.0</v>
      </c>
      <c r="AE116" s="5">
        <v>6.0</v>
      </c>
      <c r="AF116" s="5" t="s">
        <v>694</v>
      </c>
      <c r="AG116" s="5" t="s">
        <v>206</v>
      </c>
      <c r="AH116" s="5">
        <v>7.0</v>
      </c>
      <c r="AI116" s="5">
        <v>7.0</v>
      </c>
      <c r="AJ116" s="5">
        <v>6.0</v>
      </c>
      <c r="AK116" s="5">
        <v>1.0</v>
      </c>
      <c r="AL116" s="5">
        <f t="shared" si="2"/>
        <v>7</v>
      </c>
      <c r="AM116" s="5">
        <v>1.0</v>
      </c>
      <c r="AN116" s="5">
        <f t="shared" si="3"/>
        <v>7</v>
      </c>
      <c r="AO116" s="5">
        <v>1.0</v>
      </c>
      <c r="AP116" s="5">
        <f t="shared" si="4"/>
        <v>7</v>
      </c>
      <c r="AQ116" s="5">
        <v>1.0</v>
      </c>
      <c r="AR116" s="5">
        <f t="shared" si="5"/>
        <v>7</v>
      </c>
      <c r="AS116" s="5" t="s">
        <v>695</v>
      </c>
    </row>
    <row r="117">
      <c r="A117" s="8">
        <f>IFERROR(__xludf.DUMMYFUNCTION("IF(E117="""", """", VALUE(REGEXREPLACE(E117, ""^[Pp]"", """")))"),30.0)</f>
        <v>30</v>
      </c>
      <c r="B117" s="8">
        <v>967.0</v>
      </c>
      <c r="C117" s="7">
        <v>45869.31805555556</v>
      </c>
      <c r="D117" s="5" t="s">
        <v>708</v>
      </c>
      <c r="E117" s="5" t="s">
        <v>669</v>
      </c>
      <c r="F117" s="5" t="s">
        <v>197</v>
      </c>
      <c r="G117" s="6">
        <v>4.0</v>
      </c>
      <c r="H117" s="5">
        <v>7.0</v>
      </c>
      <c r="I117" s="5">
        <v>7.0</v>
      </c>
      <c r="J117" s="5" t="s">
        <v>199</v>
      </c>
      <c r="K117" s="5">
        <v>3.0</v>
      </c>
      <c r="L117" s="5">
        <v>6.0</v>
      </c>
      <c r="M117" s="5">
        <v>7.0</v>
      </c>
      <c r="N117" s="5">
        <v>7.0</v>
      </c>
      <c r="O117" s="5">
        <v>6.0</v>
      </c>
      <c r="P117" s="5">
        <v>6.0</v>
      </c>
      <c r="Q117" s="5">
        <v>6.0</v>
      </c>
      <c r="R117" s="5">
        <v>3.0</v>
      </c>
      <c r="S117" s="5">
        <v>6.0</v>
      </c>
      <c r="T117" s="5">
        <v>1.0</v>
      </c>
      <c r="U117" s="5">
        <v>6.0</v>
      </c>
      <c r="V117" s="5">
        <v>5.0</v>
      </c>
      <c r="W117" s="5">
        <f t="shared" si="1"/>
        <v>3</v>
      </c>
      <c r="X117" s="5" t="s">
        <v>709</v>
      </c>
      <c r="Y117" s="5" t="s">
        <v>206</v>
      </c>
      <c r="Z117" s="5">
        <v>6.0</v>
      </c>
      <c r="AA117" s="5">
        <v>6.0</v>
      </c>
      <c r="AB117" s="5">
        <v>3.0</v>
      </c>
      <c r="AC117" s="5">
        <v>7.0</v>
      </c>
      <c r="AD117" s="5">
        <v>7.0</v>
      </c>
      <c r="AE117" s="5">
        <v>7.0</v>
      </c>
      <c r="AF117" s="5" t="s">
        <v>710</v>
      </c>
      <c r="AG117" s="5" t="s">
        <v>206</v>
      </c>
      <c r="AH117" s="5">
        <v>7.0</v>
      </c>
      <c r="AI117" s="5">
        <v>7.0</v>
      </c>
      <c r="AJ117" s="5">
        <v>7.0</v>
      </c>
      <c r="AK117" s="5">
        <v>1.0</v>
      </c>
      <c r="AL117" s="5">
        <f t="shared" si="2"/>
        <v>7</v>
      </c>
      <c r="AM117" s="5">
        <v>1.0</v>
      </c>
      <c r="AN117" s="5">
        <f t="shared" si="3"/>
        <v>7</v>
      </c>
      <c r="AO117" s="5">
        <v>1.0</v>
      </c>
      <c r="AP117" s="5">
        <f t="shared" si="4"/>
        <v>7</v>
      </c>
      <c r="AQ117" s="5">
        <v>1.0</v>
      </c>
      <c r="AR117" s="5">
        <f t="shared" si="5"/>
        <v>7</v>
      </c>
      <c r="AS117" s="5" t="s">
        <v>711</v>
      </c>
    </row>
    <row r="118">
      <c r="A118" s="8">
        <f>IFERROR(__xludf.DUMMYFUNCTION("IF(E118="""", """", VALUE(REGEXREPLACE(E118, ""^[Pp]"", """")))"),31.0)</f>
        <v>31</v>
      </c>
      <c r="B118" s="8">
        <v>934.0</v>
      </c>
      <c r="C118" s="7">
        <v>45869.277083333334</v>
      </c>
      <c r="D118" s="5" t="s">
        <v>678</v>
      </c>
      <c r="E118" s="5" t="s">
        <v>679</v>
      </c>
      <c r="F118" s="5" t="s">
        <v>216</v>
      </c>
      <c r="G118" s="6">
        <v>1.0</v>
      </c>
      <c r="H118" s="5">
        <v>2.0</v>
      </c>
      <c r="I118" s="5">
        <v>2.0</v>
      </c>
      <c r="J118" s="5" t="s">
        <v>199</v>
      </c>
      <c r="K118" s="5">
        <v>4.0</v>
      </c>
      <c r="L118" s="5">
        <v>3.0</v>
      </c>
      <c r="M118" s="5">
        <v>3.0</v>
      </c>
      <c r="N118" s="5">
        <v>1.0</v>
      </c>
      <c r="O118" s="5">
        <v>5.0</v>
      </c>
      <c r="P118" s="5">
        <v>6.0</v>
      </c>
      <c r="Q118" s="5">
        <v>6.0</v>
      </c>
      <c r="R118" s="5">
        <v>3.0</v>
      </c>
      <c r="S118" s="5">
        <v>1.0</v>
      </c>
      <c r="T118" s="5">
        <v>6.0</v>
      </c>
      <c r="U118" s="5">
        <v>5.0</v>
      </c>
      <c r="V118" s="5">
        <v>2.0</v>
      </c>
      <c r="W118" s="5">
        <f t="shared" si="1"/>
        <v>6</v>
      </c>
      <c r="X118" s="5" t="s">
        <v>680</v>
      </c>
      <c r="Y118" s="5" t="s">
        <v>206</v>
      </c>
      <c r="Z118" s="5">
        <v>2.0</v>
      </c>
      <c r="AA118" s="5">
        <v>2.0</v>
      </c>
      <c r="AB118" s="5">
        <v>3.0</v>
      </c>
      <c r="AC118" s="5">
        <v>2.0</v>
      </c>
      <c r="AD118" s="5">
        <v>1.0</v>
      </c>
      <c r="AE118" s="5">
        <v>5.0</v>
      </c>
      <c r="AF118" s="5" t="s">
        <v>681</v>
      </c>
      <c r="AG118" s="5" t="s">
        <v>206</v>
      </c>
      <c r="AH118" s="5">
        <v>3.0</v>
      </c>
      <c r="AI118" s="5">
        <v>5.0</v>
      </c>
      <c r="AJ118" s="5">
        <v>2.0</v>
      </c>
      <c r="AK118" s="5">
        <v>1.0</v>
      </c>
      <c r="AL118" s="5">
        <f t="shared" si="2"/>
        <v>7</v>
      </c>
      <c r="AM118" s="5">
        <v>2.0</v>
      </c>
      <c r="AN118" s="5">
        <f t="shared" si="3"/>
        <v>6</v>
      </c>
      <c r="AO118" s="5">
        <v>1.0</v>
      </c>
      <c r="AP118" s="5">
        <f t="shared" si="4"/>
        <v>7</v>
      </c>
      <c r="AQ118" s="5">
        <v>1.0</v>
      </c>
      <c r="AR118" s="5">
        <f t="shared" si="5"/>
        <v>7</v>
      </c>
      <c r="AS118" s="5" t="s">
        <v>682</v>
      </c>
    </row>
    <row r="119">
      <c r="A119" s="8">
        <f>IFERROR(__xludf.DUMMYFUNCTION("IF(E119="""", """", VALUE(REGEXREPLACE(E119, ""^[Pp]"", """")))"),31.0)</f>
        <v>31</v>
      </c>
      <c r="B119" s="8">
        <v>1071.0</v>
      </c>
      <c r="C119" s="7">
        <v>45869.30069444444</v>
      </c>
      <c r="D119" s="5" t="s">
        <v>696</v>
      </c>
      <c r="E119" s="5" t="s">
        <v>679</v>
      </c>
      <c r="F119" s="5" t="s">
        <v>197</v>
      </c>
      <c r="G119" s="6">
        <v>2.0</v>
      </c>
      <c r="H119" s="5">
        <v>6.0</v>
      </c>
      <c r="I119" s="5">
        <v>2.0</v>
      </c>
      <c r="J119" s="5" t="s">
        <v>199</v>
      </c>
      <c r="K119" s="5">
        <v>6.0</v>
      </c>
      <c r="L119" s="5">
        <v>6.0</v>
      </c>
      <c r="M119" s="5">
        <v>4.0</v>
      </c>
      <c r="N119" s="5">
        <v>2.0</v>
      </c>
      <c r="O119" s="5">
        <v>5.0</v>
      </c>
      <c r="P119" s="5">
        <v>6.0</v>
      </c>
      <c r="Q119" s="5">
        <v>6.0</v>
      </c>
      <c r="R119" s="5">
        <v>3.0</v>
      </c>
      <c r="S119" s="5">
        <v>2.0</v>
      </c>
      <c r="T119" s="5">
        <v>4.0</v>
      </c>
      <c r="U119" s="5">
        <v>5.0</v>
      </c>
      <c r="V119" s="5">
        <v>5.0</v>
      </c>
      <c r="W119" s="5">
        <f t="shared" si="1"/>
        <v>3</v>
      </c>
      <c r="X119" s="5" t="s">
        <v>697</v>
      </c>
      <c r="Y119" s="5" t="s">
        <v>206</v>
      </c>
      <c r="Z119" s="5">
        <v>6.0</v>
      </c>
      <c r="AA119" s="5">
        <v>6.0</v>
      </c>
      <c r="AB119" s="5">
        <v>6.0</v>
      </c>
      <c r="AC119" s="5">
        <v>3.0</v>
      </c>
      <c r="AD119" s="5">
        <v>3.0</v>
      </c>
      <c r="AE119" s="5">
        <v>6.0</v>
      </c>
      <c r="AF119" s="5" t="s">
        <v>698</v>
      </c>
      <c r="AG119" s="5" t="s">
        <v>206</v>
      </c>
      <c r="AH119" s="5">
        <v>6.0</v>
      </c>
      <c r="AI119" s="5">
        <v>6.0</v>
      </c>
      <c r="AJ119" s="5">
        <v>6.0</v>
      </c>
      <c r="AK119" s="5">
        <v>5.0</v>
      </c>
      <c r="AL119" s="5">
        <f t="shared" si="2"/>
        <v>3</v>
      </c>
      <c r="AM119" s="5">
        <v>4.0</v>
      </c>
      <c r="AN119" s="5">
        <f t="shared" si="3"/>
        <v>4</v>
      </c>
      <c r="AO119" s="5">
        <v>5.0</v>
      </c>
      <c r="AP119" s="5">
        <f t="shared" si="4"/>
        <v>3</v>
      </c>
      <c r="AQ119" s="5">
        <v>3.0</v>
      </c>
      <c r="AR119" s="5">
        <f t="shared" si="5"/>
        <v>5</v>
      </c>
      <c r="AS119" s="5" t="s">
        <v>699</v>
      </c>
    </row>
    <row r="120">
      <c r="A120" s="8">
        <f>IFERROR(__xludf.DUMMYFUNCTION("IF(E120="""", """", VALUE(REGEXREPLACE(E120, ""^[Pp]"", """")))"),31.0)</f>
        <v>31</v>
      </c>
      <c r="B120" s="8">
        <v>500.0</v>
      </c>
      <c r="C120" s="7">
        <v>45869.30902777778</v>
      </c>
      <c r="D120" s="5" t="s">
        <v>700</v>
      </c>
      <c r="E120" s="5" t="s">
        <v>679</v>
      </c>
      <c r="F120" s="5" t="s">
        <v>263</v>
      </c>
      <c r="G120" s="6">
        <v>3.0</v>
      </c>
      <c r="H120" s="5">
        <v>6.0</v>
      </c>
      <c r="I120" s="5">
        <v>3.0</v>
      </c>
      <c r="J120" s="5" t="s">
        <v>199</v>
      </c>
      <c r="K120" s="5">
        <v>6.0</v>
      </c>
      <c r="L120" s="5">
        <v>6.0</v>
      </c>
      <c r="M120" s="5">
        <v>4.0</v>
      </c>
      <c r="N120" s="5">
        <v>2.0</v>
      </c>
      <c r="O120" s="5">
        <v>6.0</v>
      </c>
      <c r="P120" s="5">
        <v>6.0</v>
      </c>
      <c r="Q120" s="5">
        <v>6.0</v>
      </c>
      <c r="R120" s="5">
        <v>6.0</v>
      </c>
      <c r="S120" s="5">
        <v>3.0</v>
      </c>
      <c r="T120" s="5">
        <v>6.0</v>
      </c>
      <c r="U120" s="5">
        <v>6.0</v>
      </c>
      <c r="V120" s="5">
        <v>6.0</v>
      </c>
      <c r="W120" s="5">
        <f t="shared" si="1"/>
        <v>2</v>
      </c>
      <c r="X120" s="5" t="s">
        <v>701</v>
      </c>
      <c r="Y120" s="5" t="s">
        <v>206</v>
      </c>
      <c r="Z120" s="5">
        <v>6.0</v>
      </c>
      <c r="AA120" s="5">
        <v>6.0</v>
      </c>
      <c r="AB120" s="5">
        <v>6.0</v>
      </c>
      <c r="AC120" s="5">
        <v>3.0</v>
      </c>
      <c r="AD120" s="5">
        <v>3.0</v>
      </c>
      <c r="AE120" s="5">
        <v>6.0</v>
      </c>
      <c r="AF120" s="5" t="s">
        <v>702</v>
      </c>
      <c r="AG120" s="5" t="s">
        <v>206</v>
      </c>
      <c r="AH120" s="5">
        <v>6.0</v>
      </c>
      <c r="AI120" s="5">
        <v>6.0</v>
      </c>
      <c r="AJ120" s="5">
        <v>6.0</v>
      </c>
      <c r="AK120" s="5">
        <v>5.0</v>
      </c>
      <c r="AL120" s="5">
        <f t="shared" si="2"/>
        <v>3</v>
      </c>
      <c r="AM120" s="5">
        <v>4.0</v>
      </c>
      <c r="AN120" s="5">
        <f t="shared" si="3"/>
        <v>4</v>
      </c>
      <c r="AO120" s="5">
        <v>5.0</v>
      </c>
      <c r="AP120" s="5">
        <f t="shared" si="4"/>
        <v>3</v>
      </c>
      <c r="AQ120" s="5">
        <v>3.0</v>
      </c>
      <c r="AR120" s="5">
        <f t="shared" si="5"/>
        <v>5</v>
      </c>
      <c r="AS120" s="5" t="s">
        <v>703</v>
      </c>
    </row>
    <row r="121">
      <c r="A121" s="8">
        <f>IFERROR(__xludf.DUMMYFUNCTION("IF(E121="""", """", VALUE(REGEXREPLACE(E121, ""^[Pp]"", """")))"),31.0)</f>
        <v>31</v>
      </c>
      <c r="B121" s="8">
        <v>813.0</v>
      </c>
      <c r="C121" s="7">
        <v>45869.31875</v>
      </c>
      <c r="D121" s="5" t="s">
        <v>712</v>
      </c>
      <c r="E121" s="5" t="s">
        <v>679</v>
      </c>
      <c r="F121" s="5" t="s">
        <v>211</v>
      </c>
      <c r="G121" s="6">
        <v>4.0</v>
      </c>
      <c r="H121" s="5">
        <v>4.0</v>
      </c>
      <c r="I121" s="5">
        <v>2.0</v>
      </c>
      <c r="J121" s="5" t="s">
        <v>199</v>
      </c>
      <c r="K121" s="5">
        <v>5.0</v>
      </c>
      <c r="L121" s="5">
        <v>6.0</v>
      </c>
      <c r="M121" s="5">
        <v>4.0</v>
      </c>
      <c r="N121" s="5">
        <v>2.0</v>
      </c>
      <c r="O121" s="5">
        <v>5.0</v>
      </c>
      <c r="P121" s="5">
        <v>6.0</v>
      </c>
      <c r="Q121" s="5">
        <v>6.0</v>
      </c>
      <c r="R121" s="5">
        <v>5.0</v>
      </c>
      <c r="S121" s="5">
        <v>2.0</v>
      </c>
      <c r="T121" s="5">
        <v>3.0</v>
      </c>
      <c r="U121" s="5">
        <v>6.0</v>
      </c>
      <c r="V121" s="5">
        <v>6.0</v>
      </c>
      <c r="W121" s="5">
        <f t="shared" si="1"/>
        <v>2</v>
      </c>
      <c r="X121" s="5" t="s">
        <v>713</v>
      </c>
      <c r="Y121" s="5" t="s">
        <v>206</v>
      </c>
      <c r="Z121" s="5">
        <v>6.0</v>
      </c>
      <c r="AA121" s="5">
        <v>6.0</v>
      </c>
      <c r="AB121" s="5">
        <v>6.0</v>
      </c>
      <c r="AC121" s="5">
        <v>5.0</v>
      </c>
      <c r="AD121" s="5">
        <v>5.0</v>
      </c>
      <c r="AE121" s="5">
        <v>6.0</v>
      </c>
      <c r="AF121" s="5" t="s">
        <v>714</v>
      </c>
      <c r="AG121" s="5" t="s">
        <v>206</v>
      </c>
      <c r="AH121" s="5">
        <v>6.0</v>
      </c>
      <c r="AI121" s="5">
        <v>6.0</v>
      </c>
      <c r="AJ121" s="5">
        <v>5.0</v>
      </c>
      <c r="AK121" s="5">
        <v>1.0</v>
      </c>
      <c r="AL121" s="5">
        <f t="shared" si="2"/>
        <v>7</v>
      </c>
      <c r="AM121" s="5">
        <v>1.0</v>
      </c>
      <c r="AN121" s="5">
        <f t="shared" si="3"/>
        <v>7</v>
      </c>
      <c r="AO121" s="5">
        <v>1.0</v>
      </c>
      <c r="AP121" s="5">
        <f t="shared" si="4"/>
        <v>7</v>
      </c>
      <c r="AQ121" s="5">
        <v>1.0</v>
      </c>
      <c r="AR121" s="5">
        <f t="shared" si="5"/>
        <v>7</v>
      </c>
      <c r="AS121" s="5" t="s">
        <v>715</v>
      </c>
    </row>
  </sheetData>
  <mergeCells count="3">
    <mergeCell ref="AF14:AG14"/>
    <mergeCell ref="AF83:AG83"/>
    <mergeCell ref="AF84:AG8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12.88"/>
    <col customWidth="1" min="4" max="4" width="20.88"/>
    <col customWidth="1" min="7" max="11" width="22.75"/>
    <col customWidth="1" min="12" max="12" width="19.5"/>
  </cols>
  <sheetData>
    <row r="1">
      <c r="A1" s="6" t="s">
        <v>723</v>
      </c>
      <c r="B1" s="5" t="s">
        <v>49</v>
      </c>
      <c r="C1" s="5" t="s">
        <v>51</v>
      </c>
      <c r="D1" s="5" t="s">
        <v>52</v>
      </c>
      <c r="E1" s="5" t="s">
        <v>61</v>
      </c>
      <c r="F1" s="5" t="s">
        <v>62</v>
      </c>
      <c r="G1" s="6" t="s">
        <v>725</v>
      </c>
      <c r="H1" s="6" t="s">
        <v>726</v>
      </c>
      <c r="I1" s="6" t="s">
        <v>724</v>
      </c>
      <c r="J1" s="5"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6" t="s">
        <v>718</v>
      </c>
      <c r="Z1" s="5" t="s">
        <v>78</v>
      </c>
      <c r="AA1" s="5" t="s">
        <v>79</v>
      </c>
      <c r="AB1" s="5" t="s">
        <v>80</v>
      </c>
      <c r="AC1" s="5" t="s">
        <v>81</v>
      </c>
      <c r="AD1" s="5" t="s">
        <v>82</v>
      </c>
      <c r="AE1" s="5" t="s">
        <v>83</v>
      </c>
      <c r="AF1" s="5" t="s">
        <v>84</v>
      </c>
      <c r="AG1" s="5" t="s">
        <v>85</v>
      </c>
      <c r="AH1" s="5" t="s">
        <v>86</v>
      </c>
      <c r="AI1" s="5" t="s">
        <v>87</v>
      </c>
      <c r="AJ1" s="5" t="s">
        <v>88</v>
      </c>
      <c r="AK1" s="5" t="s">
        <v>89</v>
      </c>
      <c r="AL1" s="5" t="s">
        <v>90</v>
      </c>
      <c r="AM1" s="5" t="s">
        <v>91</v>
      </c>
      <c r="AN1" s="6" t="s">
        <v>719</v>
      </c>
      <c r="AO1" s="5" t="s">
        <v>92</v>
      </c>
      <c r="AP1" s="6" t="s">
        <v>720</v>
      </c>
      <c r="AQ1" s="5" t="s">
        <v>93</v>
      </c>
      <c r="AR1" s="6" t="s">
        <v>721</v>
      </c>
      <c r="AS1" s="5" t="s">
        <v>94</v>
      </c>
      <c r="AT1" s="6" t="s">
        <v>722</v>
      </c>
      <c r="AU1" s="5" t="s">
        <v>95</v>
      </c>
    </row>
    <row r="2">
      <c r="A2" s="8">
        <f>IFERROR(__xludf.DUMMYFUNCTION("IF(E2="""", """", VALUE(REGEXREPLACE(E2, ""^[Pp]"", """")))"),2.0)</f>
        <v>2</v>
      </c>
      <c r="B2" s="8">
        <v>913.0</v>
      </c>
      <c r="C2" s="7">
        <v>45866.260416666664</v>
      </c>
      <c r="D2" s="5" t="s">
        <v>220</v>
      </c>
      <c r="E2" s="5" t="s">
        <v>221</v>
      </c>
      <c r="F2" s="5" t="s">
        <v>211</v>
      </c>
      <c r="G2" s="6" t="str">
        <f>IFERROR(__xludf.DUMMYFUNCTION("IF(SPLIT(F2,""-"")=""HR"",""High"",""Low"")"),"High")</f>
        <v>High</v>
      </c>
      <c r="H2" s="6" t="str">
        <f>IFERROR(__xludf.DUMMYFUNCTION("INDEX(SPLIT(F2, ""-""), 2)"),"Web")</f>
        <v>Web</v>
      </c>
      <c r="I2" s="6">
        <v>1.0</v>
      </c>
      <c r="J2" s="5">
        <v>1.0</v>
      </c>
      <c r="K2" s="5">
        <v>1.0</v>
      </c>
      <c r="L2" s="5" t="s">
        <v>199</v>
      </c>
      <c r="M2" s="5">
        <v>7.0</v>
      </c>
      <c r="N2" s="5">
        <v>4.0</v>
      </c>
      <c r="O2" s="5">
        <v>1.0</v>
      </c>
      <c r="P2" s="5">
        <v>1.0</v>
      </c>
      <c r="Q2" s="5">
        <v>1.0</v>
      </c>
      <c r="R2" s="5">
        <v>2.0</v>
      </c>
      <c r="S2" s="5">
        <v>7.0</v>
      </c>
      <c r="T2" s="5">
        <v>6.0</v>
      </c>
      <c r="U2" s="5">
        <v>1.0</v>
      </c>
      <c r="V2" s="5">
        <v>1.0</v>
      </c>
      <c r="W2" s="5">
        <v>4.0</v>
      </c>
      <c r="X2" s="5">
        <v>7.0</v>
      </c>
      <c r="Y2" s="5">
        <f t="shared" ref="Y2:Y121" si="1">8-X2</f>
        <v>1</v>
      </c>
      <c r="Z2" s="5" t="s">
        <v>222</v>
      </c>
      <c r="AA2" s="5" t="s">
        <v>206</v>
      </c>
      <c r="AB2" s="5">
        <v>1.0</v>
      </c>
      <c r="AC2" s="5">
        <v>5.0</v>
      </c>
      <c r="AD2" s="5">
        <v>4.0</v>
      </c>
      <c r="AE2" s="5">
        <v>5.0</v>
      </c>
      <c r="AF2" s="5">
        <v>5.0</v>
      </c>
      <c r="AG2" s="5">
        <v>7.0</v>
      </c>
      <c r="AH2" s="5" t="s">
        <v>223</v>
      </c>
      <c r="AI2" s="5" t="s">
        <v>206</v>
      </c>
      <c r="AJ2" s="5">
        <v>1.0</v>
      </c>
      <c r="AK2" s="5">
        <v>7.0</v>
      </c>
      <c r="AL2" s="5">
        <v>4.0</v>
      </c>
      <c r="AM2" s="5">
        <v>1.0</v>
      </c>
      <c r="AN2" s="5">
        <f t="shared" ref="AN2:AN121" si="2">8-AM2</f>
        <v>7</v>
      </c>
      <c r="AO2" s="5">
        <v>1.0</v>
      </c>
      <c r="AP2" s="5">
        <f t="shared" ref="AP2:AP121" si="3">8-AO2</f>
        <v>7</v>
      </c>
      <c r="AQ2" s="5">
        <v>1.0</v>
      </c>
      <c r="AR2" s="5">
        <f t="shared" ref="AR2:AR121" si="4">8-AQ2</f>
        <v>7</v>
      </c>
      <c r="AS2" s="5">
        <v>1.0</v>
      </c>
      <c r="AT2" s="5">
        <f t="shared" ref="AT2:AT121" si="5">8-AS2</f>
        <v>7</v>
      </c>
      <c r="AU2" s="5" t="s">
        <v>224</v>
      </c>
    </row>
    <row r="3">
      <c r="A3" s="8">
        <f>IFERROR(__xludf.DUMMYFUNCTION("IF(E3="""", """", VALUE(REGEXREPLACE(E3, ""^[Pp]"", """")))"),2.0)</f>
        <v>2</v>
      </c>
      <c r="B3" s="8">
        <v>512.0</v>
      </c>
      <c r="C3" s="7">
        <v>45866.27291666667</v>
      </c>
      <c r="D3" s="5" t="s">
        <v>225</v>
      </c>
      <c r="E3" s="5" t="s">
        <v>221</v>
      </c>
      <c r="F3" s="5" t="s">
        <v>216</v>
      </c>
      <c r="G3" s="6" t="str">
        <f>IFERROR(__xludf.DUMMYFUNCTION("IF(SPLIT(F3,""-"")=""HR"",""High"",""Low"")"),"Low")</f>
        <v>Low</v>
      </c>
      <c r="H3" s="6" t="str">
        <f>IFERROR(__xludf.DUMMYFUNCTION("INDEX(SPLIT(F3, ""-""), 2)"),"Web")</f>
        <v>Web</v>
      </c>
      <c r="I3" s="6">
        <v>2.0</v>
      </c>
      <c r="J3" s="5">
        <v>5.0</v>
      </c>
      <c r="K3" s="5">
        <v>1.0</v>
      </c>
      <c r="L3" s="5" t="s">
        <v>199</v>
      </c>
      <c r="M3" s="5">
        <v>7.0</v>
      </c>
      <c r="N3" s="5">
        <v>4.0</v>
      </c>
      <c r="O3" s="5">
        <v>7.0</v>
      </c>
      <c r="P3" s="5">
        <v>1.0</v>
      </c>
      <c r="Q3" s="5">
        <v>1.0</v>
      </c>
      <c r="R3" s="5">
        <v>5.0</v>
      </c>
      <c r="S3" s="5">
        <v>7.0</v>
      </c>
      <c r="T3" s="5">
        <v>1.0</v>
      </c>
      <c r="U3" s="5">
        <v>1.0</v>
      </c>
      <c r="V3" s="5">
        <v>1.0</v>
      </c>
      <c r="W3" s="5">
        <v>4.0</v>
      </c>
      <c r="X3" s="5">
        <v>7.0</v>
      </c>
      <c r="Y3" s="5">
        <f t="shared" si="1"/>
        <v>1</v>
      </c>
      <c r="Z3" s="5" t="s">
        <v>226</v>
      </c>
      <c r="AA3" s="5" t="s">
        <v>206</v>
      </c>
      <c r="AB3" s="5">
        <v>1.0</v>
      </c>
      <c r="AC3" s="5">
        <v>7.0</v>
      </c>
      <c r="AD3" s="5">
        <v>5.0</v>
      </c>
      <c r="AE3" s="5">
        <v>7.0</v>
      </c>
      <c r="AF3" s="5">
        <v>7.0</v>
      </c>
      <c r="AG3" s="5">
        <v>7.0</v>
      </c>
      <c r="AH3" s="5" t="s">
        <v>227</v>
      </c>
      <c r="AI3" s="5" t="s">
        <v>206</v>
      </c>
      <c r="AJ3" s="5">
        <v>5.0</v>
      </c>
      <c r="AK3" s="5">
        <v>1.0</v>
      </c>
      <c r="AL3" s="5">
        <v>5.0</v>
      </c>
      <c r="AM3" s="5">
        <v>7.0</v>
      </c>
      <c r="AN3" s="5">
        <f t="shared" si="2"/>
        <v>1</v>
      </c>
      <c r="AO3" s="5">
        <v>4.0</v>
      </c>
      <c r="AP3" s="5">
        <f t="shared" si="3"/>
        <v>4</v>
      </c>
      <c r="AQ3" s="5">
        <v>5.0</v>
      </c>
      <c r="AR3" s="5">
        <f t="shared" si="4"/>
        <v>3</v>
      </c>
      <c r="AS3" s="5">
        <v>5.0</v>
      </c>
      <c r="AT3" s="5">
        <f t="shared" si="5"/>
        <v>3</v>
      </c>
      <c r="AU3" s="5" t="s">
        <v>228</v>
      </c>
    </row>
    <row r="4">
      <c r="A4" s="8">
        <f>IFERROR(__xludf.DUMMYFUNCTION("IF(E4="""", """", VALUE(REGEXREPLACE(E4, ""^[Pp]"", """")))"),2.0)</f>
        <v>2</v>
      </c>
      <c r="B4" s="8">
        <v>378.0</v>
      </c>
      <c r="C4" s="7">
        <v>45866.28472222222</v>
      </c>
      <c r="D4" s="5" t="s">
        <v>229</v>
      </c>
      <c r="E4" s="5" t="s">
        <v>221</v>
      </c>
      <c r="F4" s="5" t="s">
        <v>197</v>
      </c>
      <c r="G4" s="6" t="str">
        <f>IFERROR(__xludf.DUMMYFUNCTION("IF(SPLIT(F4,""-"")=""HR"",""High"",""Low"")"),"High")</f>
        <v>High</v>
      </c>
      <c r="H4" s="6" t="str">
        <f>IFERROR(__xludf.DUMMYFUNCTION("INDEX(SPLIT(F4, ""-""), 2)"),"VR")</f>
        <v>VR</v>
      </c>
      <c r="I4" s="6">
        <v>3.0</v>
      </c>
      <c r="J4" s="5">
        <v>1.0</v>
      </c>
      <c r="K4" s="5">
        <v>1.0</v>
      </c>
      <c r="L4" s="5" t="s">
        <v>199</v>
      </c>
      <c r="M4" s="5">
        <v>3.0</v>
      </c>
      <c r="N4" s="5">
        <v>4.0</v>
      </c>
      <c r="O4" s="5">
        <v>7.0</v>
      </c>
      <c r="P4" s="5">
        <v>1.0</v>
      </c>
      <c r="Q4" s="5">
        <v>1.0</v>
      </c>
      <c r="R4" s="5">
        <v>7.0</v>
      </c>
      <c r="S4" s="5">
        <v>4.0</v>
      </c>
      <c r="T4" s="5">
        <v>3.0</v>
      </c>
      <c r="U4" s="5">
        <v>1.0</v>
      </c>
      <c r="V4" s="5">
        <v>1.0</v>
      </c>
      <c r="W4" s="5">
        <v>7.0</v>
      </c>
      <c r="X4" s="5">
        <v>7.0</v>
      </c>
      <c r="Y4" s="5">
        <f t="shared" si="1"/>
        <v>1</v>
      </c>
      <c r="Z4" s="11" t="s">
        <v>230</v>
      </c>
      <c r="AA4" s="5" t="s">
        <v>206</v>
      </c>
      <c r="AB4" s="5">
        <v>1.0</v>
      </c>
      <c r="AC4" s="5">
        <v>4.0</v>
      </c>
      <c r="AD4" s="5">
        <v>1.0</v>
      </c>
      <c r="AE4" s="5">
        <v>5.0</v>
      </c>
      <c r="AF4" s="5">
        <v>1.0</v>
      </c>
      <c r="AG4" s="5">
        <v>2.0</v>
      </c>
      <c r="AH4" s="5" t="s">
        <v>231</v>
      </c>
      <c r="AI4" s="5" t="s">
        <v>206</v>
      </c>
      <c r="AJ4" s="5">
        <v>1.0</v>
      </c>
      <c r="AK4" s="5">
        <v>4.0</v>
      </c>
      <c r="AL4" s="5">
        <v>5.0</v>
      </c>
      <c r="AM4" s="5">
        <v>1.0</v>
      </c>
      <c r="AN4" s="5">
        <f t="shared" si="2"/>
        <v>7</v>
      </c>
      <c r="AO4" s="5">
        <v>1.0</v>
      </c>
      <c r="AP4" s="5">
        <f t="shared" si="3"/>
        <v>7</v>
      </c>
      <c r="AQ4" s="5">
        <v>4.0</v>
      </c>
      <c r="AR4" s="5">
        <f t="shared" si="4"/>
        <v>4</v>
      </c>
      <c r="AS4" s="5">
        <v>1.0</v>
      </c>
      <c r="AT4" s="5">
        <f t="shared" si="5"/>
        <v>7</v>
      </c>
      <c r="AU4" s="11" t="s">
        <v>232</v>
      </c>
    </row>
    <row r="5">
      <c r="A5" s="8">
        <f>IFERROR(__xludf.DUMMYFUNCTION("IF(E5="""", """", VALUE(REGEXREPLACE(E5, ""^[Pp]"", """")))"),2.0)</f>
        <v>2</v>
      </c>
      <c r="B5" s="8">
        <v>237.0</v>
      </c>
      <c r="C5" s="7">
        <v>45866.290972222225</v>
      </c>
      <c r="D5" s="5" t="s">
        <v>233</v>
      </c>
      <c r="E5" s="5" t="s">
        <v>221</v>
      </c>
      <c r="F5" s="5" t="s">
        <v>216</v>
      </c>
      <c r="G5" s="6" t="str">
        <f>IFERROR(__xludf.DUMMYFUNCTION("IF(SPLIT(F5,""-"")=""HR"",""High"",""Low"")"),"Low")</f>
        <v>Low</v>
      </c>
      <c r="H5" s="6" t="str">
        <f>IFERROR(__xludf.DUMMYFUNCTION("INDEX(SPLIT(F5, ""-""), 2)"),"Web")</f>
        <v>Web</v>
      </c>
      <c r="I5" s="6">
        <v>4.0</v>
      </c>
      <c r="J5" s="5">
        <v>1.0</v>
      </c>
      <c r="K5" s="5">
        <v>1.0</v>
      </c>
      <c r="L5" s="5" t="s">
        <v>199</v>
      </c>
      <c r="M5" s="5">
        <v>7.0</v>
      </c>
      <c r="N5" s="5">
        <v>1.0</v>
      </c>
      <c r="O5" s="5">
        <v>1.0</v>
      </c>
      <c r="P5" s="5">
        <v>1.0</v>
      </c>
      <c r="Q5" s="5">
        <v>1.0</v>
      </c>
      <c r="R5" s="5">
        <v>7.0</v>
      </c>
      <c r="S5" s="5">
        <v>7.0</v>
      </c>
      <c r="T5" s="5">
        <v>1.0</v>
      </c>
      <c r="U5" s="5">
        <v>1.0</v>
      </c>
      <c r="V5" s="5">
        <v>1.0</v>
      </c>
      <c r="W5" s="5">
        <v>7.0</v>
      </c>
      <c r="X5" s="5">
        <v>7.0</v>
      </c>
      <c r="Y5" s="5">
        <f t="shared" si="1"/>
        <v>1</v>
      </c>
      <c r="Z5" s="5" t="s">
        <v>234</v>
      </c>
      <c r="AA5" s="5" t="s">
        <v>206</v>
      </c>
      <c r="AB5" s="5">
        <v>1.0</v>
      </c>
      <c r="AC5" s="5">
        <v>7.0</v>
      </c>
      <c r="AD5" s="5">
        <v>1.0</v>
      </c>
      <c r="AE5" s="5">
        <v>1.0</v>
      </c>
      <c r="AF5" s="5">
        <v>1.0</v>
      </c>
      <c r="AG5" s="5">
        <v>2.0</v>
      </c>
      <c r="AH5" s="5" t="s">
        <v>235</v>
      </c>
      <c r="AI5" s="5" t="s">
        <v>206</v>
      </c>
      <c r="AJ5" s="5">
        <v>1.0</v>
      </c>
      <c r="AK5" s="5">
        <v>1.0</v>
      </c>
      <c r="AL5" s="5">
        <v>1.0</v>
      </c>
      <c r="AM5" s="5">
        <v>4.0</v>
      </c>
      <c r="AN5" s="5">
        <f t="shared" si="2"/>
        <v>4</v>
      </c>
      <c r="AO5" s="5">
        <v>4.0</v>
      </c>
      <c r="AP5" s="5">
        <f t="shared" si="3"/>
        <v>4</v>
      </c>
      <c r="AQ5" s="5">
        <v>4.0</v>
      </c>
      <c r="AR5" s="5">
        <f t="shared" si="4"/>
        <v>4</v>
      </c>
      <c r="AS5" s="5">
        <v>4.0</v>
      </c>
      <c r="AT5" s="5">
        <f t="shared" si="5"/>
        <v>4</v>
      </c>
      <c r="AU5" s="5" t="s">
        <v>236</v>
      </c>
    </row>
    <row r="6">
      <c r="A6" s="8">
        <f>IFERROR(__xludf.DUMMYFUNCTION("IF(E6="""", """", VALUE(REGEXREPLACE(E6, ""^[Pp]"", """")))"),3.0)</f>
        <v>3</v>
      </c>
      <c r="B6" s="8">
        <v>822.0</v>
      </c>
      <c r="C6" s="7">
        <v>45866.3125</v>
      </c>
      <c r="D6" s="5" t="s">
        <v>243</v>
      </c>
      <c r="E6" s="5" t="s">
        <v>244</v>
      </c>
      <c r="F6" s="5" t="s">
        <v>197</v>
      </c>
      <c r="G6" s="6" t="str">
        <f>IFERROR(__xludf.DUMMYFUNCTION("IF(SPLIT(F6,""-"")=""HR"",""High"",""Low"")"),"High")</f>
        <v>High</v>
      </c>
      <c r="H6" s="6" t="str">
        <f>IFERROR(__xludf.DUMMYFUNCTION("INDEX(SPLIT(F6, ""-""), 2)"),"VR")</f>
        <v>VR</v>
      </c>
      <c r="I6" s="6">
        <v>1.0</v>
      </c>
      <c r="J6" s="5">
        <v>2.0</v>
      </c>
      <c r="K6" s="5">
        <v>2.0</v>
      </c>
      <c r="L6" s="5" t="s">
        <v>199</v>
      </c>
      <c r="M6" s="5">
        <v>7.0</v>
      </c>
      <c r="N6" s="5">
        <v>3.0</v>
      </c>
      <c r="O6" s="5">
        <v>5.0</v>
      </c>
      <c r="P6" s="5">
        <v>3.0</v>
      </c>
      <c r="Q6" s="5">
        <v>1.0</v>
      </c>
      <c r="R6" s="5">
        <v>5.0</v>
      </c>
      <c r="S6" s="5">
        <v>6.0</v>
      </c>
      <c r="T6" s="5">
        <v>6.0</v>
      </c>
      <c r="U6" s="5">
        <v>1.0</v>
      </c>
      <c r="V6" s="5">
        <v>4.0</v>
      </c>
      <c r="W6" s="5">
        <v>7.0</v>
      </c>
      <c r="X6" s="5">
        <v>7.0</v>
      </c>
      <c r="Y6" s="5">
        <f t="shared" si="1"/>
        <v>1</v>
      </c>
      <c r="Z6" s="5" t="s">
        <v>245</v>
      </c>
      <c r="AA6" s="5" t="s">
        <v>206</v>
      </c>
      <c r="AB6" s="5">
        <v>5.0</v>
      </c>
      <c r="AC6" s="5">
        <v>6.0</v>
      </c>
      <c r="AD6" s="5">
        <v>6.0</v>
      </c>
      <c r="AE6" s="5">
        <v>5.0</v>
      </c>
      <c r="AF6" s="5">
        <v>5.0</v>
      </c>
      <c r="AG6" s="5">
        <v>4.0</v>
      </c>
      <c r="AH6" s="5" t="s">
        <v>246</v>
      </c>
      <c r="AI6" s="5" t="s">
        <v>206</v>
      </c>
      <c r="AJ6" s="5">
        <v>5.0</v>
      </c>
      <c r="AK6" s="5">
        <v>3.0</v>
      </c>
      <c r="AL6" s="5">
        <v>6.0</v>
      </c>
      <c r="AM6" s="5">
        <v>2.0</v>
      </c>
      <c r="AN6" s="5">
        <f t="shared" si="2"/>
        <v>6</v>
      </c>
      <c r="AO6" s="5">
        <v>1.0</v>
      </c>
      <c r="AP6" s="5">
        <f t="shared" si="3"/>
        <v>7</v>
      </c>
      <c r="AQ6" s="5">
        <v>5.0</v>
      </c>
      <c r="AR6" s="5">
        <f t="shared" si="4"/>
        <v>3</v>
      </c>
      <c r="AS6" s="5">
        <v>5.0</v>
      </c>
      <c r="AT6" s="5">
        <f t="shared" si="5"/>
        <v>3</v>
      </c>
      <c r="AU6" s="5" t="s">
        <v>247</v>
      </c>
    </row>
    <row r="7">
      <c r="A7" s="8">
        <f>IFERROR(__xludf.DUMMYFUNCTION("IF(E7="""", """", VALUE(REGEXREPLACE(E7, ""^[Pp]"", """")))"),3.0)</f>
        <v>3</v>
      </c>
      <c r="B7" s="8">
        <v>1106.0</v>
      </c>
      <c r="C7" s="7">
        <v>45866.32777777778</v>
      </c>
      <c r="D7" s="5" t="s">
        <v>248</v>
      </c>
      <c r="E7" s="5" t="s">
        <v>244</v>
      </c>
      <c r="F7" s="5" t="s">
        <v>211</v>
      </c>
      <c r="G7" s="6" t="str">
        <f>IFERROR(__xludf.DUMMYFUNCTION("IF(SPLIT(F7,""-"")=""HR"",""High"",""Low"")"),"High")</f>
        <v>High</v>
      </c>
      <c r="H7" s="6" t="str">
        <f>IFERROR(__xludf.DUMMYFUNCTION("INDEX(SPLIT(F7, ""-""), 2)"),"Web")</f>
        <v>Web</v>
      </c>
      <c r="I7" s="6">
        <v>2.0</v>
      </c>
      <c r="J7" s="5">
        <v>3.0</v>
      </c>
      <c r="K7" s="5">
        <v>1.0</v>
      </c>
      <c r="L7" s="5" t="s">
        <v>199</v>
      </c>
      <c r="M7" s="5">
        <v>5.0</v>
      </c>
      <c r="N7" s="5">
        <v>2.0</v>
      </c>
      <c r="O7" s="5">
        <v>1.0</v>
      </c>
      <c r="P7" s="5">
        <v>3.0</v>
      </c>
      <c r="Q7" s="5">
        <v>1.0</v>
      </c>
      <c r="R7" s="5">
        <v>5.0</v>
      </c>
      <c r="S7" s="5">
        <v>6.0</v>
      </c>
      <c r="T7" s="5">
        <v>2.0</v>
      </c>
      <c r="U7" s="5">
        <v>1.0</v>
      </c>
      <c r="V7" s="5">
        <v>2.0</v>
      </c>
      <c r="W7" s="5">
        <v>5.0</v>
      </c>
      <c r="X7" s="5">
        <v>7.0</v>
      </c>
      <c r="Y7" s="5">
        <f t="shared" si="1"/>
        <v>1</v>
      </c>
      <c r="Z7" s="5" t="s">
        <v>249</v>
      </c>
      <c r="AA7" s="5" t="s">
        <v>206</v>
      </c>
      <c r="AB7" s="5">
        <v>6.0</v>
      </c>
      <c r="AC7" s="5">
        <v>6.0</v>
      </c>
      <c r="AD7" s="5">
        <v>6.0</v>
      </c>
      <c r="AE7" s="5">
        <v>5.0</v>
      </c>
      <c r="AF7" s="5">
        <v>3.0</v>
      </c>
      <c r="AG7" s="5">
        <v>4.0</v>
      </c>
      <c r="AH7" s="5" t="s">
        <v>250</v>
      </c>
      <c r="AI7" s="5" t="s">
        <v>206</v>
      </c>
      <c r="AJ7" s="5">
        <v>6.0</v>
      </c>
      <c r="AK7" s="5">
        <v>6.0</v>
      </c>
      <c r="AL7" s="5">
        <v>2.0</v>
      </c>
      <c r="AM7" s="5">
        <v>1.0</v>
      </c>
      <c r="AN7" s="5">
        <f t="shared" si="2"/>
        <v>7</v>
      </c>
      <c r="AO7" s="5">
        <v>1.0</v>
      </c>
      <c r="AP7" s="5">
        <f t="shared" si="3"/>
        <v>7</v>
      </c>
      <c r="AQ7" s="5">
        <v>1.0</v>
      </c>
      <c r="AR7" s="5">
        <f t="shared" si="4"/>
        <v>7</v>
      </c>
      <c r="AS7" s="5">
        <v>1.0</v>
      </c>
      <c r="AT7" s="5">
        <f t="shared" si="5"/>
        <v>7</v>
      </c>
      <c r="AU7" s="5" t="s">
        <v>251</v>
      </c>
    </row>
    <row r="8">
      <c r="A8" s="8">
        <f>IFERROR(__xludf.DUMMYFUNCTION("IF(E8="""", """", VALUE(REGEXREPLACE(E8, ""^[Pp]"", """")))"),3.0)</f>
        <v>3</v>
      </c>
      <c r="B8" s="8">
        <v>794.0</v>
      </c>
      <c r="C8" s="7">
        <v>45869.0625</v>
      </c>
      <c r="D8" s="5" t="s">
        <v>552</v>
      </c>
      <c r="E8" s="5" t="s">
        <v>244</v>
      </c>
      <c r="F8" s="5" t="s">
        <v>197</v>
      </c>
      <c r="G8" s="6" t="str">
        <f>IFERROR(__xludf.DUMMYFUNCTION("IF(SPLIT(F8,""-"")=""HR"",""High"",""Low"")"),"High")</f>
        <v>High</v>
      </c>
      <c r="H8" s="6" t="str">
        <f>IFERROR(__xludf.DUMMYFUNCTION("INDEX(SPLIT(F8, ""-""), 2)"),"VR")</f>
        <v>VR</v>
      </c>
      <c r="I8" s="6">
        <v>3.0</v>
      </c>
      <c r="J8" s="5">
        <v>5.0</v>
      </c>
      <c r="K8" s="5">
        <v>2.0</v>
      </c>
      <c r="L8" s="5" t="s">
        <v>199</v>
      </c>
      <c r="M8" s="5">
        <v>6.0</v>
      </c>
      <c r="N8" s="5">
        <v>1.0</v>
      </c>
      <c r="O8" s="5">
        <v>7.0</v>
      </c>
      <c r="P8" s="5">
        <v>1.0</v>
      </c>
      <c r="Q8" s="5">
        <v>2.0</v>
      </c>
      <c r="R8" s="5">
        <v>5.0</v>
      </c>
      <c r="S8" s="5">
        <v>5.0</v>
      </c>
      <c r="T8" s="5">
        <v>2.0</v>
      </c>
      <c r="U8" s="5">
        <v>1.0</v>
      </c>
      <c r="V8" s="5">
        <v>5.0</v>
      </c>
      <c r="W8" s="5">
        <v>4.0</v>
      </c>
      <c r="X8" s="5">
        <v>7.0</v>
      </c>
      <c r="Y8" s="5">
        <f t="shared" si="1"/>
        <v>1</v>
      </c>
      <c r="Z8" s="5" t="s">
        <v>553</v>
      </c>
      <c r="AA8" s="5" t="s">
        <v>206</v>
      </c>
      <c r="AB8" s="5">
        <v>6.0</v>
      </c>
      <c r="AC8" s="5">
        <v>6.0</v>
      </c>
      <c r="AD8" s="5">
        <v>7.0</v>
      </c>
      <c r="AE8" s="5">
        <v>7.0</v>
      </c>
      <c r="AF8" s="5">
        <v>5.0</v>
      </c>
      <c r="AG8" s="5">
        <v>6.0</v>
      </c>
      <c r="AH8" s="5" t="s">
        <v>554</v>
      </c>
      <c r="AI8" s="5" t="s">
        <v>206</v>
      </c>
      <c r="AJ8" s="5">
        <v>7.0</v>
      </c>
      <c r="AK8" s="5">
        <v>6.0</v>
      </c>
      <c r="AL8" s="5">
        <v>7.0</v>
      </c>
      <c r="AM8" s="5">
        <v>1.0</v>
      </c>
      <c r="AN8" s="5">
        <f t="shared" si="2"/>
        <v>7</v>
      </c>
      <c r="AO8" s="5">
        <v>1.0</v>
      </c>
      <c r="AP8" s="5">
        <f t="shared" si="3"/>
        <v>7</v>
      </c>
      <c r="AQ8" s="5">
        <v>5.0</v>
      </c>
      <c r="AR8" s="5">
        <f t="shared" si="4"/>
        <v>3</v>
      </c>
      <c r="AS8" s="5">
        <v>1.0</v>
      </c>
      <c r="AT8" s="5">
        <f t="shared" si="5"/>
        <v>7</v>
      </c>
      <c r="AU8" s="5" t="s">
        <v>555</v>
      </c>
    </row>
    <row r="9">
      <c r="A9" s="8">
        <f>IFERROR(__xludf.DUMMYFUNCTION("IF(E9="""", """", VALUE(REGEXREPLACE(E9, ""^[Pp]"", """")))"),3.0)</f>
        <v>3</v>
      </c>
      <c r="B9" s="8">
        <v>1145.0</v>
      </c>
      <c r="C9" s="7">
        <v>45869.07986111111</v>
      </c>
      <c r="D9" s="5" t="s">
        <v>564</v>
      </c>
      <c r="E9" s="5" t="s">
        <v>244</v>
      </c>
      <c r="F9" s="5" t="s">
        <v>211</v>
      </c>
      <c r="G9" s="6" t="str">
        <f>IFERROR(__xludf.DUMMYFUNCTION("IF(SPLIT(F9,""-"")=""HR"",""High"",""Low"")"),"High")</f>
        <v>High</v>
      </c>
      <c r="H9" s="6" t="str">
        <f>IFERROR(__xludf.DUMMYFUNCTION("INDEX(SPLIT(F9, ""-""), 2)"),"Web")</f>
        <v>Web</v>
      </c>
      <c r="I9" s="6">
        <v>4.0</v>
      </c>
      <c r="J9" s="5">
        <v>4.0</v>
      </c>
      <c r="K9" s="5">
        <v>2.0</v>
      </c>
      <c r="L9" s="5" t="s">
        <v>199</v>
      </c>
      <c r="M9" s="5">
        <v>6.0</v>
      </c>
      <c r="N9" s="5">
        <v>2.0</v>
      </c>
      <c r="O9" s="5">
        <v>2.0</v>
      </c>
      <c r="P9" s="5">
        <v>2.0</v>
      </c>
      <c r="Q9" s="5">
        <v>1.0</v>
      </c>
      <c r="R9" s="5">
        <v>2.0</v>
      </c>
      <c r="S9" s="5">
        <v>2.0</v>
      </c>
      <c r="T9" s="5">
        <v>3.0</v>
      </c>
      <c r="U9" s="5">
        <v>1.0</v>
      </c>
      <c r="V9" s="5">
        <v>2.0</v>
      </c>
      <c r="W9" s="5">
        <v>2.0</v>
      </c>
      <c r="X9" s="5">
        <v>7.0</v>
      </c>
      <c r="Y9" s="5">
        <f t="shared" si="1"/>
        <v>1</v>
      </c>
      <c r="Z9" s="5" t="s">
        <v>565</v>
      </c>
      <c r="AA9" s="5" t="s">
        <v>206</v>
      </c>
      <c r="AB9" s="5">
        <v>5.0</v>
      </c>
      <c r="AC9" s="5">
        <v>2.0</v>
      </c>
      <c r="AD9" s="5">
        <v>2.0</v>
      </c>
      <c r="AE9" s="5">
        <v>2.0</v>
      </c>
      <c r="AF9" s="5">
        <v>2.0</v>
      </c>
      <c r="AG9" s="5">
        <v>4.0</v>
      </c>
      <c r="AH9" s="5" t="s">
        <v>566</v>
      </c>
      <c r="AI9" s="5" t="s">
        <v>206</v>
      </c>
      <c r="AJ9" s="5">
        <v>6.0</v>
      </c>
      <c r="AK9" s="5">
        <v>6.0</v>
      </c>
      <c r="AL9" s="5">
        <v>1.0</v>
      </c>
      <c r="AM9" s="5">
        <v>1.0</v>
      </c>
      <c r="AN9" s="5">
        <f t="shared" si="2"/>
        <v>7</v>
      </c>
      <c r="AO9" s="5">
        <v>1.0</v>
      </c>
      <c r="AP9" s="5">
        <f t="shared" si="3"/>
        <v>7</v>
      </c>
      <c r="AQ9" s="5">
        <v>1.0</v>
      </c>
      <c r="AR9" s="5">
        <f t="shared" si="4"/>
        <v>7</v>
      </c>
      <c r="AS9" s="5">
        <v>1.0</v>
      </c>
      <c r="AT9" s="5">
        <f t="shared" si="5"/>
        <v>7</v>
      </c>
      <c r="AU9" s="5" t="s">
        <v>567</v>
      </c>
    </row>
    <row r="10">
      <c r="A10" s="8">
        <f>IFERROR(__xludf.DUMMYFUNCTION("IF(E10="""", """", VALUE(REGEXREPLACE(E10, ""^[Pp]"", """")))"),4.0)</f>
        <v>4</v>
      </c>
      <c r="B10" s="8">
        <v>1957.0</v>
      </c>
      <c r="C10" s="7">
        <v>45866.3125</v>
      </c>
      <c r="D10" s="5" t="s">
        <v>238</v>
      </c>
      <c r="E10" s="5" t="s">
        <v>239</v>
      </c>
      <c r="F10" s="5" t="s">
        <v>216</v>
      </c>
      <c r="G10" s="6" t="str">
        <f>IFERROR(__xludf.DUMMYFUNCTION("IF(SPLIT(F10,""-"")=""HR"",""High"",""Low"")"),"Low")</f>
        <v>Low</v>
      </c>
      <c r="H10" s="6" t="str">
        <f>IFERROR(__xludf.DUMMYFUNCTION("INDEX(SPLIT(F10, ""-""), 2)"),"Web")</f>
        <v>Web</v>
      </c>
      <c r="I10" s="6">
        <v>1.0</v>
      </c>
      <c r="J10" s="5">
        <v>6.0</v>
      </c>
      <c r="K10" s="6">
        <v>5.0</v>
      </c>
      <c r="L10" s="5" t="s">
        <v>199</v>
      </c>
      <c r="M10" s="5">
        <v>7.0</v>
      </c>
      <c r="N10" s="5">
        <v>5.0</v>
      </c>
      <c r="O10" s="5">
        <v>7.0</v>
      </c>
      <c r="P10" s="5">
        <v>3.0</v>
      </c>
      <c r="Q10" s="5">
        <v>3.0</v>
      </c>
      <c r="R10" s="5">
        <v>5.0</v>
      </c>
      <c r="S10" s="5">
        <v>5.0</v>
      </c>
      <c r="T10" s="5">
        <v>7.0</v>
      </c>
      <c r="U10" s="5">
        <v>3.0</v>
      </c>
      <c r="V10" s="5">
        <v>7.0</v>
      </c>
      <c r="W10" s="5">
        <v>6.0</v>
      </c>
      <c r="X10" s="5">
        <v>3.0</v>
      </c>
      <c r="Y10" s="5">
        <f t="shared" si="1"/>
        <v>5</v>
      </c>
      <c r="Z10" s="5" t="s">
        <v>240</v>
      </c>
      <c r="AA10" s="5" t="s">
        <v>206</v>
      </c>
      <c r="AB10" s="5">
        <v>5.0</v>
      </c>
      <c r="AC10" s="5">
        <v>7.0</v>
      </c>
      <c r="AD10" s="5">
        <v>7.0</v>
      </c>
      <c r="AE10" s="5">
        <v>5.0</v>
      </c>
      <c r="AF10" s="5">
        <v>7.0</v>
      </c>
      <c r="AG10" s="5">
        <v>7.0</v>
      </c>
      <c r="AH10" s="5" t="s">
        <v>241</v>
      </c>
      <c r="AI10" s="5" t="s">
        <v>206</v>
      </c>
      <c r="AJ10" s="5">
        <v>6.0</v>
      </c>
      <c r="AK10" s="5">
        <v>7.0</v>
      </c>
      <c r="AL10" s="5">
        <v>7.0</v>
      </c>
      <c r="AM10" s="5">
        <v>1.0</v>
      </c>
      <c r="AN10" s="5">
        <f t="shared" si="2"/>
        <v>7</v>
      </c>
      <c r="AO10" s="5">
        <v>1.0</v>
      </c>
      <c r="AP10" s="5">
        <f t="shared" si="3"/>
        <v>7</v>
      </c>
      <c r="AQ10" s="5">
        <v>1.0</v>
      </c>
      <c r="AR10" s="5">
        <f t="shared" si="4"/>
        <v>7</v>
      </c>
      <c r="AS10" s="5">
        <v>1.0</v>
      </c>
      <c r="AT10" s="5">
        <f t="shared" si="5"/>
        <v>7</v>
      </c>
      <c r="AU10" s="5" t="s">
        <v>242</v>
      </c>
    </row>
    <row r="11">
      <c r="A11" s="8">
        <f>IFERROR(__xludf.DUMMYFUNCTION("IF(E11="""", """", VALUE(REGEXREPLACE(E11, ""^[Pp]"", """")))"),4.0)</f>
        <v>4</v>
      </c>
      <c r="B11" s="8">
        <v>1376.0</v>
      </c>
      <c r="C11" s="7">
        <v>45866.32847222222</v>
      </c>
      <c r="D11" s="5" t="s">
        <v>252</v>
      </c>
      <c r="E11" s="5" t="s">
        <v>239</v>
      </c>
      <c r="F11" s="5" t="s">
        <v>211</v>
      </c>
      <c r="G11" s="6" t="str">
        <f>IFERROR(__xludf.DUMMYFUNCTION("IF(SPLIT(F11,""-"")=""HR"",""High"",""Low"")"),"High")</f>
        <v>High</v>
      </c>
      <c r="H11" s="6" t="str">
        <f>IFERROR(__xludf.DUMMYFUNCTION("INDEX(SPLIT(F11, ""-""), 2)"),"Web")</f>
        <v>Web</v>
      </c>
      <c r="I11" s="6">
        <v>2.0</v>
      </c>
      <c r="J11" s="5">
        <v>7.0</v>
      </c>
      <c r="K11" s="5">
        <v>7.0</v>
      </c>
      <c r="L11" s="5" t="s">
        <v>199</v>
      </c>
      <c r="M11" s="5">
        <v>5.0</v>
      </c>
      <c r="N11" s="5">
        <v>5.0</v>
      </c>
      <c r="O11" s="5">
        <v>7.0</v>
      </c>
      <c r="P11" s="5">
        <v>4.0</v>
      </c>
      <c r="Q11" s="5">
        <v>4.0</v>
      </c>
      <c r="R11" s="5">
        <v>7.0</v>
      </c>
      <c r="S11" s="5">
        <v>7.0</v>
      </c>
      <c r="T11" s="5">
        <v>7.0</v>
      </c>
      <c r="U11" s="5">
        <v>4.0</v>
      </c>
      <c r="V11" s="5">
        <v>6.0</v>
      </c>
      <c r="W11" s="5">
        <v>7.0</v>
      </c>
      <c r="X11" s="5">
        <v>4.0</v>
      </c>
      <c r="Y11" s="5">
        <f t="shared" si="1"/>
        <v>4</v>
      </c>
      <c r="Z11" s="5" t="s">
        <v>253</v>
      </c>
      <c r="AA11" s="5" t="s">
        <v>206</v>
      </c>
      <c r="AB11" s="5">
        <v>5.0</v>
      </c>
      <c r="AC11" s="5">
        <v>7.0</v>
      </c>
      <c r="AD11" s="5">
        <v>6.0</v>
      </c>
      <c r="AE11" s="5">
        <v>6.0</v>
      </c>
      <c r="AF11" s="5">
        <v>6.0</v>
      </c>
      <c r="AG11" s="5">
        <v>6.0</v>
      </c>
      <c r="AH11" s="5" t="s">
        <v>254</v>
      </c>
      <c r="AI11" s="5" t="s">
        <v>206</v>
      </c>
      <c r="AJ11" s="5">
        <v>5.0</v>
      </c>
      <c r="AK11" s="5">
        <v>5.0</v>
      </c>
      <c r="AL11" s="5">
        <v>7.0</v>
      </c>
      <c r="AM11" s="5">
        <v>5.0</v>
      </c>
      <c r="AN11" s="5">
        <f t="shared" si="2"/>
        <v>3</v>
      </c>
      <c r="AO11" s="5">
        <v>1.0</v>
      </c>
      <c r="AP11" s="5">
        <f t="shared" si="3"/>
        <v>7</v>
      </c>
      <c r="AQ11" s="5">
        <v>5.0</v>
      </c>
      <c r="AR11" s="5">
        <f t="shared" si="4"/>
        <v>3</v>
      </c>
      <c r="AS11" s="5">
        <v>5.0</v>
      </c>
      <c r="AT11" s="5">
        <f t="shared" si="5"/>
        <v>3</v>
      </c>
      <c r="AU11" s="5" t="s">
        <v>255</v>
      </c>
    </row>
    <row r="12">
      <c r="A12" s="8">
        <f>IFERROR(__xludf.DUMMYFUNCTION("IF(E12="""", """", VALUE(REGEXREPLACE(E12, ""^[Pp]"", """")))"),4.0)</f>
        <v>4</v>
      </c>
      <c r="B12" s="8">
        <v>859.0</v>
      </c>
      <c r="C12" s="7">
        <v>45867.027083333334</v>
      </c>
      <c r="D12" s="5" t="s">
        <v>262</v>
      </c>
      <c r="E12" s="5" t="s">
        <v>239</v>
      </c>
      <c r="F12" s="5" t="s">
        <v>263</v>
      </c>
      <c r="G12" s="6" t="str">
        <f>IFERROR(__xludf.DUMMYFUNCTION("IF(SPLIT(F12,""-"")=""HR"",""High"",""Low"")"),"Low")</f>
        <v>Low</v>
      </c>
      <c r="H12" s="6" t="str">
        <f>IFERROR(__xludf.DUMMYFUNCTION("INDEX(SPLIT(F12, ""-""), 2)"),"VR")</f>
        <v>VR</v>
      </c>
      <c r="I12" s="6">
        <v>3.0</v>
      </c>
      <c r="J12" s="5">
        <v>6.0</v>
      </c>
      <c r="K12" s="5">
        <v>5.0</v>
      </c>
      <c r="L12" s="5" t="s">
        <v>199</v>
      </c>
      <c r="M12" s="5">
        <v>4.0</v>
      </c>
      <c r="N12" s="5">
        <v>5.0</v>
      </c>
      <c r="O12" s="5">
        <v>7.0</v>
      </c>
      <c r="P12" s="5">
        <v>3.0</v>
      </c>
      <c r="Q12" s="5">
        <v>4.0</v>
      </c>
      <c r="R12" s="5">
        <v>6.0</v>
      </c>
      <c r="S12" s="5">
        <v>7.0</v>
      </c>
      <c r="T12" s="5">
        <v>7.0</v>
      </c>
      <c r="U12" s="5">
        <v>5.0</v>
      </c>
      <c r="V12" s="5">
        <v>7.0</v>
      </c>
      <c r="W12" s="5">
        <v>7.0</v>
      </c>
      <c r="X12" s="5">
        <v>4.0</v>
      </c>
      <c r="Y12" s="5">
        <f t="shared" si="1"/>
        <v>4</v>
      </c>
      <c r="Z12" s="5" t="s">
        <v>264</v>
      </c>
      <c r="AA12" s="5" t="s">
        <v>206</v>
      </c>
      <c r="AB12" s="5">
        <v>5.0</v>
      </c>
      <c r="AC12" s="5">
        <v>6.0</v>
      </c>
      <c r="AD12" s="5">
        <v>5.0</v>
      </c>
      <c r="AE12" s="5">
        <v>6.0</v>
      </c>
      <c r="AF12" s="5">
        <v>6.0</v>
      </c>
      <c r="AG12" s="5">
        <v>7.0</v>
      </c>
      <c r="AH12" s="5" t="s">
        <v>265</v>
      </c>
      <c r="AI12" s="5" t="s">
        <v>206</v>
      </c>
      <c r="AJ12" s="5">
        <v>6.0</v>
      </c>
      <c r="AK12" s="5">
        <v>7.0</v>
      </c>
      <c r="AL12" s="5">
        <v>7.0</v>
      </c>
      <c r="AM12" s="5">
        <v>2.0</v>
      </c>
      <c r="AN12" s="5">
        <f t="shared" si="2"/>
        <v>6</v>
      </c>
      <c r="AO12" s="5">
        <v>1.0</v>
      </c>
      <c r="AP12" s="5">
        <f t="shared" si="3"/>
        <v>7</v>
      </c>
      <c r="AQ12" s="5">
        <v>1.0</v>
      </c>
      <c r="AR12" s="5">
        <f t="shared" si="4"/>
        <v>7</v>
      </c>
      <c r="AS12" s="5">
        <v>1.0</v>
      </c>
      <c r="AT12" s="5">
        <f t="shared" si="5"/>
        <v>7</v>
      </c>
      <c r="AU12" s="5" t="s">
        <v>266</v>
      </c>
    </row>
    <row r="13">
      <c r="A13" s="8">
        <f>IFERROR(__xludf.DUMMYFUNCTION("IF(E13="""", """", VALUE(REGEXREPLACE(E13, ""^[Pp]"", """")))"),4.0)</f>
        <v>4</v>
      </c>
      <c r="B13" s="8">
        <v>821.0</v>
      </c>
      <c r="C13" s="7">
        <v>45867.04583333333</v>
      </c>
      <c r="D13" s="5" t="s">
        <v>267</v>
      </c>
      <c r="E13" s="5" t="s">
        <v>239</v>
      </c>
      <c r="F13" s="5" t="s">
        <v>211</v>
      </c>
      <c r="G13" s="6" t="str">
        <f>IFERROR(__xludf.DUMMYFUNCTION("IF(SPLIT(F13,""-"")=""HR"",""High"",""Low"")"),"High")</f>
        <v>High</v>
      </c>
      <c r="H13" s="6" t="str">
        <f>IFERROR(__xludf.DUMMYFUNCTION("INDEX(SPLIT(F13, ""-""), 2)"),"Web")</f>
        <v>Web</v>
      </c>
      <c r="I13" s="6">
        <v>4.0</v>
      </c>
      <c r="J13" s="5">
        <v>6.0</v>
      </c>
      <c r="K13" s="5">
        <v>3.0</v>
      </c>
      <c r="L13" s="5" t="s">
        <v>199</v>
      </c>
      <c r="M13" s="5">
        <v>6.0</v>
      </c>
      <c r="N13" s="5">
        <v>7.0</v>
      </c>
      <c r="O13" s="5">
        <v>6.0</v>
      </c>
      <c r="P13" s="5">
        <v>4.0</v>
      </c>
      <c r="Q13" s="5">
        <v>3.0</v>
      </c>
      <c r="R13" s="5">
        <v>7.0</v>
      </c>
      <c r="S13" s="5">
        <v>6.0</v>
      </c>
      <c r="T13" s="5">
        <v>3.0</v>
      </c>
      <c r="U13" s="5">
        <v>4.0</v>
      </c>
      <c r="V13" s="5">
        <v>7.0</v>
      </c>
      <c r="W13" s="5">
        <v>6.0</v>
      </c>
      <c r="X13" s="5">
        <v>4.0</v>
      </c>
      <c r="Y13" s="5">
        <f t="shared" si="1"/>
        <v>4</v>
      </c>
      <c r="Z13" s="5" t="s">
        <v>268</v>
      </c>
      <c r="AA13" s="5" t="s">
        <v>206</v>
      </c>
      <c r="AB13" s="5">
        <v>4.0</v>
      </c>
      <c r="AC13" s="5">
        <v>5.0</v>
      </c>
      <c r="AD13" s="5">
        <v>4.0</v>
      </c>
      <c r="AE13" s="5">
        <v>3.0</v>
      </c>
      <c r="AF13" s="5">
        <v>4.0</v>
      </c>
      <c r="AG13" s="5">
        <v>3.0</v>
      </c>
      <c r="AH13" s="5" t="s">
        <v>269</v>
      </c>
      <c r="AI13" s="5" t="s">
        <v>206</v>
      </c>
      <c r="AJ13" s="5">
        <v>4.0</v>
      </c>
      <c r="AK13" s="5">
        <v>3.0</v>
      </c>
      <c r="AL13" s="5">
        <v>5.0</v>
      </c>
      <c r="AM13" s="5">
        <v>2.0</v>
      </c>
      <c r="AN13" s="5">
        <f t="shared" si="2"/>
        <v>6</v>
      </c>
      <c r="AO13" s="5">
        <v>2.0</v>
      </c>
      <c r="AP13" s="5">
        <f t="shared" si="3"/>
        <v>6</v>
      </c>
      <c r="AQ13" s="5">
        <v>6.0</v>
      </c>
      <c r="AR13" s="5">
        <f t="shared" si="4"/>
        <v>2</v>
      </c>
      <c r="AS13" s="5">
        <v>2.0</v>
      </c>
      <c r="AT13" s="5">
        <f t="shared" si="5"/>
        <v>6</v>
      </c>
      <c r="AU13" s="5" t="s">
        <v>270</v>
      </c>
    </row>
    <row r="14">
      <c r="A14" s="8">
        <f>IFERROR(__xludf.DUMMYFUNCTION("IF(E14="""", """", VALUE(REGEXREPLACE(E14, ""^[Pp]"", """")))"),5.0)</f>
        <v>5</v>
      </c>
      <c r="B14" s="8">
        <v>1118.0</v>
      </c>
      <c r="C14" s="7">
        <v>45869.02847222222</v>
      </c>
      <c r="D14" s="5" t="s">
        <v>535</v>
      </c>
      <c r="E14" s="5" t="s">
        <v>536</v>
      </c>
      <c r="F14" s="5" t="s">
        <v>197</v>
      </c>
      <c r="G14" s="6" t="str">
        <f>IFERROR(__xludf.DUMMYFUNCTION("IF(SPLIT(F14,""-"")=""HR"",""High"",""Low"")"),"High")</f>
        <v>High</v>
      </c>
      <c r="H14" s="6" t="str">
        <f>IFERROR(__xludf.DUMMYFUNCTION("INDEX(SPLIT(F14, ""-""), 2)"),"VR")</f>
        <v>VR</v>
      </c>
      <c r="I14" s="6">
        <v>1.0</v>
      </c>
      <c r="J14" s="5">
        <v>5.0</v>
      </c>
      <c r="K14" s="5">
        <v>3.0</v>
      </c>
      <c r="L14" s="5" t="s">
        <v>199</v>
      </c>
      <c r="M14" s="5">
        <v>7.0</v>
      </c>
      <c r="N14" s="5">
        <v>7.0</v>
      </c>
      <c r="O14" s="5">
        <v>5.0</v>
      </c>
      <c r="P14" s="5">
        <v>5.0</v>
      </c>
      <c r="Q14" s="5">
        <v>6.0</v>
      </c>
      <c r="R14" s="5">
        <v>6.0</v>
      </c>
      <c r="S14" s="5">
        <v>7.0</v>
      </c>
      <c r="T14" s="5">
        <v>7.0</v>
      </c>
      <c r="U14" s="5">
        <v>6.0</v>
      </c>
      <c r="V14" s="5">
        <v>2.0</v>
      </c>
      <c r="W14" s="5">
        <v>7.0</v>
      </c>
      <c r="X14" s="5">
        <v>6.0</v>
      </c>
      <c r="Y14" s="5">
        <f t="shared" si="1"/>
        <v>2</v>
      </c>
      <c r="Z14" s="5" t="s">
        <v>537</v>
      </c>
      <c r="AA14" s="5" t="s">
        <v>206</v>
      </c>
      <c r="AB14" s="5">
        <v>4.0</v>
      </c>
      <c r="AC14" s="5">
        <v>7.0</v>
      </c>
      <c r="AD14" s="5">
        <v>7.0</v>
      </c>
      <c r="AE14" s="5">
        <v>3.0</v>
      </c>
      <c r="AF14" s="5">
        <v>5.0</v>
      </c>
      <c r="AG14" s="5">
        <v>4.0</v>
      </c>
      <c r="AH14" s="5" t="s">
        <v>538</v>
      </c>
      <c r="AJ14" s="5">
        <v>7.0</v>
      </c>
      <c r="AK14" s="5">
        <v>7.0</v>
      </c>
      <c r="AL14" s="5">
        <v>7.0</v>
      </c>
      <c r="AM14" s="5">
        <v>1.0</v>
      </c>
      <c r="AN14" s="5">
        <f t="shared" si="2"/>
        <v>7</v>
      </c>
      <c r="AO14" s="5">
        <v>1.0</v>
      </c>
      <c r="AP14" s="5">
        <f t="shared" si="3"/>
        <v>7</v>
      </c>
      <c r="AQ14" s="5">
        <v>1.0</v>
      </c>
      <c r="AR14" s="5">
        <f t="shared" si="4"/>
        <v>7</v>
      </c>
      <c r="AS14" s="5">
        <v>1.0</v>
      </c>
      <c r="AT14" s="5">
        <f t="shared" si="5"/>
        <v>7</v>
      </c>
      <c r="AU14" s="11" t="s">
        <v>539</v>
      </c>
    </row>
    <row r="15">
      <c r="A15" s="8">
        <f>IFERROR(__xludf.DUMMYFUNCTION("IF(E15="""", """", VALUE(REGEXREPLACE(E15, ""^[Pp]"", """")))"),5.0)</f>
        <v>5</v>
      </c>
      <c r="B15" s="8">
        <v>1473.0</v>
      </c>
      <c r="C15" s="7">
        <v>45869.04722222222</v>
      </c>
      <c r="D15" s="5" t="s">
        <v>544</v>
      </c>
      <c r="E15" s="5" t="s">
        <v>536</v>
      </c>
      <c r="F15" s="5" t="s">
        <v>211</v>
      </c>
      <c r="G15" s="6" t="str">
        <f>IFERROR(__xludf.DUMMYFUNCTION("IF(SPLIT(F15,""-"")=""HR"",""High"",""Low"")"),"High")</f>
        <v>High</v>
      </c>
      <c r="H15" s="6" t="str">
        <f>IFERROR(__xludf.DUMMYFUNCTION("INDEX(SPLIT(F15, ""-""), 2)"),"Web")</f>
        <v>Web</v>
      </c>
      <c r="I15" s="6">
        <v>2.0</v>
      </c>
      <c r="J15" s="5">
        <v>5.0</v>
      </c>
      <c r="K15" s="5">
        <v>5.0</v>
      </c>
      <c r="L15" s="5" t="s">
        <v>199</v>
      </c>
      <c r="M15" s="5">
        <v>7.0</v>
      </c>
      <c r="N15" s="5">
        <v>7.0</v>
      </c>
      <c r="O15" s="5">
        <v>5.0</v>
      </c>
      <c r="P15" s="5">
        <v>5.0</v>
      </c>
      <c r="Q15" s="5">
        <v>6.0</v>
      </c>
      <c r="R15" s="5">
        <v>6.0</v>
      </c>
      <c r="S15" s="5">
        <v>7.0</v>
      </c>
      <c r="T15" s="5">
        <v>7.0</v>
      </c>
      <c r="U15" s="5">
        <v>6.0</v>
      </c>
      <c r="V15" s="5">
        <v>2.0</v>
      </c>
      <c r="W15" s="5">
        <v>6.0</v>
      </c>
      <c r="X15" s="5">
        <v>4.0</v>
      </c>
      <c r="Y15" s="5">
        <f t="shared" si="1"/>
        <v>4</v>
      </c>
      <c r="Z15" s="5" t="s">
        <v>545</v>
      </c>
      <c r="AA15" s="5" t="s">
        <v>206</v>
      </c>
      <c r="AB15" s="5">
        <v>4.0</v>
      </c>
      <c r="AC15" s="5">
        <v>3.0</v>
      </c>
      <c r="AD15" s="5">
        <v>6.0</v>
      </c>
      <c r="AE15" s="5">
        <v>6.0</v>
      </c>
      <c r="AF15" s="5">
        <v>5.0</v>
      </c>
      <c r="AG15" s="5">
        <v>4.0</v>
      </c>
      <c r="AH15" s="5" t="s">
        <v>546</v>
      </c>
      <c r="AI15" s="5" t="s">
        <v>206</v>
      </c>
      <c r="AJ15" s="5">
        <v>6.0</v>
      </c>
      <c r="AK15" s="5">
        <v>7.0</v>
      </c>
      <c r="AL15" s="5">
        <v>7.0</v>
      </c>
      <c r="AM15" s="5">
        <v>1.0</v>
      </c>
      <c r="AN15" s="5">
        <f t="shared" si="2"/>
        <v>7</v>
      </c>
      <c r="AO15" s="5">
        <v>1.0</v>
      </c>
      <c r="AP15" s="5">
        <f t="shared" si="3"/>
        <v>7</v>
      </c>
      <c r="AQ15" s="5">
        <v>1.0</v>
      </c>
      <c r="AR15" s="5">
        <f t="shared" si="4"/>
        <v>7</v>
      </c>
      <c r="AS15" s="5">
        <v>1.0</v>
      </c>
      <c r="AT15" s="5">
        <f t="shared" si="5"/>
        <v>7</v>
      </c>
      <c r="AU15" s="5" t="s">
        <v>547</v>
      </c>
    </row>
    <row r="16">
      <c r="A16" s="8">
        <f>IFERROR(__xludf.DUMMYFUNCTION("IF(E16="""", """", VALUE(REGEXREPLACE(E16, ""^[Pp]"", """")))"),5.0)</f>
        <v>5</v>
      </c>
      <c r="B16" s="8">
        <v>1077.0</v>
      </c>
      <c r="C16" s="7">
        <v>45869.06875</v>
      </c>
      <c r="D16" s="5" t="s">
        <v>560</v>
      </c>
      <c r="E16" s="5" t="s">
        <v>536</v>
      </c>
      <c r="F16" s="5" t="s">
        <v>216</v>
      </c>
      <c r="G16" s="6" t="str">
        <f>IFERROR(__xludf.DUMMYFUNCTION("IF(SPLIT(F16,""-"")=""HR"",""High"",""Low"")"),"Low")</f>
        <v>Low</v>
      </c>
      <c r="H16" s="6" t="str">
        <f>IFERROR(__xludf.DUMMYFUNCTION("INDEX(SPLIT(F16, ""-""), 2)"),"Web")</f>
        <v>Web</v>
      </c>
      <c r="I16" s="6">
        <v>3.0</v>
      </c>
      <c r="J16" s="5">
        <v>5.0</v>
      </c>
      <c r="K16" s="5">
        <v>5.0</v>
      </c>
      <c r="L16" s="5" t="s">
        <v>199</v>
      </c>
      <c r="M16" s="5">
        <v>7.0</v>
      </c>
      <c r="N16" s="5">
        <v>7.0</v>
      </c>
      <c r="O16" s="5">
        <v>5.0</v>
      </c>
      <c r="P16" s="5">
        <v>5.0</v>
      </c>
      <c r="Q16" s="5">
        <v>6.0</v>
      </c>
      <c r="R16" s="5">
        <v>6.0</v>
      </c>
      <c r="S16" s="5">
        <v>7.0</v>
      </c>
      <c r="T16" s="5">
        <v>7.0</v>
      </c>
      <c r="U16" s="5">
        <v>5.0</v>
      </c>
      <c r="V16" s="5">
        <v>3.0</v>
      </c>
      <c r="W16" s="5">
        <v>6.0</v>
      </c>
      <c r="X16" s="5">
        <v>3.0</v>
      </c>
      <c r="Y16" s="5">
        <f t="shared" si="1"/>
        <v>5</v>
      </c>
      <c r="Z16" s="5" t="s">
        <v>561</v>
      </c>
      <c r="AA16" s="5" t="s">
        <v>206</v>
      </c>
      <c r="AB16" s="5">
        <v>6.0</v>
      </c>
      <c r="AC16" s="5">
        <v>7.0</v>
      </c>
      <c r="AD16" s="5">
        <v>7.0</v>
      </c>
      <c r="AE16" s="5">
        <v>7.0</v>
      </c>
      <c r="AF16" s="5">
        <v>5.0</v>
      </c>
      <c r="AG16" s="5">
        <v>4.0</v>
      </c>
      <c r="AH16" s="5" t="s">
        <v>562</v>
      </c>
      <c r="AI16" s="5" t="s">
        <v>206</v>
      </c>
      <c r="AJ16" s="5">
        <v>6.0</v>
      </c>
      <c r="AK16" s="5">
        <v>7.0</v>
      </c>
      <c r="AL16" s="5">
        <v>7.0</v>
      </c>
      <c r="AM16" s="5">
        <v>1.0</v>
      </c>
      <c r="AN16" s="5">
        <f t="shared" si="2"/>
        <v>7</v>
      </c>
      <c r="AO16" s="5">
        <v>1.0</v>
      </c>
      <c r="AP16" s="5">
        <f t="shared" si="3"/>
        <v>7</v>
      </c>
      <c r="AQ16" s="5">
        <v>1.0</v>
      </c>
      <c r="AR16" s="5">
        <f t="shared" si="4"/>
        <v>7</v>
      </c>
      <c r="AS16" s="5">
        <v>1.0</v>
      </c>
      <c r="AT16" s="5">
        <f t="shared" si="5"/>
        <v>7</v>
      </c>
      <c r="AU16" s="5" t="s">
        <v>563</v>
      </c>
    </row>
    <row r="17">
      <c r="A17" s="8">
        <f>IFERROR(__xludf.DUMMYFUNCTION("IF(E17="""", """", VALUE(REGEXREPLACE(E17, ""^[Pp]"", """")))"),5.0)</f>
        <v>5</v>
      </c>
      <c r="B17" s="8">
        <v>1139.0</v>
      </c>
      <c r="C17" s="7">
        <v>45869.08611111111</v>
      </c>
      <c r="D17" s="5" t="s">
        <v>568</v>
      </c>
      <c r="E17" s="5" t="s">
        <v>536</v>
      </c>
      <c r="F17" s="5" t="s">
        <v>263</v>
      </c>
      <c r="G17" s="6" t="str">
        <f>IFERROR(__xludf.DUMMYFUNCTION("IF(SPLIT(F17,""-"")=""HR"",""High"",""Low"")"),"Low")</f>
        <v>Low</v>
      </c>
      <c r="H17" s="6" t="str">
        <f>IFERROR(__xludf.DUMMYFUNCTION("INDEX(SPLIT(F17, ""-""), 2)"),"VR")</f>
        <v>VR</v>
      </c>
      <c r="I17" s="6">
        <v>4.0</v>
      </c>
      <c r="J17" s="5">
        <v>6.0</v>
      </c>
      <c r="K17" s="5">
        <v>3.0</v>
      </c>
      <c r="L17" s="5" t="s">
        <v>199</v>
      </c>
      <c r="M17" s="5">
        <v>7.0</v>
      </c>
      <c r="N17" s="5">
        <v>7.0</v>
      </c>
      <c r="O17" s="5">
        <v>6.0</v>
      </c>
      <c r="P17" s="5">
        <v>5.0</v>
      </c>
      <c r="Q17" s="5">
        <v>6.0</v>
      </c>
      <c r="R17" s="5">
        <v>5.0</v>
      </c>
      <c r="S17" s="5">
        <v>5.0</v>
      </c>
      <c r="T17" s="5">
        <v>7.0</v>
      </c>
      <c r="U17" s="5">
        <v>5.0</v>
      </c>
      <c r="V17" s="5">
        <v>3.0</v>
      </c>
      <c r="W17" s="5">
        <v>5.0</v>
      </c>
      <c r="X17" s="5">
        <v>4.0</v>
      </c>
      <c r="Y17" s="5">
        <f t="shared" si="1"/>
        <v>4</v>
      </c>
      <c r="Z17" s="5" t="s">
        <v>569</v>
      </c>
      <c r="AA17" s="5" t="s">
        <v>206</v>
      </c>
      <c r="AB17" s="5">
        <v>6.0</v>
      </c>
      <c r="AC17" s="5">
        <v>6.0</v>
      </c>
      <c r="AD17" s="5">
        <v>7.0</v>
      </c>
      <c r="AE17" s="5">
        <v>7.0</v>
      </c>
      <c r="AF17" s="5">
        <v>6.0</v>
      </c>
      <c r="AG17" s="5">
        <v>4.0</v>
      </c>
      <c r="AH17" s="5" t="s">
        <v>570</v>
      </c>
      <c r="AI17" s="5" t="s">
        <v>206</v>
      </c>
      <c r="AJ17" s="5">
        <v>7.0</v>
      </c>
      <c r="AK17" s="5">
        <v>7.0</v>
      </c>
      <c r="AL17" s="5">
        <v>7.0</v>
      </c>
      <c r="AM17" s="5">
        <v>1.0</v>
      </c>
      <c r="AN17" s="5">
        <f t="shared" si="2"/>
        <v>7</v>
      </c>
      <c r="AO17" s="5">
        <v>1.0</v>
      </c>
      <c r="AP17" s="5">
        <f t="shared" si="3"/>
        <v>7</v>
      </c>
      <c r="AQ17" s="5">
        <v>1.0</v>
      </c>
      <c r="AR17" s="5">
        <f t="shared" si="4"/>
        <v>7</v>
      </c>
      <c r="AS17" s="5">
        <v>1.0</v>
      </c>
      <c r="AT17" s="5">
        <f t="shared" si="5"/>
        <v>7</v>
      </c>
      <c r="AU17" s="5" t="s">
        <v>571</v>
      </c>
    </row>
    <row r="18">
      <c r="A18" s="8">
        <f>IFERROR(__xludf.DUMMYFUNCTION("IF(E18="""", """", VALUE(REGEXREPLACE(E18, ""^[Pp]"", """")))"),6.0)</f>
        <v>6</v>
      </c>
      <c r="B18" s="8">
        <v>1275.0</v>
      </c>
      <c r="C18" s="7">
        <v>45867.02638888889</v>
      </c>
      <c r="D18" s="5" t="s">
        <v>257</v>
      </c>
      <c r="E18" s="5" t="s">
        <v>258</v>
      </c>
      <c r="F18" s="5" t="s">
        <v>211</v>
      </c>
      <c r="G18" s="6" t="str">
        <f>IFERROR(__xludf.DUMMYFUNCTION("IF(SPLIT(F18,""-"")=""HR"",""High"",""Low"")"),"High")</f>
        <v>High</v>
      </c>
      <c r="H18" s="6" t="str">
        <f>IFERROR(__xludf.DUMMYFUNCTION("INDEX(SPLIT(F18, ""-""), 2)"),"Web")</f>
        <v>Web</v>
      </c>
      <c r="I18" s="6">
        <v>1.0</v>
      </c>
      <c r="J18" s="5">
        <v>3.0</v>
      </c>
      <c r="K18" s="5">
        <v>3.0</v>
      </c>
      <c r="L18" s="5" t="s">
        <v>199</v>
      </c>
      <c r="M18" s="5">
        <v>6.0</v>
      </c>
      <c r="N18" s="5">
        <v>7.0</v>
      </c>
      <c r="O18" s="5">
        <v>4.0</v>
      </c>
      <c r="P18" s="5">
        <v>1.0</v>
      </c>
      <c r="Q18" s="5">
        <v>2.0</v>
      </c>
      <c r="R18" s="5">
        <v>7.0</v>
      </c>
      <c r="S18" s="5">
        <v>7.0</v>
      </c>
      <c r="T18" s="5">
        <v>6.0</v>
      </c>
      <c r="U18" s="5">
        <v>1.0</v>
      </c>
      <c r="V18" s="5">
        <v>4.0</v>
      </c>
      <c r="W18" s="5">
        <v>5.0</v>
      </c>
      <c r="X18" s="5">
        <v>7.0</v>
      </c>
      <c r="Y18" s="5">
        <f t="shared" si="1"/>
        <v>1</v>
      </c>
      <c r="Z18" s="5" t="s">
        <v>259</v>
      </c>
      <c r="AA18" s="5" t="s">
        <v>206</v>
      </c>
      <c r="AB18" s="5">
        <v>6.0</v>
      </c>
      <c r="AC18" s="5">
        <v>6.0</v>
      </c>
      <c r="AD18" s="5">
        <v>6.0</v>
      </c>
      <c r="AE18" s="5">
        <v>6.0</v>
      </c>
      <c r="AF18" s="5">
        <v>6.0</v>
      </c>
      <c r="AG18" s="5">
        <v>6.0</v>
      </c>
      <c r="AH18" s="5" t="s">
        <v>260</v>
      </c>
      <c r="AI18" s="5" t="s">
        <v>206</v>
      </c>
      <c r="AJ18" s="5">
        <v>5.0</v>
      </c>
      <c r="AK18" s="5">
        <v>7.0</v>
      </c>
      <c r="AL18" s="5">
        <v>7.0</v>
      </c>
      <c r="AM18" s="5">
        <v>1.0</v>
      </c>
      <c r="AN18" s="5">
        <f t="shared" si="2"/>
        <v>7</v>
      </c>
      <c r="AO18" s="5">
        <v>1.0</v>
      </c>
      <c r="AP18" s="5">
        <f t="shared" si="3"/>
        <v>7</v>
      </c>
      <c r="AQ18" s="5">
        <v>1.0</v>
      </c>
      <c r="AR18" s="5">
        <f t="shared" si="4"/>
        <v>7</v>
      </c>
      <c r="AS18" s="5">
        <v>1.0</v>
      </c>
      <c r="AT18" s="5">
        <f t="shared" si="5"/>
        <v>7</v>
      </c>
      <c r="AU18" s="5" t="s">
        <v>261</v>
      </c>
    </row>
    <row r="19">
      <c r="A19" s="8">
        <f>IFERROR(__xludf.DUMMYFUNCTION("IF(E19="""", """", VALUE(REGEXREPLACE(E19, ""^[Pp]"", """")))"),6.0)</f>
        <v>6</v>
      </c>
      <c r="B19" s="8">
        <v>741.0</v>
      </c>
      <c r="C19" s="7">
        <v>45867.06041666667</v>
      </c>
      <c r="D19" s="5" t="s">
        <v>271</v>
      </c>
      <c r="E19" s="5" t="s">
        <v>258</v>
      </c>
      <c r="F19" s="5" t="s">
        <v>197</v>
      </c>
      <c r="G19" s="6" t="str">
        <f>IFERROR(__xludf.DUMMYFUNCTION("IF(SPLIT(F19,""-"")=""HR"",""High"",""Low"")"),"High")</f>
        <v>High</v>
      </c>
      <c r="H19" s="6" t="str">
        <f>IFERROR(__xludf.DUMMYFUNCTION("INDEX(SPLIT(F19, ""-""), 2)"),"VR")</f>
        <v>VR</v>
      </c>
      <c r="I19" s="6">
        <v>2.0</v>
      </c>
      <c r="J19" s="5">
        <v>6.0</v>
      </c>
      <c r="K19" s="5">
        <v>2.0</v>
      </c>
      <c r="L19" s="5" t="s">
        <v>199</v>
      </c>
      <c r="M19" s="5">
        <v>7.0</v>
      </c>
      <c r="N19" s="5">
        <v>7.0</v>
      </c>
      <c r="O19" s="5">
        <v>7.0</v>
      </c>
      <c r="P19" s="5">
        <v>1.0</v>
      </c>
      <c r="Q19" s="5">
        <v>3.0</v>
      </c>
      <c r="R19" s="5">
        <v>7.0</v>
      </c>
      <c r="S19" s="5">
        <v>7.0</v>
      </c>
      <c r="T19" s="5">
        <v>7.0</v>
      </c>
      <c r="U19" s="5">
        <v>1.0</v>
      </c>
      <c r="V19" s="5">
        <v>1.0</v>
      </c>
      <c r="W19" s="5">
        <v>7.0</v>
      </c>
      <c r="X19" s="5">
        <v>7.0</v>
      </c>
      <c r="Y19" s="5">
        <f t="shared" si="1"/>
        <v>1</v>
      </c>
      <c r="Z19" s="5" t="s">
        <v>272</v>
      </c>
      <c r="AA19" s="5" t="s">
        <v>206</v>
      </c>
      <c r="AB19" s="5">
        <v>6.0</v>
      </c>
      <c r="AC19" s="5">
        <v>7.0</v>
      </c>
      <c r="AD19" s="5">
        <v>6.0</v>
      </c>
      <c r="AE19" s="5">
        <v>6.0</v>
      </c>
      <c r="AF19" s="5">
        <v>7.0</v>
      </c>
      <c r="AG19" s="5">
        <v>7.0</v>
      </c>
      <c r="AH19" s="5" t="s">
        <v>273</v>
      </c>
      <c r="AI19" s="5" t="s">
        <v>206</v>
      </c>
      <c r="AJ19" s="5">
        <v>7.0</v>
      </c>
      <c r="AK19" s="5">
        <v>6.0</v>
      </c>
      <c r="AL19" s="5">
        <v>7.0</v>
      </c>
      <c r="AM19" s="5">
        <v>3.0</v>
      </c>
      <c r="AN19" s="5">
        <f t="shared" si="2"/>
        <v>5</v>
      </c>
      <c r="AO19" s="5">
        <v>3.0</v>
      </c>
      <c r="AP19" s="5">
        <f t="shared" si="3"/>
        <v>5</v>
      </c>
      <c r="AQ19" s="5">
        <v>7.0</v>
      </c>
      <c r="AR19" s="5">
        <f t="shared" si="4"/>
        <v>1</v>
      </c>
      <c r="AS19" s="5">
        <v>2.0</v>
      </c>
      <c r="AT19" s="5">
        <f t="shared" si="5"/>
        <v>6</v>
      </c>
      <c r="AU19" s="5" t="s">
        <v>274</v>
      </c>
    </row>
    <row r="20">
      <c r="A20" s="8">
        <f>IFERROR(__xludf.DUMMYFUNCTION("IF(E20="""", """", VALUE(REGEXREPLACE(E20, ""^[Pp]"", """")))"),6.0)</f>
        <v>6</v>
      </c>
      <c r="B20" s="8">
        <v>538.0</v>
      </c>
      <c r="C20" s="7">
        <v>45867.06180555555</v>
      </c>
      <c r="D20" s="5" t="s">
        <v>275</v>
      </c>
      <c r="E20" s="5" t="s">
        <v>258</v>
      </c>
      <c r="F20" s="5" t="s">
        <v>263</v>
      </c>
      <c r="G20" s="6" t="str">
        <f>IFERROR(__xludf.DUMMYFUNCTION("IF(SPLIT(F20,""-"")=""HR"",""High"",""Low"")"),"Low")</f>
        <v>Low</v>
      </c>
      <c r="H20" s="6" t="str">
        <f>IFERROR(__xludf.DUMMYFUNCTION("INDEX(SPLIT(F20, ""-""), 2)"),"VR")</f>
        <v>VR</v>
      </c>
      <c r="I20" s="6">
        <v>3.0</v>
      </c>
      <c r="J20" s="5">
        <v>5.0</v>
      </c>
      <c r="K20" s="5">
        <v>1.0</v>
      </c>
      <c r="L20" s="5" t="s">
        <v>199</v>
      </c>
      <c r="M20" s="5">
        <v>6.0</v>
      </c>
      <c r="N20" s="5">
        <v>7.0</v>
      </c>
      <c r="O20" s="5">
        <v>6.0</v>
      </c>
      <c r="P20" s="5">
        <v>1.0</v>
      </c>
      <c r="Q20" s="5">
        <v>1.0</v>
      </c>
      <c r="R20" s="5">
        <v>7.0</v>
      </c>
      <c r="S20" s="5">
        <v>6.0</v>
      </c>
      <c r="T20" s="5">
        <v>7.0</v>
      </c>
      <c r="U20" s="5">
        <v>2.0</v>
      </c>
      <c r="V20" s="5">
        <v>1.0</v>
      </c>
      <c r="W20" s="5">
        <v>7.0</v>
      </c>
      <c r="X20" s="5">
        <v>1.0</v>
      </c>
      <c r="Y20" s="5">
        <f t="shared" si="1"/>
        <v>7</v>
      </c>
      <c r="Z20" s="5" t="s">
        <v>276</v>
      </c>
      <c r="AA20" s="5" t="s">
        <v>206</v>
      </c>
      <c r="AB20" s="5">
        <v>7.0</v>
      </c>
      <c r="AC20" s="5">
        <v>7.0</v>
      </c>
      <c r="AD20" s="5">
        <v>7.0</v>
      </c>
      <c r="AE20" s="5">
        <v>7.0</v>
      </c>
      <c r="AF20" s="5">
        <v>5.0</v>
      </c>
      <c r="AG20" s="5">
        <v>7.0</v>
      </c>
      <c r="AH20" s="5" t="s">
        <v>277</v>
      </c>
      <c r="AI20" s="5" t="s">
        <v>206</v>
      </c>
      <c r="AJ20" s="5">
        <v>7.0</v>
      </c>
      <c r="AK20" s="5">
        <v>7.0</v>
      </c>
      <c r="AL20" s="5">
        <v>6.0</v>
      </c>
      <c r="AM20" s="5">
        <v>2.0</v>
      </c>
      <c r="AN20" s="5">
        <f t="shared" si="2"/>
        <v>6</v>
      </c>
      <c r="AO20" s="5">
        <v>2.0</v>
      </c>
      <c r="AP20" s="5">
        <f t="shared" si="3"/>
        <v>6</v>
      </c>
      <c r="AQ20" s="5">
        <v>7.0</v>
      </c>
      <c r="AR20" s="5">
        <f t="shared" si="4"/>
        <v>1</v>
      </c>
      <c r="AS20" s="5">
        <v>2.0</v>
      </c>
      <c r="AT20" s="5">
        <f t="shared" si="5"/>
        <v>6</v>
      </c>
      <c r="AU20" s="5" t="s">
        <v>278</v>
      </c>
    </row>
    <row r="21">
      <c r="A21" s="8">
        <f>IFERROR(__xludf.DUMMYFUNCTION("IF(E21="""", """", VALUE(REGEXREPLACE(E21, ""^[Pp]"", """")))"),6.0)</f>
        <v>6</v>
      </c>
      <c r="B21" s="8">
        <v>1656.0</v>
      </c>
      <c r="C21" s="7">
        <v>45867.07361111111</v>
      </c>
      <c r="D21" s="5" t="s">
        <v>279</v>
      </c>
      <c r="E21" s="5" t="s">
        <v>258</v>
      </c>
      <c r="F21" s="5" t="s">
        <v>216</v>
      </c>
      <c r="G21" s="6" t="str">
        <f>IFERROR(__xludf.DUMMYFUNCTION("IF(SPLIT(F21,""-"")=""HR"",""High"",""Low"")"),"Low")</f>
        <v>Low</v>
      </c>
      <c r="H21" s="6" t="str">
        <f>IFERROR(__xludf.DUMMYFUNCTION("INDEX(SPLIT(F21, ""-""), 2)"),"Web")</f>
        <v>Web</v>
      </c>
      <c r="I21" s="6">
        <v>4.0</v>
      </c>
      <c r="J21" s="5">
        <v>7.0</v>
      </c>
      <c r="K21" s="5">
        <v>1.0</v>
      </c>
      <c r="L21" s="5" t="s">
        <v>199</v>
      </c>
      <c r="M21" s="5">
        <v>7.0</v>
      </c>
      <c r="N21" s="5">
        <v>7.0</v>
      </c>
      <c r="O21" s="5">
        <v>7.0</v>
      </c>
      <c r="P21" s="5">
        <v>1.0</v>
      </c>
      <c r="Q21" s="5">
        <v>1.0</v>
      </c>
      <c r="R21" s="5">
        <v>7.0</v>
      </c>
      <c r="S21" s="5">
        <v>7.0</v>
      </c>
      <c r="T21" s="5">
        <v>7.0</v>
      </c>
      <c r="U21" s="5">
        <v>1.0</v>
      </c>
      <c r="V21" s="5">
        <v>1.0</v>
      </c>
      <c r="W21" s="5">
        <v>7.0</v>
      </c>
      <c r="X21" s="5">
        <v>1.0</v>
      </c>
      <c r="Y21" s="5">
        <f t="shared" si="1"/>
        <v>7</v>
      </c>
      <c r="Z21" s="5" t="s">
        <v>280</v>
      </c>
      <c r="AA21" s="5" t="s">
        <v>206</v>
      </c>
      <c r="AB21" s="5">
        <v>7.0</v>
      </c>
      <c r="AC21" s="5">
        <v>6.0</v>
      </c>
      <c r="AD21" s="5">
        <v>7.0</v>
      </c>
      <c r="AE21" s="5">
        <v>7.0</v>
      </c>
      <c r="AF21" s="5">
        <v>6.0</v>
      </c>
      <c r="AG21" s="5">
        <v>7.0</v>
      </c>
      <c r="AH21" s="5" t="s">
        <v>281</v>
      </c>
      <c r="AI21" s="5" t="s">
        <v>206</v>
      </c>
      <c r="AJ21" s="5">
        <v>7.0</v>
      </c>
      <c r="AK21" s="5">
        <v>7.0</v>
      </c>
      <c r="AL21" s="5">
        <v>7.0</v>
      </c>
      <c r="AM21" s="5">
        <v>7.0</v>
      </c>
      <c r="AN21" s="5">
        <f t="shared" si="2"/>
        <v>1</v>
      </c>
      <c r="AO21" s="5">
        <v>7.0</v>
      </c>
      <c r="AP21" s="5">
        <f t="shared" si="3"/>
        <v>1</v>
      </c>
      <c r="AQ21" s="5">
        <v>1.0</v>
      </c>
      <c r="AR21" s="5">
        <f t="shared" si="4"/>
        <v>7</v>
      </c>
      <c r="AS21" s="5">
        <v>7.0</v>
      </c>
      <c r="AT21" s="5">
        <f t="shared" si="5"/>
        <v>1</v>
      </c>
      <c r="AU21" s="5" t="s">
        <v>282</v>
      </c>
    </row>
    <row r="22">
      <c r="A22" s="8">
        <f>IFERROR(__xludf.DUMMYFUNCTION("IF(E22="""", """", VALUE(REGEXREPLACE(E22, ""^[Pp]"", """")))"),7.0)</f>
        <v>7</v>
      </c>
      <c r="B22" s="8">
        <v>797.0</v>
      </c>
      <c r="C22" s="7">
        <v>45867.095138888886</v>
      </c>
      <c r="D22" s="5" t="s">
        <v>283</v>
      </c>
      <c r="E22" s="5" t="s">
        <v>284</v>
      </c>
      <c r="F22" s="5" t="s">
        <v>263</v>
      </c>
      <c r="G22" s="6" t="str">
        <f>IFERROR(__xludf.DUMMYFUNCTION("IF(SPLIT(F22,""-"")=""HR"",""High"",""Low"")"),"Low")</f>
        <v>Low</v>
      </c>
      <c r="H22" s="6" t="str">
        <f>IFERROR(__xludf.DUMMYFUNCTION("INDEX(SPLIT(F22, ""-""), 2)"),"VR")</f>
        <v>VR</v>
      </c>
      <c r="I22" s="6">
        <v>1.0</v>
      </c>
      <c r="J22" s="5">
        <v>5.0</v>
      </c>
      <c r="K22" s="5">
        <v>6.0</v>
      </c>
      <c r="L22" s="5" t="s">
        <v>199</v>
      </c>
      <c r="M22" s="5">
        <v>6.0</v>
      </c>
      <c r="N22" s="5">
        <v>2.0</v>
      </c>
      <c r="O22" s="5">
        <v>2.0</v>
      </c>
      <c r="P22" s="5">
        <v>6.0</v>
      </c>
      <c r="Q22" s="5">
        <v>3.0</v>
      </c>
      <c r="R22" s="5">
        <v>6.0</v>
      </c>
      <c r="S22" s="5">
        <v>6.0</v>
      </c>
      <c r="T22" s="5">
        <v>3.0</v>
      </c>
      <c r="U22" s="5">
        <v>2.0</v>
      </c>
      <c r="V22" s="5">
        <v>6.0</v>
      </c>
      <c r="W22" s="5">
        <v>6.0</v>
      </c>
      <c r="X22" s="5">
        <v>5.0</v>
      </c>
      <c r="Y22" s="5">
        <f t="shared" si="1"/>
        <v>3</v>
      </c>
      <c r="Z22" s="5" t="s">
        <v>285</v>
      </c>
      <c r="AA22" s="5" t="s">
        <v>206</v>
      </c>
      <c r="AB22" s="5">
        <v>4.0</v>
      </c>
      <c r="AC22" s="5">
        <v>6.0</v>
      </c>
      <c r="AD22" s="5">
        <v>6.0</v>
      </c>
      <c r="AE22" s="5">
        <v>6.0</v>
      </c>
      <c r="AF22" s="5">
        <v>5.0</v>
      </c>
      <c r="AG22" s="5">
        <v>2.0</v>
      </c>
      <c r="AH22" s="5" t="s">
        <v>286</v>
      </c>
      <c r="AI22" s="5" t="s">
        <v>206</v>
      </c>
      <c r="AJ22" s="5">
        <v>6.0</v>
      </c>
      <c r="AK22" s="5">
        <v>3.0</v>
      </c>
      <c r="AL22" s="5">
        <v>6.0</v>
      </c>
      <c r="AM22" s="5">
        <v>1.0</v>
      </c>
      <c r="AN22" s="5">
        <f t="shared" si="2"/>
        <v>7</v>
      </c>
      <c r="AO22" s="5">
        <v>2.0</v>
      </c>
      <c r="AP22" s="5">
        <f t="shared" si="3"/>
        <v>6</v>
      </c>
      <c r="AQ22" s="5">
        <v>5.0</v>
      </c>
      <c r="AR22" s="5">
        <f t="shared" si="4"/>
        <v>3</v>
      </c>
      <c r="AS22" s="5">
        <v>1.0</v>
      </c>
      <c r="AT22" s="5">
        <f t="shared" si="5"/>
        <v>7</v>
      </c>
      <c r="AU22" s="5" t="s">
        <v>287</v>
      </c>
    </row>
    <row r="23">
      <c r="A23" s="8">
        <f>IFERROR(__xludf.DUMMYFUNCTION("IF(E23="""", """", VALUE(REGEXREPLACE(E23, ""^[Pp]"", """")))"),7.0)</f>
        <v>7</v>
      </c>
      <c r="B23" s="8">
        <v>986.0</v>
      </c>
      <c r="C23" s="7">
        <v>45867.10902777778</v>
      </c>
      <c r="D23" s="5" t="s">
        <v>293</v>
      </c>
      <c r="E23" s="5" t="s">
        <v>284</v>
      </c>
      <c r="F23" s="5" t="s">
        <v>211</v>
      </c>
      <c r="G23" s="6" t="str">
        <f>IFERROR(__xludf.DUMMYFUNCTION("IF(SPLIT(F23,""-"")=""HR"",""High"",""Low"")"),"High")</f>
        <v>High</v>
      </c>
      <c r="H23" s="6" t="str">
        <f>IFERROR(__xludf.DUMMYFUNCTION("INDEX(SPLIT(F23, ""-""), 2)"),"Web")</f>
        <v>Web</v>
      </c>
      <c r="I23" s="6">
        <v>2.0</v>
      </c>
      <c r="J23" s="5">
        <v>3.0</v>
      </c>
      <c r="K23" s="5">
        <v>3.0</v>
      </c>
      <c r="L23" s="5" t="s">
        <v>199</v>
      </c>
      <c r="M23" s="5">
        <v>5.0</v>
      </c>
      <c r="N23" s="5">
        <v>5.0</v>
      </c>
      <c r="O23" s="5">
        <v>2.0</v>
      </c>
      <c r="P23" s="5">
        <v>3.0</v>
      </c>
      <c r="Q23" s="5">
        <v>3.0</v>
      </c>
      <c r="R23" s="5">
        <v>6.0</v>
      </c>
      <c r="S23" s="5">
        <v>5.0</v>
      </c>
      <c r="T23" s="5">
        <v>6.0</v>
      </c>
      <c r="U23" s="5">
        <v>2.0</v>
      </c>
      <c r="V23" s="5">
        <v>3.0</v>
      </c>
      <c r="W23" s="5">
        <v>6.0</v>
      </c>
      <c r="X23" s="5">
        <v>6.0</v>
      </c>
      <c r="Y23" s="5">
        <f t="shared" si="1"/>
        <v>2</v>
      </c>
      <c r="Z23" s="5" t="s">
        <v>294</v>
      </c>
      <c r="AA23" s="5" t="s">
        <v>206</v>
      </c>
      <c r="AB23" s="5">
        <v>3.0</v>
      </c>
      <c r="AC23" s="5">
        <v>5.0</v>
      </c>
      <c r="AD23" s="5">
        <v>5.0</v>
      </c>
      <c r="AE23" s="5">
        <v>5.0</v>
      </c>
      <c r="AF23" s="5">
        <v>5.0</v>
      </c>
      <c r="AG23" s="5">
        <v>5.0</v>
      </c>
      <c r="AH23" s="5" t="s">
        <v>295</v>
      </c>
      <c r="AI23" s="5" t="s">
        <v>206</v>
      </c>
      <c r="AJ23" s="5">
        <v>5.0</v>
      </c>
      <c r="AK23" s="5">
        <v>5.0</v>
      </c>
      <c r="AL23" s="5">
        <v>5.0</v>
      </c>
      <c r="AM23" s="5">
        <v>2.0</v>
      </c>
      <c r="AN23" s="5">
        <f t="shared" si="2"/>
        <v>6</v>
      </c>
      <c r="AO23" s="5">
        <v>2.0</v>
      </c>
      <c r="AP23" s="5">
        <f t="shared" si="3"/>
        <v>6</v>
      </c>
      <c r="AQ23" s="5">
        <v>2.0</v>
      </c>
      <c r="AR23" s="5">
        <f t="shared" si="4"/>
        <v>6</v>
      </c>
      <c r="AS23" s="5">
        <v>1.0</v>
      </c>
      <c r="AT23" s="5">
        <f t="shared" si="5"/>
        <v>7</v>
      </c>
      <c r="AU23" s="5" t="s">
        <v>296</v>
      </c>
    </row>
    <row r="24">
      <c r="A24" s="8">
        <f>IFERROR(__xludf.DUMMYFUNCTION("IF(E24="""", """", VALUE(REGEXREPLACE(E24, ""^[Pp]"", """")))"),7.0)</f>
        <v>7</v>
      </c>
      <c r="B24" s="8">
        <v>845.0</v>
      </c>
      <c r="C24" s="7">
        <v>45867.11944444444</v>
      </c>
      <c r="D24" s="5" t="s">
        <v>301</v>
      </c>
      <c r="E24" s="5" t="s">
        <v>284</v>
      </c>
      <c r="F24" s="5" t="s">
        <v>216</v>
      </c>
      <c r="G24" s="6" t="str">
        <f>IFERROR(__xludf.DUMMYFUNCTION("IF(SPLIT(F24,""-"")=""HR"",""High"",""Low"")"),"Low")</f>
        <v>Low</v>
      </c>
      <c r="H24" s="6" t="str">
        <f>IFERROR(__xludf.DUMMYFUNCTION("INDEX(SPLIT(F24, ""-""), 2)"),"Web")</f>
        <v>Web</v>
      </c>
      <c r="I24" s="6">
        <v>3.0</v>
      </c>
      <c r="J24" s="5">
        <v>3.0</v>
      </c>
      <c r="K24" s="5">
        <v>2.0</v>
      </c>
      <c r="L24" s="5" t="s">
        <v>199</v>
      </c>
      <c r="M24" s="5">
        <v>5.0</v>
      </c>
      <c r="N24" s="5">
        <v>3.0</v>
      </c>
      <c r="O24" s="5">
        <v>3.0</v>
      </c>
      <c r="P24" s="5">
        <v>3.0</v>
      </c>
      <c r="Q24" s="5">
        <v>3.0</v>
      </c>
      <c r="R24" s="5">
        <v>6.0</v>
      </c>
      <c r="S24" s="5">
        <v>6.0</v>
      </c>
      <c r="T24" s="5">
        <v>6.0</v>
      </c>
      <c r="U24" s="5">
        <v>2.0</v>
      </c>
      <c r="V24" s="5">
        <v>3.0</v>
      </c>
      <c r="W24" s="5">
        <v>6.0</v>
      </c>
      <c r="X24" s="5">
        <v>5.0</v>
      </c>
      <c r="Y24" s="5">
        <f t="shared" si="1"/>
        <v>3</v>
      </c>
      <c r="Z24" s="5" t="s">
        <v>302</v>
      </c>
      <c r="AA24" s="5" t="s">
        <v>206</v>
      </c>
      <c r="AB24" s="5">
        <v>5.0</v>
      </c>
      <c r="AC24" s="5">
        <v>6.0</v>
      </c>
      <c r="AD24" s="5">
        <v>6.0</v>
      </c>
      <c r="AE24" s="5">
        <v>6.0</v>
      </c>
      <c r="AF24" s="5">
        <v>5.0</v>
      </c>
      <c r="AG24" s="5">
        <v>5.0</v>
      </c>
      <c r="AH24" s="5" t="s">
        <v>303</v>
      </c>
      <c r="AI24" s="5" t="s">
        <v>206</v>
      </c>
      <c r="AJ24" s="5">
        <v>6.0</v>
      </c>
      <c r="AK24" s="5">
        <v>6.0</v>
      </c>
      <c r="AL24" s="5">
        <v>3.0</v>
      </c>
      <c r="AM24" s="5">
        <v>2.0</v>
      </c>
      <c r="AN24" s="5">
        <f t="shared" si="2"/>
        <v>6</v>
      </c>
      <c r="AO24" s="5">
        <v>2.0</v>
      </c>
      <c r="AP24" s="5">
        <f t="shared" si="3"/>
        <v>6</v>
      </c>
      <c r="AQ24" s="5">
        <v>2.0</v>
      </c>
      <c r="AR24" s="5">
        <f t="shared" si="4"/>
        <v>6</v>
      </c>
      <c r="AS24" s="5">
        <v>1.0</v>
      </c>
      <c r="AT24" s="5">
        <f t="shared" si="5"/>
        <v>7</v>
      </c>
      <c r="AU24" s="5" t="s">
        <v>304</v>
      </c>
    </row>
    <row r="25">
      <c r="A25" s="8">
        <f>IFERROR(__xludf.DUMMYFUNCTION("IF(E25="""", """", VALUE(REGEXREPLACE(E25, ""^[Pp]"", """")))"),7.0)</f>
        <v>7</v>
      </c>
      <c r="B25" s="8">
        <v>559.0</v>
      </c>
      <c r="C25" s="7">
        <v>45867.131944444445</v>
      </c>
      <c r="D25" s="5" t="s">
        <v>313</v>
      </c>
      <c r="E25" s="5" t="s">
        <v>284</v>
      </c>
      <c r="F25" s="5" t="s">
        <v>197</v>
      </c>
      <c r="G25" s="6" t="str">
        <f>IFERROR(__xludf.DUMMYFUNCTION("IF(SPLIT(F25,""-"")=""HR"",""High"",""Low"")"),"High")</f>
        <v>High</v>
      </c>
      <c r="H25" s="6" t="str">
        <f>IFERROR(__xludf.DUMMYFUNCTION("INDEX(SPLIT(F25, ""-""), 2)"),"VR")</f>
        <v>VR</v>
      </c>
      <c r="I25" s="6">
        <v>4.0</v>
      </c>
      <c r="J25" s="5">
        <v>6.0</v>
      </c>
      <c r="K25" s="6">
        <v>4.0</v>
      </c>
      <c r="L25" s="5" t="s">
        <v>199</v>
      </c>
      <c r="M25" s="5">
        <v>5.0</v>
      </c>
      <c r="N25" s="5">
        <v>6.0</v>
      </c>
      <c r="O25" s="5">
        <v>2.0</v>
      </c>
      <c r="P25" s="5">
        <v>3.0</v>
      </c>
      <c r="Q25" s="5">
        <v>2.0</v>
      </c>
      <c r="R25" s="5">
        <v>6.0</v>
      </c>
      <c r="S25" s="5">
        <v>6.0</v>
      </c>
      <c r="T25" s="5">
        <v>6.0</v>
      </c>
      <c r="U25" s="5">
        <v>2.0</v>
      </c>
      <c r="V25" s="5">
        <v>2.0</v>
      </c>
      <c r="W25" s="5">
        <v>2.0</v>
      </c>
      <c r="X25" s="5">
        <v>5.0</v>
      </c>
      <c r="Y25" s="5">
        <f t="shared" si="1"/>
        <v>3</v>
      </c>
      <c r="Z25" s="5" t="s">
        <v>314</v>
      </c>
      <c r="AA25" s="5" t="s">
        <v>206</v>
      </c>
      <c r="AB25" s="5">
        <v>6.0</v>
      </c>
      <c r="AC25" s="5">
        <v>6.0</v>
      </c>
      <c r="AD25" s="5">
        <v>6.0</v>
      </c>
      <c r="AE25" s="5">
        <v>6.0</v>
      </c>
      <c r="AF25" s="5">
        <v>6.0</v>
      </c>
      <c r="AG25" s="5">
        <v>5.0</v>
      </c>
      <c r="AH25" s="5" t="s">
        <v>315</v>
      </c>
      <c r="AI25" s="5" t="s">
        <v>206</v>
      </c>
      <c r="AJ25" s="5">
        <v>6.0</v>
      </c>
      <c r="AK25" s="5">
        <v>6.0</v>
      </c>
      <c r="AL25" s="5">
        <v>5.0</v>
      </c>
      <c r="AM25" s="5">
        <v>2.0</v>
      </c>
      <c r="AN25" s="5">
        <f t="shared" si="2"/>
        <v>6</v>
      </c>
      <c r="AO25" s="5">
        <v>4.0</v>
      </c>
      <c r="AP25" s="5">
        <f t="shared" si="3"/>
        <v>4</v>
      </c>
      <c r="AQ25" s="5">
        <v>5.0</v>
      </c>
      <c r="AR25" s="5">
        <f t="shared" si="4"/>
        <v>3</v>
      </c>
      <c r="AS25" s="5">
        <v>2.0</v>
      </c>
      <c r="AT25" s="5">
        <f t="shared" si="5"/>
        <v>6</v>
      </c>
      <c r="AU25" s="5" t="s">
        <v>316</v>
      </c>
    </row>
    <row r="26">
      <c r="A26" s="8">
        <f>IFERROR(__xludf.DUMMYFUNCTION("IF(E26="""", """", VALUE(REGEXREPLACE(E26, ""^[Pp]"", """")))"),8.0)</f>
        <v>8</v>
      </c>
      <c r="B26" s="8">
        <v>1356.0</v>
      </c>
      <c r="C26" s="7">
        <v>45867.09652777778</v>
      </c>
      <c r="D26" s="5" t="s">
        <v>288</v>
      </c>
      <c r="E26" s="5" t="s">
        <v>289</v>
      </c>
      <c r="F26" s="5" t="s">
        <v>216</v>
      </c>
      <c r="G26" s="6" t="str">
        <f>IFERROR(__xludf.DUMMYFUNCTION("IF(SPLIT(F26,""-"")=""HR"",""High"",""Low"")"),"Low")</f>
        <v>Low</v>
      </c>
      <c r="H26" s="6" t="str">
        <f>IFERROR(__xludf.DUMMYFUNCTION("INDEX(SPLIT(F26, ""-""), 2)"),"Web")</f>
        <v>Web</v>
      </c>
      <c r="I26" s="6">
        <v>1.0</v>
      </c>
      <c r="J26" s="5">
        <v>6.0</v>
      </c>
      <c r="K26" s="5">
        <v>5.0</v>
      </c>
      <c r="L26" s="5" t="s">
        <v>199</v>
      </c>
      <c r="M26" s="5">
        <v>6.0</v>
      </c>
      <c r="N26" s="5">
        <v>7.0</v>
      </c>
      <c r="O26" s="5">
        <v>6.0</v>
      </c>
      <c r="P26" s="5">
        <v>4.0</v>
      </c>
      <c r="Q26" s="5">
        <v>6.0</v>
      </c>
      <c r="R26" s="5">
        <v>6.0</v>
      </c>
      <c r="S26" s="5">
        <v>6.0</v>
      </c>
      <c r="T26" s="5">
        <v>7.0</v>
      </c>
      <c r="U26" s="5">
        <v>2.0</v>
      </c>
      <c r="V26" s="5">
        <v>2.0</v>
      </c>
      <c r="W26" s="5">
        <v>7.0</v>
      </c>
      <c r="X26" s="5">
        <v>4.0</v>
      </c>
      <c r="Y26" s="5">
        <f t="shared" si="1"/>
        <v>4</v>
      </c>
      <c r="Z26" s="5" t="s">
        <v>290</v>
      </c>
      <c r="AA26" s="5" t="s">
        <v>206</v>
      </c>
      <c r="AB26" s="5">
        <v>4.0</v>
      </c>
      <c r="AC26" s="5">
        <v>5.0</v>
      </c>
      <c r="AD26" s="5">
        <v>6.0</v>
      </c>
      <c r="AE26" s="5">
        <v>5.0</v>
      </c>
      <c r="AF26" s="5">
        <v>6.0</v>
      </c>
      <c r="AG26" s="5">
        <v>6.0</v>
      </c>
      <c r="AH26" s="5" t="s">
        <v>291</v>
      </c>
      <c r="AI26" s="5" t="s">
        <v>206</v>
      </c>
      <c r="AJ26" s="5">
        <v>6.0</v>
      </c>
      <c r="AK26" s="5">
        <v>7.0</v>
      </c>
      <c r="AL26" s="5">
        <v>7.0</v>
      </c>
      <c r="AM26" s="5">
        <v>1.0</v>
      </c>
      <c r="AN26" s="5">
        <f t="shared" si="2"/>
        <v>7</v>
      </c>
      <c r="AO26" s="5">
        <v>1.0</v>
      </c>
      <c r="AP26" s="5">
        <f t="shared" si="3"/>
        <v>7</v>
      </c>
      <c r="AQ26" s="5">
        <v>1.0</v>
      </c>
      <c r="AR26" s="5">
        <f t="shared" si="4"/>
        <v>7</v>
      </c>
      <c r="AS26" s="5">
        <v>1.0</v>
      </c>
      <c r="AT26" s="5">
        <f t="shared" si="5"/>
        <v>7</v>
      </c>
      <c r="AU26" s="5" t="s">
        <v>292</v>
      </c>
    </row>
    <row r="27">
      <c r="A27" s="8">
        <f>IFERROR(__xludf.DUMMYFUNCTION("IF(E27="""", """", VALUE(REGEXREPLACE(E27, ""^[Pp]"", """")))"),8.0)</f>
        <v>8</v>
      </c>
      <c r="B27" s="8">
        <v>401.0</v>
      </c>
      <c r="C27" s="7">
        <v>45867.11041666667</v>
      </c>
      <c r="D27" s="5" t="s">
        <v>297</v>
      </c>
      <c r="E27" s="5" t="s">
        <v>289</v>
      </c>
      <c r="F27" s="5" t="s">
        <v>197</v>
      </c>
      <c r="G27" s="6" t="str">
        <f>IFERROR(__xludf.DUMMYFUNCTION("IF(SPLIT(F27,""-"")=""HR"",""High"",""Low"")"),"High")</f>
        <v>High</v>
      </c>
      <c r="H27" s="6" t="str">
        <f>IFERROR(__xludf.DUMMYFUNCTION("INDEX(SPLIT(F27, ""-""), 2)"),"VR")</f>
        <v>VR</v>
      </c>
      <c r="I27" s="6">
        <v>2.0</v>
      </c>
      <c r="J27" s="5">
        <v>7.0</v>
      </c>
      <c r="K27" s="5">
        <v>6.0</v>
      </c>
      <c r="L27" s="5" t="s">
        <v>199</v>
      </c>
      <c r="M27" s="5">
        <v>6.0</v>
      </c>
      <c r="N27" s="5">
        <v>7.0</v>
      </c>
      <c r="O27" s="5">
        <v>5.0</v>
      </c>
      <c r="P27" s="5">
        <v>7.0</v>
      </c>
      <c r="Q27" s="5">
        <v>7.0</v>
      </c>
      <c r="R27" s="5">
        <v>7.0</v>
      </c>
      <c r="S27" s="5">
        <v>6.0</v>
      </c>
      <c r="T27" s="5">
        <v>6.0</v>
      </c>
      <c r="U27" s="5">
        <v>3.0</v>
      </c>
      <c r="V27" s="5">
        <v>4.0</v>
      </c>
      <c r="W27" s="5">
        <v>7.0</v>
      </c>
      <c r="X27" s="5">
        <v>6.0</v>
      </c>
      <c r="Y27" s="5">
        <f t="shared" si="1"/>
        <v>2</v>
      </c>
      <c r="Z27" s="5" t="s">
        <v>298</v>
      </c>
      <c r="AA27" s="5" t="s">
        <v>206</v>
      </c>
      <c r="AB27" s="5">
        <v>6.0</v>
      </c>
      <c r="AC27" s="5">
        <v>6.0</v>
      </c>
      <c r="AD27" s="5">
        <v>7.0</v>
      </c>
      <c r="AE27" s="5">
        <v>7.0</v>
      </c>
      <c r="AF27" s="5">
        <v>7.0</v>
      </c>
      <c r="AG27" s="5">
        <v>5.0</v>
      </c>
      <c r="AH27" s="5" t="s">
        <v>299</v>
      </c>
      <c r="AI27" s="5" t="s">
        <v>206</v>
      </c>
      <c r="AJ27" s="5">
        <v>6.0</v>
      </c>
      <c r="AK27" s="5">
        <v>5.0</v>
      </c>
      <c r="AL27" s="5">
        <v>7.0</v>
      </c>
      <c r="AM27" s="5">
        <v>2.0</v>
      </c>
      <c r="AN27" s="5">
        <f t="shared" si="2"/>
        <v>6</v>
      </c>
      <c r="AO27" s="5">
        <v>1.0</v>
      </c>
      <c r="AP27" s="5">
        <f t="shared" si="3"/>
        <v>7</v>
      </c>
      <c r="AQ27" s="5">
        <v>3.0</v>
      </c>
      <c r="AR27" s="5">
        <f t="shared" si="4"/>
        <v>5</v>
      </c>
      <c r="AS27" s="5">
        <v>2.0</v>
      </c>
      <c r="AT27" s="5">
        <f t="shared" si="5"/>
        <v>6</v>
      </c>
      <c r="AU27" s="5" t="s">
        <v>300</v>
      </c>
    </row>
    <row r="28">
      <c r="A28" s="8">
        <f>IFERROR(__xludf.DUMMYFUNCTION("IF(E28="""", """", VALUE(REGEXREPLACE(E28, ""^[Pp]"", """")))"),8.0)</f>
        <v>8</v>
      </c>
      <c r="B28" s="8">
        <v>341.0</v>
      </c>
      <c r="C28" s="7">
        <v>45867.12013888889</v>
      </c>
      <c r="D28" s="5" t="s">
        <v>305</v>
      </c>
      <c r="E28" s="5" t="s">
        <v>289</v>
      </c>
      <c r="F28" s="5" t="s">
        <v>263</v>
      </c>
      <c r="G28" s="6" t="str">
        <f>IFERROR(__xludf.DUMMYFUNCTION("IF(SPLIT(F28,""-"")=""HR"",""High"",""Low"")"),"Low")</f>
        <v>Low</v>
      </c>
      <c r="H28" s="6" t="str">
        <f>IFERROR(__xludf.DUMMYFUNCTION("INDEX(SPLIT(F28, ""-""), 2)"),"VR")</f>
        <v>VR</v>
      </c>
      <c r="I28" s="6">
        <v>3.0</v>
      </c>
      <c r="J28" s="5">
        <v>7.0</v>
      </c>
      <c r="K28" s="5">
        <v>5.0</v>
      </c>
      <c r="L28" s="5" t="s">
        <v>199</v>
      </c>
      <c r="M28" s="5">
        <v>7.0</v>
      </c>
      <c r="N28" s="5">
        <v>7.0</v>
      </c>
      <c r="O28" s="5">
        <v>7.0</v>
      </c>
      <c r="P28" s="5">
        <v>5.0</v>
      </c>
      <c r="Q28" s="5">
        <v>7.0</v>
      </c>
      <c r="R28" s="5">
        <v>6.0</v>
      </c>
      <c r="S28" s="5">
        <v>6.0</v>
      </c>
      <c r="T28" s="5">
        <v>5.0</v>
      </c>
      <c r="U28" s="5">
        <v>6.0</v>
      </c>
      <c r="V28" s="5">
        <v>4.0</v>
      </c>
      <c r="W28" s="5">
        <v>6.0</v>
      </c>
      <c r="X28" s="5">
        <v>2.0</v>
      </c>
      <c r="Y28" s="5">
        <f t="shared" si="1"/>
        <v>6</v>
      </c>
      <c r="Z28" s="5" t="s">
        <v>306</v>
      </c>
      <c r="AA28" s="5" t="s">
        <v>206</v>
      </c>
      <c r="AB28" s="5">
        <v>6.0</v>
      </c>
      <c r="AC28" s="5">
        <v>7.0</v>
      </c>
      <c r="AD28" s="5">
        <v>7.0</v>
      </c>
      <c r="AE28" s="5">
        <v>7.0</v>
      </c>
      <c r="AF28" s="5">
        <v>7.0</v>
      </c>
      <c r="AG28" s="5">
        <v>6.0</v>
      </c>
      <c r="AH28" s="5" t="s">
        <v>307</v>
      </c>
      <c r="AI28" s="5" t="s">
        <v>206</v>
      </c>
      <c r="AJ28" s="5">
        <v>7.0</v>
      </c>
      <c r="AK28" s="5">
        <v>6.0</v>
      </c>
      <c r="AL28" s="5">
        <v>7.0</v>
      </c>
      <c r="AM28" s="5">
        <v>2.0</v>
      </c>
      <c r="AN28" s="5">
        <f t="shared" si="2"/>
        <v>6</v>
      </c>
      <c r="AO28" s="5">
        <v>1.0</v>
      </c>
      <c r="AP28" s="5">
        <f t="shared" si="3"/>
        <v>7</v>
      </c>
      <c r="AQ28" s="5">
        <v>1.0</v>
      </c>
      <c r="AR28" s="5">
        <f t="shared" si="4"/>
        <v>7</v>
      </c>
      <c r="AS28" s="5">
        <v>1.0</v>
      </c>
      <c r="AT28" s="5">
        <f t="shared" si="5"/>
        <v>7</v>
      </c>
      <c r="AU28" s="5" t="s">
        <v>308</v>
      </c>
    </row>
    <row r="29">
      <c r="A29" s="8">
        <f>IFERROR(__xludf.DUMMYFUNCTION("IF(E29="""", """", VALUE(REGEXREPLACE(E29, ""^[Pp]"", """")))"),8.0)</f>
        <v>8</v>
      </c>
      <c r="B29" s="8">
        <v>465.0</v>
      </c>
      <c r="C29" s="7">
        <v>45867.12847222222</v>
      </c>
      <c r="D29" s="5" t="s">
        <v>309</v>
      </c>
      <c r="E29" s="5" t="s">
        <v>289</v>
      </c>
      <c r="F29" s="5" t="s">
        <v>216</v>
      </c>
      <c r="G29" s="6" t="str">
        <f>IFERROR(__xludf.DUMMYFUNCTION("IF(SPLIT(F29,""-"")=""HR"",""High"",""Low"")"),"Low")</f>
        <v>Low</v>
      </c>
      <c r="H29" s="6" t="str">
        <f>IFERROR(__xludf.DUMMYFUNCTION("INDEX(SPLIT(F29, ""-""), 2)"),"Web")</f>
        <v>Web</v>
      </c>
      <c r="I29" s="6">
        <v>4.0</v>
      </c>
      <c r="J29" s="5">
        <v>7.0</v>
      </c>
      <c r="K29" s="5">
        <v>6.0</v>
      </c>
      <c r="L29" s="5" t="s">
        <v>199</v>
      </c>
      <c r="M29" s="5">
        <v>7.0</v>
      </c>
      <c r="N29" s="5">
        <v>7.0</v>
      </c>
      <c r="O29" s="5">
        <v>6.0</v>
      </c>
      <c r="P29" s="5">
        <v>7.0</v>
      </c>
      <c r="Q29" s="5">
        <v>7.0</v>
      </c>
      <c r="R29" s="5">
        <v>7.0</v>
      </c>
      <c r="S29" s="5">
        <v>7.0</v>
      </c>
      <c r="T29" s="5">
        <v>7.0</v>
      </c>
      <c r="U29" s="5">
        <v>6.0</v>
      </c>
      <c r="V29" s="5">
        <v>4.0</v>
      </c>
      <c r="W29" s="5">
        <v>7.0</v>
      </c>
      <c r="X29" s="5">
        <v>6.0</v>
      </c>
      <c r="Y29" s="5">
        <f t="shared" si="1"/>
        <v>2</v>
      </c>
      <c r="Z29" s="5" t="s">
        <v>310</v>
      </c>
      <c r="AA29" s="5" t="s">
        <v>206</v>
      </c>
      <c r="AB29" s="5">
        <v>7.0</v>
      </c>
      <c r="AC29" s="5">
        <v>6.0</v>
      </c>
      <c r="AD29" s="5">
        <v>6.0</v>
      </c>
      <c r="AE29" s="5">
        <v>6.0</v>
      </c>
      <c r="AF29" s="5">
        <v>7.0</v>
      </c>
      <c r="AG29" s="5">
        <v>6.0</v>
      </c>
      <c r="AH29" s="5" t="s">
        <v>311</v>
      </c>
      <c r="AI29" s="5" t="s">
        <v>206</v>
      </c>
      <c r="AJ29" s="5">
        <v>6.0</v>
      </c>
      <c r="AK29" s="5">
        <v>7.0</v>
      </c>
      <c r="AL29" s="5">
        <v>7.0</v>
      </c>
      <c r="AM29" s="5">
        <v>1.0</v>
      </c>
      <c r="AN29" s="5">
        <f t="shared" si="2"/>
        <v>7</v>
      </c>
      <c r="AO29" s="5">
        <v>1.0</v>
      </c>
      <c r="AP29" s="5">
        <f t="shared" si="3"/>
        <v>7</v>
      </c>
      <c r="AQ29" s="5">
        <v>1.0</v>
      </c>
      <c r="AR29" s="5">
        <f t="shared" si="4"/>
        <v>7</v>
      </c>
      <c r="AS29" s="5">
        <v>1.0</v>
      </c>
      <c r="AT29" s="5">
        <f t="shared" si="5"/>
        <v>7</v>
      </c>
      <c r="AU29" s="5" t="s">
        <v>312</v>
      </c>
    </row>
    <row r="30">
      <c r="A30" s="8">
        <f>IFERROR(__xludf.DUMMYFUNCTION("IF(E30="""", """", VALUE(REGEXREPLACE(E30, ""^[Pp]"", """")))"),9.0)</f>
        <v>9</v>
      </c>
      <c r="B30" s="8">
        <v>845.0</v>
      </c>
      <c r="C30" s="7">
        <v>45867.2125</v>
      </c>
      <c r="D30" s="5" t="s">
        <v>317</v>
      </c>
      <c r="E30" s="5" t="s">
        <v>318</v>
      </c>
      <c r="F30" s="5" t="s">
        <v>197</v>
      </c>
      <c r="G30" s="6" t="str">
        <f>IFERROR(__xludf.DUMMYFUNCTION("IF(SPLIT(F30,""-"")=""HR"",""High"",""Low"")"),"High")</f>
        <v>High</v>
      </c>
      <c r="H30" s="6" t="str">
        <f>IFERROR(__xludf.DUMMYFUNCTION("INDEX(SPLIT(F30, ""-""), 2)"),"VR")</f>
        <v>VR</v>
      </c>
      <c r="I30" s="6">
        <v>1.0</v>
      </c>
      <c r="J30" s="5">
        <v>3.0</v>
      </c>
      <c r="K30" s="5">
        <v>2.0</v>
      </c>
      <c r="L30" s="5" t="s">
        <v>199</v>
      </c>
      <c r="M30" s="5">
        <v>3.0</v>
      </c>
      <c r="N30" s="5">
        <v>5.0</v>
      </c>
      <c r="O30" s="5">
        <v>3.0</v>
      </c>
      <c r="P30" s="5">
        <v>4.0</v>
      </c>
      <c r="Q30" s="5">
        <v>3.0</v>
      </c>
      <c r="R30" s="5">
        <v>5.0</v>
      </c>
      <c r="S30" s="5">
        <v>6.0</v>
      </c>
      <c r="T30" s="5">
        <v>4.0</v>
      </c>
      <c r="U30" s="5">
        <v>2.0</v>
      </c>
      <c r="V30" s="5">
        <v>1.0</v>
      </c>
      <c r="W30" s="5">
        <v>4.0</v>
      </c>
      <c r="X30" s="5">
        <v>6.0</v>
      </c>
      <c r="Y30" s="5">
        <f t="shared" si="1"/>
        <v>2</v>
      </c>
      <c r="Z30" s="5" t="s">
        <v>319</v>
      </c>
      <c r="AA30" s="5" t="s">
        <v>206</v>
      </c>
      <c r="AB30" s="5">
        <v>3.0</v>
      </c>
      <c r="AC30" s="5">
        <v>5.0</v>
      </c>
      <c r="AD30" s="5">
        <v>5.0</v>
      </c>
      <c r="AE30" s="5">
        <v>6.0</v>
      </c>
      <c r="AF30" s="5">
        <v>5.0</v>
      </c>
      <c r="AG30" s="5">
        <v>6.0</v>
      </c>
      <c r="AH30" s="5" t="s">
        <v>320</v>
      </c>
      <c r="AI30" s="5" t="s">
        <v>206</v>
      </c>
      <c r="AJ30" s="5">
        <v>5.0</v>
      </c>
      <c r="AK30" s="5">
        <v>6.0</v>
      </c>
      <c r="AL30" s="5">
        <v>6.0</v>
      </c>
      <c r="AM30" s="5">
        <v>1.0</v>
      </c>
      <c r="AN30" s="5">
        <f t="shared" si="2"/>
        <v>7</v>
      </c>
      <c r="AO30" s="5">
        <v>1.0</v>
      </c>
      <c r="AP30" s="5">
        <f t="shared" si="3"/>
        <v>7</v>
      </c>
      <c r="AQ30" s="5">
        <v>1.0</v>
      </c>
      <c r="AR30" s="5">
        <f t="shared" si="4"/>
        <v>7</v>
      </c>
      <c r="AS30" s="5">
        <v>1.0</v>
      </c>
      <c r="AT30" s="5">
        <f t="shared" si="5"/>
        <v>7</v>
      </c>
      <c r="AU30" s="5" t="s">
        <v>321</v>
      </c>
    </row>
    <row r="31">
      <c r="A31" s="8">
        <f>IFERROR(__xludf.DUMMYFUNCTION("IF(E31="""", """", VALUE(REGEXREPLACE(E31, ""^[Pp]"", """")))"),9.0)</f>
        <v>9</v>
      </c>
      <c r="B31" s="8">
        <v>353.0</v>
      </c>
      <c r="C31" s="7">
        <v>45867.22222222222</v>
      </c>
      <c r="D31" s="5" t="s">
        <v>322</v>
      </c>
      <c r="E31" s="5" t="s">
        <v>318</v>
      </c>
      <c r="F31" s="5" t="s">
        <v>211</v>
      </c>
      <c r="G31" s="6" t="str">
        <f>IFERROR(__xludf.DUMMYFUNCTION("IF(SPLIT(F31,""-"")=""HR"",""High"",""Low"")"),"High")</f>
        <v>High</v>
      </c>
      <c r="H31" s="6" t="str">
        <f>IFERROR(__xludf.DUMMYFUNCTION("INDEX(SPLIT(F31, ""-""), 2)"),"Web")</f>
        <v>Web</v>
      </c>
      <c r="I31" s="6">
        <v>2.0</v>
      </c>
      <c r="J31" s="5">
        <v>5.0</v>
      </c>
      <c r="K31" s="5">
        <v>4.0</v>
      </c>
      <c r="L31" s="5" t="s">
        <v>199</v>
      </c>
      <c r="M31" s="5">
        <v>6.0</v>
      </c>
      <c r="N31" s="5">
        <v>5.0</v>
      </c>
      <c r="O31" s="5">
        <v>3.0</v>
      </c>
      <c r="P31" s="5">
        <v>4.0</v>
      </c>
      <c r="Q31" s="5">
        <v>4.0</v>
      </c>
      <c r="R31" s="5">
        <v>6.0</v>
      </c>
      <c r="S31" s="5">
        <v>6.0</v>
      </c>
      <c r="T31" s="5">
        <v>6.0</v>
      </c>
      <c r="U31" s="5">
        <v>2.0</v>
      </c>
      <c r="V31" s="5">
        <v>3.0</v>
      </c>
      <c r="W31" s="5">
        <v>4.0</v>
      </c>
      <c r="X31" s="5">
        <v>5.0</v>
      </c>
      <c r="Y31" s="5">
        <f t="shared" si="1"/>
        <v>3</v>
      </c>
      <c r="Z31" s="5" t="s">
        <v>323</v>
      </c>
      <c r="AA31" s="5" t="s">
        <v>206</v>
      </c>
      <c r="AB31" s="5">
        <v>6.0</v>
      </c>
      <c r="AC31" s="5">
        <v>6.0</v>
      </c>
      <c r="AD31" s="5">
        <v>6.0</v>
      </c>
      <c r="AE31" s="5">
        <v>7.0</v>
      </c>
      <c r="AF31" s="5">
        <v>7.0</v>
      </c>
      <c r="AG31" s="5">
        <v>6.0</v>
      </c>
      <c r="AH31" s="5" t="s">
        <v>324</v>
      </c>
      <c r="AI31" s="5" t="s">
        <v>206</v>
      </c>
      <c r="AJ31" s="5">
        <v>6.0</v>
      </c>
      <c r="AK31" s="5">
        <v>6.0</v>
      </c>
      <c r="AL31" s="5">
        <v>6.0</v>
      </c>
      <c r="AM31" s="5">
        <v>1.0</v>
      </c>
      <c r="AN31" s="5">
        <f t="shared" si="2"/>
        <v>7</v>
      </c>
      <c r="AO31" s="5">
        <v>1.0</v>
      </c>
      <c r="AP31" s="5">
        <f t="shared" si="3"/>
        <v>7</v>
      </c>
      <c r="AQ31" s="5">
        <v>1.0</v>
      </c>
      <c r="AR31" s="5">
        <f t="shared" si="4"/>
        <v>7</v>
      </c>
      <c r="AS31" s="5">
        <v>1.0</v>
      </c>
      <c r="AT31" s="5">
        <f t="shared" si="5"/>
        <v>7</v>
      </c>
      <c r="AU31" s="5" t="s">
        <v>325</v>
      </c>
    </row>
    <row r="32">
      <c r="A32" s="8">
        <f>IFERROR(__xludf.DUMMYFUNCTION("IF(E32="""", """", VALUE(REGEXREPLACE(E32, ""^[Pp]"", """")))"),9.0)</f>
        <v>9</v>
      </c>
      <c r="B32" s="8">
        <v>560.0</v>
      </c>
      <c r="C32" s="7">
        <v>45867.23125</v>
      </c>
      <c r="D32" s="5" t="s">
        <v>326</v>
      </c>
      <c r="E32" s="5" t="s">
        <v>318</v>
      </c>
      <c r="F32" s="5" t="s">
        <v>216</v>
      </c>
      <c r="G32" s="6" t="str">
        <f>IFERROR(__xludf.DUMMYFUNCTION("IF(SPLIT(F32,""-"")=""HR"",""High"",""Low"")"),"Low")</f>
        <v>Low</v>
      </c>
      <c r="H32" s="6" t="str">
        <f>IFERROR(__xludf.DUMMYFUNCTION("INDEX(SPLIT(F32, ""-""), 2)"),"Web")</f>
        <v>Web</v>
      </c>
      <c r="I32" s="6">
        <v>3.0</v>
      </c>
      <c r="J32" s="5">
        <v>4.0</v>
      </c>
      <c r="K32" s="5">
        <v>3.0</v>
      </c>
      <c r="L32" s="5" t="s">
        <v>199</v>
      </c>
      <c r="M32" s="5">
        <v>6.0</v>
      </c>
      <c r="N32" s="5">
        <v>6.0</v>
      </c>
      <c r="O32" s="5">
        <v>3.0</v>
      </c>
      <c r="P32" s="5">
        <v>3.0</v>
      </c>
      <c r="Q32" s="5">
        <v>5.0</v>
      </c>
      <c r="R32" s="5">
        <v>6.0</v>
      </c>
      <c r="S32" s="5">
        <v>6.0</v>
      </c>
      <c r="T32" s="5">
        <v>5.0</v>
      </c>
      <c r="U32" s="5">
        <v>3.0</v>
      </c>
      <c r="V32" s="5">
        <v>4.0</v>
      </c>
      <c r="W32" s="5">
        <v>3.0</v>
      </c>
      <c r="X32" s="5">
        <v>5.0</v>
      </c>
      <c r="Y32" s="5">
        <f t="shared" si="1"/>
        <v>3</v>
      </c>
      <c r="Z32" s="5" t="s">
        <v>327</v>
      </c>
      <c r="AA32" s="5" t="s">
        <v>206</v>
      </c>
      <c r="AB32" s="5">
        <v>6.0</v>
      </c>
      <c r="AC32" s="5">
        <v>7.0</v>
      </c>
      <c r="AD32" s="5">
        <v>6.0</v>
      </c>
      <c r="AE32" s="5">
        <v>7.0</v>
      </c>
      <c r="AF32" s="5">
        <v>7.0</v>
      </c>
      <c r="AG32" s="5">
        <v>7.0</v>
      </c>
      <c r="AH32" s="5" t="s">
        <v>328</v>
      </c>
      <c r="AI32" s="5" t="s">
        <v>206</v>
      </c>
      <c r="AJ32" s="5">
        <v>6.0</v>
      </c>
      <c r="AK32" s="5">
        <v>7.0</v>
      </c>
      <c r="AL32" s="5">
        <v>5.0</v>
      </c>
      <c r="AM32" s="5">
        <v>1.0</v>
      </c>
      <c r="AN32" s="5">
        <f t="shared" si="2"/>
        <v>7</v>
      </c>
      <c r="AO32" s="5">
        <v>1.0</v>
      </c>
      <c r="AP32" s="5">
        <f t="shared" si="3"/>
        <v>7</v>
      </c>
      <c r="AQ32" s="5">
        <v>1.0</v>
      </c>
      <c r="AR32" s="5">
        <f t="shared" si="4"/>
        <v>7</v>
      </c>
      <c r="AS32" s="5">
        <v>1.0</v>
      </c>
      <c r="AT32" s="5">
        <f t="shared" si="5"/>
        <v>7</v>
      </c>
      <c r="AU32" s="5" t="s">
        <v>329</v>
      </c>
    </row>
    <row r="33">
      <c r="A33" s="8">
        <f>IFERROR(__xludf.DUMMYFUNCTION("IF(E33="""", """", VALUE(REGEXREPLACE(E33, ""^[Pp]"", """")))"),9.0)</f>
        <v>9</v>
      </c>
      <c r="B33" s="8">
        <v>468.0</v>
      </c>
      <c r="C33" s="7">
        <v>45867.25486111111</v>
      </c>
      <c r="D33" s="5" t="s">
        <v>339</v>
      </c>
      <c r="E33" s="5" t="s">
        <v>318</v>
      </c>
      <c r="F33" s="5" t="s">
        <v>263</v>
      </c>
      <c r="G33" s="6" t="str">
        <f>IFERROR(__xludf.DUMMYFUNCTION("IF(SPLIT(F33,""-"")=""HR"",""High"",""Low"")"),"Low")</f>
        <v>Low</v>
      </c>
      <c r="H33" s="6" t="str">
        <f>IFERROR(__xludf.DUMMYFUNCTION("INDEX(SPLIT(F33, ""-""), 2)"),"VR")</f>
        <v>VR</v>
      </c>
      <c r="I33" s="6">
        <v>4.0</v>
      </c>
      <c r="J33" s="5">
        <v>5.0</v>
      </c>
      <c r="K33" s="5">
        <v>4.0</v>
      </c>
      <c r="L33" s="5" t="s">
        <v>199</v>
      </c>
      <c r="M33" s="5">
        <v>5.0</v>
      </c>
      <c r="N33" s="5">
        <v>6.0</v>
      </c>
      <c r="O33" s="5">
        <v>4.0</v>
      </c>
      <c r="P33" s="5">
        <v>2.0</v>
      </c>
      <c r="Q33" s="5">
        <v>4.0</v>
      </c>
      <c r="R33" s="5">
        <v>6.0</v>
      </c>
      <c r="S33" s="5">
        <v>6.0</v>
      </c>
      <c r="T33" s="5">
        <v>5.0</v>
      </c>
      <c r="U33" s="5">
        <v>4.0</v>
      </c>
      <c r="V33" s="5">
        <v>3.0</v>
      </c>
      <c r="W33" s="5">
        <v>5.0</v>
      </c>
      <c r="X33" s="5">
        <v>5.0</v>
      </c>
      <c r="Y33" s="5">
        <f t="shared" si="1"/>
        <v>3</v>
      </c>
      <c r="Z33" s="5" t="s">
        <v>340</v>
      </c>
      <c r="AA33" s="5" t="s">
        <v>206</v>
      </c>
      <c r="AB33" s="5">
        <v>5.0</v>
      </c>
      <c r="AC33" s="5">
        <v>7.0</v>
      </c>
      <c r="AD33" s="5">
        <v>6.0</v>
      </c>
      <c r="AE33" s="5">
        <v>7.0</v>
      </c>
      <c r="AF33" s="5">
        <v>7.0</v>
      </c>
      <c r="AG33" s="5">
        <v>7.0</v>
      </c>
      <c r="AH33" s="5" t="s">
        <v>341</v>
      </c>
      <c r="AI33" s="5" t="s">
        <v>206</v>
      </c>
      <c r="AJ33" s="5">
        <v>6.0</v>
      </c>
      <c r="AK33" s="5">
        <v>3.0</v>
      </c>
      <c r="AL33" s="5">
        <v>5.0</v>
      </c>
      <c r="AM33" s="5">
        <v>4.0</v>
      </c>
      <c r="AN33" s="5">
        <f t="shared" si="2"/>
        <v>4</v>
      </c>
      <c r="AO33" s="5">
        <v>1.0</v>
      </c>
      <c r="AP33" s="5">
        <f t="shared" si="3"/>
        <v>7</v>
      </c>
      <c r="AQ33" s="5">
        <v>5.0</v>
      </c>
      <c r="AR33" s="5">
        <f t="shared" si="4"/>
        <v>3</v>
      </c>
      <c r="AS33" s="5">
        <v>3.0</v>
      </c>
      <c r="AT33" s="5">
        <f t="shared" si="5"/>
        <v>5</v>
      </c>
      <c r="AU33" s="5" t="s">
        <v>342</v>
      </c>
    </row>
    <row r="34">
      <c r="A34" s="8">
        <f>IFERROR(__xludf.DUMMYFUNCTION("IF(E34="""", """", VALUE(REGEXREPLACE(E34, ""^[Pp]"", """")))"),10.0)</f>
        <v>10</v>
      </c>
      <c r="B34" s="8">
        <v>990.0</v>
      </c>
      <c r="C34" s="7">
        <v>45867.240277777775</v>
      </c>
      <c r="D34" s="5" t="s">
        <v>330</v>
      </c>
      <c r="E34" s="5" t="s">
        <v>331</v>
      </c>
      <c r="F34" s="5" t="s">
        <v>197</v>
      </c>
      <c r="G34" s="6" t="str">
        <f>IFERROR(__xludf.DUMMYFUNCTION("IF(SPLIT(F34,""-"")=""HR"",""High"",""Low"")"),"High")</f>
        <v>High</v>
      </c>
      <c r="H34" s="6" t="str">
        <f>IFERROR(__xludf.DUMMYFUNCTION("INDEX(SPLIT(F34, ""-""), 2)"),"VR")</f>
        <v>VR</v>
      </c>
      <c r="I34" s="6">
        <v>1.0</v>
      </c>
      <c r="J34" s="5">
        <v>6.0</v>
      </c>
      <c r="K34" s="5">
        <v>6.0</v>
      </c>
      <c r="L34" s="5" t="s">
        <v>199</v>
      </c>
      <c r="M34" s="5">
        <v>6.0</v>
      </c>
      <c r="N34" s="5">
        <v>7.0</v>
      </c>
      <c r="O34" s="5">
        <v>5.0</v>
      </c>
      <c r="P34" s="5">
        <v>6.0</v>
      </c>
      <c r="Q34" s="5">
        <v>6.0</v>
      </c>
      <c r="R34" s="5">
        <v>5.0</v>
      </c>
      <c r="S34" s="5">
        <v>5.0</v>
      </c>
      <c r="T34" s="5">
        <v>7.0</v>
      </c>
      <c r="U34" s="5">
        <v>3.0</v>
      </c>
      <c r="V34" s="5">
        <v>5.0</v>
      </c>
      <c r="W34" s="5">
        <v>7.0</v>
      </c>
      <c r="X34" s="5">
        <v>2.0</v>
      </c>
      <c r="Y34" s="5">
        <f t="shared" si="1"/>
        <v>6</v>
      </c>
      <c r="Z34" s="5" t="s">
        <v>332</v>
      </c>
      <c r="AA34" s="5" t="s">
        <v>206</v>
      </c>
      <c r="AB34" s="5">
        <v>5.0</v>
      </c>
      <c r="AC34" s="5">
        <v>7.0</v>
      </c>
      <c r="AD34" s="5">
        <v>7.0</v>
      </c>
      <c r="AE34" s="5">
        <v>7.0</v>
      </c>
      <c r="AF34" s="5">
        <v>7.0</v>
      </c>
      <c r="AG34" s="5">
        <v>4.0</v>
      </c>
      <c r="AH34" s="5" t="s">
        <v>333</v>
      </c>
      <c r="AI34" s="5" t="s">
        <v>206</v>
      </c>
      <c r="AJ34" s="5">
        <v>7.0</v>
      </c>
      <c r="AK34" s="5">
        <v>6.0</v>
      </c>
      <c r="AL34" s="5">
        <v>7.0</v>
      </c>
      <c r="AM34" s="5">
        <v>2.0</v>
      </c>
      <c r="AN34" s="5">
        <f t="shared" si="2"/>
        <v>6</v>
      </c>
      <c r="AO34" s="5">
        <v>1.0</v>
      </c>
      <c r="AP34" s="5">
        <f t="shared" si="3"/>
        <v>7</v>
      </c>
      <c r="AQ34" s="5">
        <v>2.0</v>
      </c>
      <c r="AR34" s="5">
        <f t="shared" si="4"/>
        <v>6</v>
      </c>
      <c r="AS34" s="5">
        <v>1.0</v>
      </c>
      <c r="AT34" s="5">
        <f t="shared" si="5"/>
        <v>7</v>
      </c>
      <c r="AU34" s="5" t="s">
        <v>334</v>
      </c>
    </row>
    <row r="35">
      <c r="A35" s="8">
        <f>IFERROR(__xludf.DUMMYFUNCTION("IF(E35="""", """", VALUE(REGEXREPLACE(E35, ""^[Pp]"", """")))"),10.0)</f>
        <v>10</v>
      </c>
      <c r="B35" s="8">
        <v>934.0</v>
      </c>
      <c r="C35" s="7">
        <v>45867.25208333333</v>
      </c>
      <c r="D35" s="5" t="s">
        <v>335</v>
      </c>
      <c r="E35" s="5" t="s">
        <v>331</v>
      </c>
      <c r="F35" s="5" t="s">
        <v>211</v>
      </c>
      <c r="G35" s="6" t="str">
        <f>IFERROR(__xludf.DUMMYFUNCTION("IF(SPLIT(F35,""-"")=""HR"",""High"",""Low"")"),"High")</f>
        <v>High</v>
      </c>
      <c r="H35" s="6" t="str">
        <f>IFERROR(__xludf.DUMMYFUNCTION("INDEX(SPLIT(F35, ""-""), 2)"),"Web")</f>
        <v>Web</v>
      </c>
      <c r="I35" s="6">
        <v>2.0</v>
      </c>
      <c r="J35" s="5">
        <v>5.0</v>
      </c>
      <c r="K35" s="5">
        <v>6.0</v>
      </c>
      <c r="L35" s="5" t="s">
        <v>199</v>
      </c>
      <c r="M35" s="5">
        <v>6.0</v>
      </c>
      <c r="N35" s="5">
        <v>6.0</v>
      </c>
      <c r="O35" s="5">
        <v>6.0</v>
      </c>
      <c r="P35" s="5">
        <v>6.0</v>
      </c>
      <c r="Q35" s="5">
        <v>7.0</v>
      </c>
      <c r="R35" s="5">
        <v>6.0</v>
      </c>
      <c r="S35" s="5">
        <v>5.0</v>
      </c>
      <c r="T35" s="5">
        <v>7.0</v>
      </c>
      <c r="U35" s="5">
        <v>6.0</v>
      </c>
      <c r="V35" s="5">
        <v>3.0</v>
      </c>
      <c r="W35" s="5">
        <v>6.0</v>
      </c>
      <c r="X35" s="5">
        <v>2.0</v>
      </c>
      <c r="Y35" s="5">
        <f t="shared" si="1"/>
        <v>6</v>
      </c>
      <c r="Z35" s="5" t="s">
        <v>336</v>
      </c>
      <c r="AA35" s="5" t="s">
        <v>206</v>
      </c>
      <c r="AB35" s="5">
        <v>6.0</v>
      </c>
      <c r="AC35" s="5">
        <v>6.0</v>
      </c>
      <c r="AD35" s="5">
        <v>7.0</v>
      </c>
      <c r="AE35" s="5">
        <v>7.0</v>
      </c>
      <c r="AF35" s="5">
        <v>6.0</v>
      </c>
      <c r="AG35" s="5">
        <v>3.0</v>
      </c>
      <c r="AH35" s="5" t="s">
        <v>337</v>
      </c>
      <c r="AI35" s="5" t="s">
        <v>206</v>
      </c>
      <c r="AJ35" s="5">
        <v>7.0</v>
      </c>
      <c r="AK35" s="5">
        <v>7.0</v>
      </c>
      <c r="AL35" s="5">
        <v>7.0</v>
      </c>
      <c r="AM35" s="5">
        <v>1.0</v>
      </c>
      <c r="AN35" s="5">
        <f t="shared" si="2"/>
        <v>7</v>
      </c>
      <c r="AO35" s="5">
        <v>1.0</v>
      </c>
      <c r="AP35" s="5">
        <f t="shared" si="3"/>
        <v>7</v>
      </c>
      <c r="AQ35" s="5">
        <v>1.0</v>
      </c>
      <c r="AR35" s="5">
        <f t="shared" si="4"/>
        <v>7</v>
      </c>
      <c r="AS35" s="5">
        <v>1.0</v>
      </c>
      <c r="AT35" s="5">
        <f t="shared" si="5"/>
        <v>7</v>
      </c>
      <c r="AU35" s="5" t="s">
        <v>338</v>
      </c>
    </row>
    <row r="36">
      <c r="A36" s="8">
        <f>IFERROR(__xludf.DUMMYFUNCTION("IF(E36="""", """", VALUE(REGEXREPLACE(E36, ""^[Pp]"", """")))"),10.0)</f>
        <v>10</v>
      </c>
      <c r="B36" s="8">
        <v>4924.0</v>
      </c>
      <c r="C36" s="7">
        <v>45867.26388888889</v>
      </c>
      <c r="D36" s="5" t="s">
        <v>343</v>
      </c>
      <c r="E36" s="5" t="s">
        <v>331</v>
      </c>
      <c r="F36" s="5" t="s">
        <v>216</v>
      </c>
      <c r="G36" s="6" t="str">
        <f>IFERROR(__xludf.DUMMYFUNCTION("IF(SPLIT(F36,""-"")=""HR"",""High"",""Low"")"),"Low")</f>
        <v>Low</v>
      </c>
      <c r="H36" s="6" t="str">
        <f>IFERROR(__xludf.DUMMYFUNCTION("INDEX(SPLIT(F36, ""-""), 2)"),"Web")</f>
        <v>Web</v>
      </c>
      <c r="I36" s="6">
        <v>3.0</v>
      </c>
      <c r="J36" s="5">
        <v>6.0</v>
      </c>
      <c r="K36" s="5">
        <v>6.0</v>
      </c>
      <c r="L36" s="5" t="s">
        <v>199</v>
      </c>
      <c r="M36" s="5">
        <v>6.0</v>
      </c>
      <c r="N36" s="5">
        <v>7.0</v>
      </c>
      <c r="O36" s="5">
        <v>6.0</v>
      </c>
      <c r="P36" s="5">
        <v>6.0</v>
      </c>
      <c r="Q36" s="5">
        <v>6.0</v>
      </c>
      <c r="R36" s="5">
        <v>6.0</v>
      </c>
      <c r="S36" s="5">
        <v>5.0</v>
      </c>
      <c r="T36" s="5">
        <v>6.0</v>
      </c>
      <c r="U36" s="5">
        <v>6.0</v>
      </c>
      <c r="V36" s="5">
        <v>3.0</v>
      </c>
      <c r="W36" s="5">
        <v>6.0</v>
      </c>
      <c r="X36" s="5">
        <v>5.0</v>
      </c>
      <c r="Y36" s="5">
        <f t="shared" si="1"/>
        <v>3</v>
      </c>
      <c r="Z36" s="5" t="s">
        <v>344</v>
      </c>
      <c r="AA36" s="5" t="s">
        <v>206</v>
      </c>
      <c r="AB36" s="5">
        <v>6.0</v>
      </c>
      <c r="AC36" s="5">
        <v>6.0</v>
      </c>
      <c r="AD36" s="5">
        <v>6.0</v>
      </c>
      <c r="AE36" s="5">
        <v>6.0</v>
      </c>
      <c r="AF36" s="5">
        <v>6.0</v>
      </c>
      <c r="AG36" s="5">
        <v>6.0</v>
      </c>
      <c r="AH36" s="5" t="s">
        <v>345</v>
      </c>
      <c r="AI36" s="5" t="s">
        <v>206</v>
      </c>
      <c r="AJ36" s="5">
        <v>6.0</v>
      </c>
      <c r="AK36" s="5">
        <v>7.0</v>
      </c>
      <c r="AL36" s="5">
        <v>6.0</v>
      </c>
      <c r="AM36" s="5">
        <v>1.0</v>
      </c>
      <c r="AN36" s="5">
        <f t="shared" si="2"/>
        <v>7</v>
      </c>
      <c r="AO36" s="5">
        <v>1.0</v>
      </c>
      <c r="AP36" s="5">
        <f t="shared" si="3"/>
        <v>7</v>
      </c>
      <c r="AQ36" s="5">
        <v>1.0</v>
      </c>
      <c r="AR36" s="5">
        <f t="shared" si="4"/>
        <v>7</v>
      </c>
      <c r="AS36" s="5">
        <v>1.0</v>
      </c>
      <c r="AT36" s="5">
        <f t="shared" si="5"/>
        <v>7</v>
      </c>
      <c r="AU36" s="5" t="s">
        <v>346</v>
      </c>
    </row>
    <row r="37">
      <c r="A37" s="8">
        <f>IFERROR(__xludf.DUMMYFUNCTION("IF(E37="""", """", VALUE(REGEXREPLACE(E37, ""^[Pp]"", """")))"),10.0)</f>
        <v>10</v>
      </c>
      <c r="B37" s="8">
        <v>764.0</v>
      </c>
      <c r="C37" s="7">
        <v>45867.27569444444</v>
      </c>
      <c r="D37" s="5" t="s">
        <v>348</v>
      </c>
      <c r="E37" s="5" t="s">
        <v>331</v>
      </c>
      <c r="F37" s="5" t="s">
        <v>263</v>
      </c>
      <c r="G37" s="6" t="str">
        <f>IFERROR(__xludf.DUMMYFUNCTION("IF(SPLIT(F37,""-"")=""HR"",""High"",""Low"")"),"Low")</f>
        <v>Low</v>
      </c>
      <c r="H37" s="6" t="str">
        <f>IFERROR(__xludf.DUMMYFUNCTION("INDEX(SPLIT(F37, ""-""), 2)"),"VR")</f>
        <v>VR</v>
      </c>
      <c r="I37" s="6">
        <v>4.0</v>
      </c>
      <c r="J37" s="5">
        <v>7.0</v>
      </c>
      <c r="K37" s="5">
        <v>6.0</v>
      </c>
      <c r="L37" s="5" t="s">
        <v>199</v>
      </c>
      <c r="M37" s="5">
        <v>6.0</v>
      </c>
      <c r="N37" s="5">
        <v>6.0</v>
      </c>
      <c r="O37" s="5">
        <v>7.0</v>
      </c>
      <c r="P37" s="5">
        <v>6.0</v>
      </c>
      <c r="Q37" s="5">
        <v>7.0</v>
      </c>
      <c r="R37" s="5">
        <v>6.0</v>
      </c>
      <c r="S37" s="5">
        <v>6.0</v>
      </c>
      <c r="T37" s="5">
        <v>5.0</v>
      </c>
      <c r="U37" s="5">
        <v>6.0</v>
      </c>
      <c r="V37" s="5">
        <v>2.0</v>
      </c>
      <c r="W37" s="5">
        <v>6.0</v>
      </c>
      <c r="X37" s="5">
        <v>2.0</v>
      </c>
      <c r="Y37" s="5">
        <f t="shared" si="1"/>
        <v>6</v>
      </c>
      <c r="Z37" s="5" t="s">
        <v>349</v>
      </c>
      <c r="AA37" s="5" t="s">
        <v>206</v>
      </c>
      <c r="AB37" s="5">
        <v>5.0</v>
      </c>
      <c r="AC37" s="5">
        <v>7.0</v>
      </c>
      <c r="AD37" s="5">
        <v>6.0</v>
      </c>
      <c r="AE37" s="5">
        <v>5.0</v>
      </c>
      <c r="AF37" s="5">
        <v>6.0</v>
      </c>
      <c r="AG37" s="5">
        <v>6.0</v>
      </c>
      <c r="AH37" s="5" t="s">
        <v>350</v>
      </c>
      <c r="AI37" s="5" t="s">
        <v>206</v>
      </c>
      <c r="AJ37" s="5">
        <v>6.0</v>
      </c>
      <c r="AK37" s="5">
        <v>7.0</v>
      </c>
      <c r="AL37" s="5">
        <v>7.0</v>
      </c>
      <c r="AM37" s="5">
        <v>2.0</v>
      </c>
      <c r="AN37" s="5">
        <f t="shared" si="2"/>
        <v>6</v>
      </c>
      <c r="AO37" s="5">
        <v>3.0</v>
      </c>
      <c r="AP37" s="5">
        <f t="shared" si="3"/>
        <v>5</v>
      </c>
      <c r="AQ37" s="5">
        <v>2.0</v>
      </c>
      <c r="AR37" s="5">
        <f t="shared" si="4"/>
        <v>6</v>
      </c>
      <c r="AS37" s="5">
        <v>1.0</v>
      </c>
      <c r="AT37" s="5">
        <f t="shared" si="5"/>
        <v>7</v>
      </c>
      <c r="AU37" s="5" t="s">
        <v>351</v>
      </c>
    </row>
    <row r="38">
      <c r="A38" s="8">
        <f>IFERROR(__xludf.DUMMYFUNCTION("IF(E38="""", """", VALUE(REGEXREPLACE(E38, ""^[Pp]"", """")))"),11.0)</f>
        <v>11</v>
      </c>
      <c r="B38" s="8">
        <v>1716.0</v>
      </c>
      <c r="C38" s="7">
        <v>45867.29375</v>
      </c>
      <c r="D38" s="5" t="s">
        <v>361</v>
      </c>
      <c r="E38" s="5" t="s">
        <v>362</v>
      </c>
      <c r="F38" s="5" t="s">
        <v>216</v>
      </c>
      <c r="G38" s="6" t="str">
        <f>IFERROR(__xludf.DUMMYFUNCTION("IF(SPLIT(F38,""-"")=""HR"",""High"",""Low"")"),"Low")</f>
        <v>Low</v>
      </c>
      <c r="H38" s="6" t="str">
        <f>IFERROR(__xludf.DUMMYFUNCTION("INDEX(SPLIT(F38, ""-""), 2)"),"Web")</f>
        <v>Web</v>
      </c>
      <c r="I38" s="6">
        <v>1.0</v>
      </c>
      <c r="J38" s="5">
        <v>5.0</v>
      </c>
      <c r="K38" s="5">
        <v>7.0</v>
      </c>
      <c r="L38" s="5" t="s">
        <v>199</v>
      </c>
      <c r="M38" s="5">
        <v>6.0</v>
      </c>
      <c r="N38" s="5">
        <v>7.0</v>
      </c>
      <c r="O38" s="5">
        <v>3.0</v>
      </c>
      <c r="P38" s="5">
        <v>6.0</v>
      </c>
      <c r="Q38" s="5">
        <v>7.0</v>
      </c>
      <c r="R38" s="5">
        <v>7.0</v>
      </c>
      <c r="S38" s="5">
        <v>7.0</v>
      </c>
      <c r="T38" s="5">
        <v>7.0</v>
      </c>
      <c r="U38" s="5">
        <v>2.0</v>
      </c>
      <c r="V38" s="5">
        <v>5.0</v>
      </c>
      <c r="W38" s="5">
        <v>5.0</v>
      </c>
      <c r="X38" s="5">
        <v>4.0</v>
      </c>
      <c r="Y38" s="5">
        <f t="shared" si="1"/>
        <v>4</v>
      </c>
      <c r="Z38" s="11" t="s">
        <v>363</v>
      </c>
      <c r="AA38" s="5" t="s">
        <v>206</v>
      </c>
      <c r="AB38" s="5">
        <v>6.0</v>
      </c>
      <c r="AC38" s="5">
        <v>6.0</v>
      </c>
      <c r="AD38" s="5">
        <v>7.0</v>
      </c>
      <c r="AE38" s="5">
        <v>7.0</v>
      </c>
      <c r="AF38" s="5">
        <v>7.0</v>
      </c>
      <c r="AG38" s="5">
        <v>7.0</v>
      </c>
      <c r="AH38" s="5" t="s">
        <v>364</v>
      </c>
      <c r="AI38" s="5" t="s">
        <v>206</v>
      </c>
      <c r="AJ38" s="5">
        <v>7.0</v>
      </c>
      <c r="AK38" s="5">
        <v>6.0</v>
      </c>
      <c r="AL38" s="5">
        <v>7.0</v>
      </c>
      <c r="AM38" s="5">
        <v>1.0</v>
      </c>
      <c r="AN38" s="5">
        <f t="shared" si="2"/>
        <v>7</v>
      </c>
      <c r="AO38" s="5">
        <v>1.0</v>
      </c>
      <c r="AP38" s="5">
        <f t="shared" si="3"/>
        <v>7</v>
      </c>
      <c r="AQ38" s="5">
        <v>1.0</v>
      </c>
      <c r="AR38" s="5">
        <f t="shared" si="4"/>
        <v>7</v>
      </c>
      <c r="AS38" s="5">
        <v>1.0</v>
      </c>
      <c r="AT38" s="5">
        <f t="shared" si="5"/>
        <v>7</v>
      </c>
      <c r="AU38" s="11" t="s">
        <v>365</v>
      </c>
    </row>
    <row r="39">
      <c r="A39" s="8">
        <f>IFERROR(__xludf.DUMMYFUNCTION("IF(E39="""", """", VALUE(REGEXREPLACE(E39, ""^[Pp]"", """")))"),11.0)</f>
        <v>11</v>
      </c>
      <c r="B39" s="8">
        <v>1333.0</v>
      </c>
      <c r="C39" s="7">
        <v>45867.34583333333</v>
      </c>
      <c r="D39" s="5" t="s">
        <v>374</v>
      </c>
      <c r="E39" s="5" t="s">
        <v>362</v>
      </c>
      <c r="F39" s="5" t="s">
        <v>263</v>
      </c>
      <c r="G39" s="6" t="str">
        <f>IFERROR(__xludf.DUMMYFUNCTION("IF(SPLIT(F39,""-"")=""HR"",""High"",""Low"")"),"Low")</f>
        <v>Low</v>
      </c>
      <c r="H39" s="6" t="str">
        <f>IFERROR(__xludf.DUMMYFUNCTION("INDEX(SPLIT(F39, ""-""), 2)"),"VR")</f>
        <v>VR</v>
      </c>
      <c r="I39" s="6">
        <v>2.0</v>
      </c>
      <c r="J39" s="5">
        <v>6.0</v>
      </c>
      <c r="K39" s="5">
        <v>6.0</v>
      </c>
      <c r="L39" s="5" t="s">
        <v>199</v>
      </c>
      <c r="M39" s="5">
        <v>7.0</v>
      </c>
      <c r="N39" s="5">
        <v>3.0</v>
      </c>
      <c r="O39" s="5">
        <v>5.0</v>
      </c>
      <c r="P39" s="5">
        <v>6.0</v>
      </c>
      <c r="Q39" s="5">
        <v>7.0</v>
      </c>
      <c r="R39" s="5">
        <v>7.0</v>
      </c>
      <c r="S39" s="5">
        <v>7.0</v>
      </c>
      <c r="T39" s="5">
        <v>7.0</v>
      </c>
      <c r="U39" s="5">
        <v>5.0</v>
      </c>
      <c r="V39" s="5">
        <v>5.0</v>
      </c>
      <c r="W39" s="5">
        <v>7.0</v>
      </c>
      <c r="X39" s="5">
        <v>5.0</v>
      </c>
      <c r="Y39" s="5">
        <f t="shared" si="1"/>
        <v>3</v>
      </c>
      <c r="Z39" s="5" t="s">
        <v>375</v>
      </c>
      <c r="AA39" s="5" t="s">
        <v>206</v>
      </c>
      <c r="AB39" s="5">
        <v>6.0</v>
      </c>
      <c r="AC39" s="5">
        <v>7.0</v>
      </c>
      <c r="AD39" s="5">
        <v>7.0</v>
      </c>
      <c r="AE39" s="5">
        <v>3.0</v>
      </c>
      <c r="AF39" s="5">
        <v>4.0</v>
      </c>
      <c r="AG39" s="5">
        <v>4.0</v>
      </c>
      <c r="AH39" s="5" t="s">
        <v>376</v>
      </c>
      <c r="AI39" s="5" t="s">
        <v>206</v>
      </c>
      <c r="AJ39" s="5">
        <v>6.0</v>
      </c>
      <c r="AK39" s="5">
        <v>6.0</v>
      </c>
      <c r="AL39" s="5">
        <v>6.0</v>
      </c>
      <c r="AM39" s="5">
        <v>2.0</v>
      </c>
      <c r="AN39" s="5">
        <f t="shared" si="2"/>
        <v>6</v>
      </c>
      <c r="AO39" s="5">
        <v>6.0</v>
      </c>
      <c r="AP39" s="5">
        <f t="shared" si="3"/>
        <v>2</v>
      </c>
      <c r="AQ39" s="5">
        <v>2.0</v>
      </c>
      <c r="AR39" s="5">
        <f t="shared" si="4"/>
        <v>6</v>
      </c>
      <c r="AS39" s="5">
        <v>2.0</v>
      </c>
      <c r="AT39" s="5">
        <f t="shared" si="5"/>
        <v>6</v>
      </c>
      <c r="AU39" s="5" t="s">
        <v>377</v>
      </c>
    </row>
    <row r="40">
      <c r="A40" s="8">
        <f>IFERROR(__xludf.DUMMYFUNCTION("IF(E40="""", """", VALUE(REGEXREPLACE(E40, ""^[Pp]"", """")))"),11.0)</f>
        <v>11</v>
      </c>
      <c r="B40" s="8">
        <v>1578.0</v>
      </c>
      <c r="C40" s="7">
        <v>45869.29513888889</v>
      </c>
      <c r="D40" s="5" t="s">
        <v>688</v>
      </c>
      <c r="E40" s="5" t="s">
        <v>362</v>
      </c>
      <c r="F40" s="5" t="s">
        <v>211</v>
      </c>
      <c r="G40" s="6" t="str">
        <f>IFERROR(__xludf.DUMMYFUNCTION("IF(SPLIT(F40,""-"")=""HR"",""High"",""Low"")"),"High")</f>
        <v>High</v>
      </c>
      <c r="H40" s="6" t="str">
        <f>IFERROR(__xludf.DUMMYFUNCTION("INDEX(SPLIT(F40, ""-""), 2)"),"Web")</f>
        <v>Web</v>
      </c>
      <c r="I40" s="6">
        <v>3.0</v>
      </c>
      <c r="J40" s="5">
        <v>6.0</v>
      </c>
      <c r="K40" s="5">
        <v>7.0</v>
      </c>
      <c r="L40" s="5" t="s">
        <v>199</v>
      </c>
      <c r="M40" s="5">
        <v>6.0</v>
      </c>
      <c r="N40" s="5">
        <v>6.0</v>
      </c>
      <c r="O40" s="5">
        <v>4.0</v>
      </c>
      <c r="P40" s="5">
        <v>6.0</v>
      </c>
      <c r="Q40" s="5">
        <v>5.0</v>
      </c>
      <c r="R40" s="5">
        <v>6.0</v>
      </c>
      <c r="S40" s="5">
        <v>7.0</v>
      </c>
      <c r="T40" s="5">
        <v>3.0</v>
      </c>
      <c r="U40" s="5">
        <v>4.0</v>
      </c>
      <c r="V40" s="5">
        <v>4.0</v>
      </c>
      <c r="W40" s="5">
        <v>7.0</v>
      </c>
      <c r="X40" s="5">
        <v>5.0</v>
      </c>
      <c r="Y40" s="5">
        <f t="shared" si="1"/>
        <v>3</v>
      </c>
      <c r="Z40" s="5" t="s">
        <v>689</v>
      </c>
      <c r="AA40" s="5" t="s">
        <v>206</v>
      </c>
      <c r="AB40" s="5">
        <v>4.0</v>
      </c>
      <c r="AC40" s="5">
        <v>6.0</v>
      </c>
      <c r="AD40" s="5">
        <v>7.0</v>
      </c>
      <c r="AE40" s="5">
        <v>7.0</v>
      </c>
      <c r="AF40" s="5">
        <v>7.0</v>
      </c>
      <c r="AG40" s="5">
        <v>5.0</v>
      </c>
      <c r="AH40" s="5" t="s">
        <v>690</v>
      </c>
      <c r="AI40" s="5" t="s">
        <v>206</v>
      </c>
      <c r="AJ40" s="5">
        <v>7.0</v>
      </c>
      <c r="AK40" s="5">
        <v>7.0</v>
      </c>
      <c r="AL40" s="5">
        <v>7.0</v>
      </c>
      <c r="AM40" s="5">
        <v>1.0</v>
      </c>
      <c r="AN40" s="5">
        <f t="shared" si="2"/>
        <v>7</v>
      </c>
      <c r="AO40" s="5">
        <v>1.0</v>
      </c>
      <c r="AP40" s="5">
        <f t="shared" si="3"/>
        <v>7</v>
      </c>
      <c r="AQ40" s="5">
        <v>1.0</v>
      </c>
      <c r="AR40" s="5">
        <f t="shared" si="4"/>
        <v>7</v>
      </c>
      <c r="AS40" s="5">
        <v>1.0</v>
      </c>
      <c r="AT40" s="5">
        <f t="shared" si="5"/>
        <v>7</v>
      </c>
      <c r="AU40" s="5" t="s">
        <v>691</v>
      </c>
    </row>
    <row r="41">
      <c r="A41" s="8">
        <f>IFERROR(__xludf.DUMMYFUNCTION("IF(E41="""", """", VALUE(REGEXREPLACE(E41, ""^[Pp]"", """")))"),11.0)</f>
        <v>11</v>
      </c>
      <c r="B41" s="8">
        <v>1459.0</v>
      </c>
      <c r="C41" s="7">
        <v>45869.31805555556</v>
      </c>
      <c r="D41" s="5" t="s">
        <v>704</v>
      </c>
      <c r="E41" s="5" t="s">
        <v>362</v>
      </c>
      <c r="F41" s="5" t="s">
        <v>197</v>
      </c>
      <c r="G41" s="6" t="str">
        <f>IFERROR(__xludf.DUMMYFUNCTION("IF(SPLIT(F41,""-"")=""HR"",""High"",""Low"")"),"High")</f>
        <v>High</v>
      </c>
      <c r="H41" s="6" t="str">
        <f>IFERROR(__xludf.DUMMYFUNCTION("INDEX(SPLIT(F41, ""-""), 2)"),"VR")</f>
        <v>VR</v>
      </c>
      <c r="I41" s="6">
        <v>4.0</v>
      </c>
      <c r="J41" s="5">
        <v>6.0</v>
      </c>
      <c r="K41" s="5">
        <v>6.0</v>
      </c>
      <c r="L41" s="5" t="s">
        <v>199</v>
      </c>
      <c r="M41" s="5">
        <v>6.0</v>
      </c>
      <c r="N41" s="5">
        <v>5.0</v>
      </c>
      <c r="O41" s="5">
        <v>6.0</v>
      </c>
      <c r="P41" s="5">
        <v>6.0</v>
      </c>
      <c r="Q41" s="5">
        <v>6.0</v>
      </c>
      <c r="R41" s="5">
        <v>7.0</v>
      </c>
      <c r="S41" s="5">
        <v>7.0</v>
      </c>
      <c r="T41" s="5">
        <v>7.0</v>
      </c>
      <c r="U41" s="5">
        <v>4.0</v>
      </c>
      <c r="V41" s="5">
        <v>3.0</v>
      </c>
      <c r="W41" s="5">
        <v>7.0</v>
      </c>
      <c r="X41" s="5">
        <v>5.0</v>
      </c>
      <c r="Y41" s="5">
        <f t="shared" si="1"/>
        <v>3</v>
      </c>
      <c r="Z41" s="5" t="s">
        <v>705</v>
      </c>
      <c r="AA41" s="5" t="s">
        <v>206</v>
      </c>
      <c r="AB41" s="5">
        <v>6.0</v>
      </c>
      <c r="AC41" s="5">
        <v>6.0</v>
      </c>
      <c r="AD41" s="5">
        <v>7.0</v>
      </c>
      <c r="AE41" s="5">
        <v>6.0</v>
      </c>
      <c r="AF41" s="5">
        <v>6.0</v>
      </c>
      <c r="AG41" s="5">
        <v>4.0</v>
      </c>
      <c r="AH41" s="5" t="s">
        <v>706</v>
      </c>
      <c r="AI41" s="5" t="s">
        <v>206</v>
      </c>
      <c r="AJ41" s="5">
        <v>7.0</v>
      </c>
      <c r="AK41" s="5">
        <v>5.0</v>
      </c>
      <c r="AL41" s="5">
        <v>5.0</v>
      </c>
      <c r="AM41" s="5">
        <v>2.0</v>
      </c>
      <c r="AN41" s="5">
        <f t="shared" si="2"/>
        <v>6</v>
      </c>
      <c r="AO41" s="5">
        <v>1.0</v>
      </c>
      <c r="AP41" s="5">
        <f t="shared" si="3"/>
        <v>7</v>
      </c>
      <c r="AQ41" s="5">
        <v>1.0</v>
      </c>
      <c r="AR41" s="5">
        <f t="shared" si="4"/>
        <v>7</v>
      </c>
      <c r="AS41" s="5">
        <v>3.0</v>
      </c>
      <c r="AT41" s="5">
        <f t="shared" si="5"/>
        <v>5</v>
      </c>
      <c r="AU41" s="5" t="s">
        <v>707</v>
      </c>
    </row>
    <row r="42">
      <c r="A42" s="8">
        <f>IFERROR(__xludf.DUMMYFUNCTION("IF(E42="""", """", VALUE(REGEXREPLACE(E42, ""^[Pp]"", """")))"),12.0)</f>
        <v>12</v>
      </c>
      <c r="B42" s="8">
        <v>1145.0</v>
      </c>
      <c r="C42" s="7">
        <v>45867.282638888886</v>
      </c>
      <c r="D42" s="5" t="s">
        <v>352</v>
      </c>
      <c r="E42" s="5" t="s">
        <v>353</v>
      </c>
      <c r="F42" s="5" t="s">
        <v>197</v>
      </c>
      <c r="G42" s="6" t="str">
        <f>IFERROR(__xludf.DUMMYFUNCTION("IF(SPLIT(F42,""-"")=""HR"",""High"",""Low"")"),"High")</f>
        <v>High</v>
      </c>
      <c r="H42" s="6" t="str">
        <f>IFERROR(__xludf.DUMMYFUNCTION("INDEX(SPLIT(F42, ""-""), 2)"),"VR")</f>
        <v>VR</v>
      </c>
      <c r="I42" s="6">
        <v>1.0</v>
      </c>
      <c r="J42" s="5">
        <v>2.0</v>
      </c>
      <c r="K42" s="5">
        <v>1.0</v>
      </c>
      <c r="L42" s="5" t="s">
        <v>199</v>
      </c>
      <c r="M42" s="5">
        <v>2.0</v>
      </c>
      <c r="N42" s="5">
        <v>5.0</v>
      </c>
      <c r="O42" s="5">
        <v>1.0</v>
      </c>
      <c r="P42" s="5">
        <v>4.0</v>
      </c>
      <c r="Q42" s="5">
        <v>3.0</v>
      </c>
      <c r="R42" s="5">
        <v>2.0</v>
      </c>
      <c r="S42" s="5">
        <v>4.0</v>
      </c>
      <c r="T42" s="5">
        <v>3.0</v>
      </c>
      <c r="U42" s="5">
        <v>1.0</v>
      </c>
      <c r="V42" s="5">
        <v>1.0</v>
      </c>
      <c r="W42" s="5">
        <v>3.0</v>
      </c>
      <c r="X42" s="5">
        <v>7.0</v>
      </c>
      <c r="Y42" s="5">
        <f t="shared" si="1"/>
        <v>1</v>
      </c>
      <c r="Z42" s="5" t="s">
        <v>354</v>
      </c>
      <c r="AA42" s="5" t="s">
        <v>206</v>
      </c>
      <c r="AB42" s="5">
        <v>4.0</v>
      </c>
      <c r="AC42" s="5">
        <v>3.0</v>
      </c>
      <c r="AD42" s="5">
        <v>5.0</v>
      </c>
      <c r="AE42" s="5">
        <v>5.0</v>
      </c>
      <c r="AF42" s="5">
        <v>4.0</v>
      </c>
      <c r="AG42" s="5">
        <v>7.0</v>
      </c>
      <c r="AH42" s="5" t="s">
        <v>355</v>
      </c>
      <c r="AI42" s="5" t="s">
        <v>206</v>
      </c>
      <c r="AJ42" s="5">
        <v>4.0</v>
      </c>
      <c r="AK42" s="5">
        <v>5.0</v>
      </c>
      <c r="AL42" s="5">
        <v>5.0</v>
      </c>
      <c r="AM42" s="5">
        <v>3.0</v>
      </c>
      <c r="AN42" s="5">
        <f t="shared" si="2"/>
        <v>5</v>
      </c>
      <c r="AO42" s="5">
        <v>2.0</v>
      </c>
      <c r="AP42" s="5">
        <f t="shared" si="3"/>
        <v>6</v>
      </c>
      <c r="AQ42" s="5">
        <v>5.0</v>
      </c>
      <c r="AR42" s="5">
        <f t="shared" si="4"/>
        <v>3</v>
      </c>
      <c r="AS42" s="5">
        <v>1.0</v>
      </c>
      <c r="AT42" s="5">
        <f t="shared" si="5"/>
        <v>7</v>
      </c>
      <c r="AU42" s="5" t="s">
        <v>356</v>
      </c>
    </row>
    <row r="43">
      <c r="A43" s="8">
        <f>IFERROR(__xludf.DUMMYFUNCTION("IF(E43="""", """", VALUE(REGEXREPLACE(E43, ""^[Pp]"", """")))"),12.0)</f>
        <v>12</v>
      </c>
      <c r="B43" s="8">
        <v>418.0</v>
      </c>
      <c r="C43" s="7">
        <v>45867.29375</v>
      </c>
      <c r="D43" s="5" t="s">
        <v>357</v>
      </c>
      <c r="E43" s="5" t="s">
        <v>353</v>
      </c>
      <c r="F43" s="5" t="s">
        <v>263</v>
      </c>
      <c r="G43" s="6" t="str">
        <f>IFERROR(__xludf.DUMMYFUNCTION("IF(SPLIT(F43,""-"")=""HR"",""High"",""Low"")"),"Low")</f>
        <v>Low</v>
      </c>
      <c r="H43" s="6" t="str">
        <f>IFERROR(__xludf.DUMMYFUNCTION("INDEX(SPLIT(F43, ""-""), 2)"),"VR")</f>
        <v>VR</v>
      </c>
      <c r="I43" s="6">
        <v>2.0</v>
      </c>
      <c r="J43" s="5">
        <v>2.0</v>
      </c>
      <c r="K43" s="5">
        <v>4.0</v>
      </c>
      <c r="L43" s="5" t="s">
        <v>199</v>
      </c>
      <c r="M43" s="5">
        <v>3.0</v>
      </c>
      <c r="N43" s="5">
        <v>1.0</v>
      </c>
      <c r="O43" s="5">
        <v>1.0</v>
      </c>
      <c r="P43" s="5">
        <v>3.0</v>
      </c>
      <c r="Q43" s="5">
        <v>3.0</v>
      </c>
      <c r="R43" s="5">
        <v>6.0</v>
      </c>
      <c r="S43" s="5">
        <v>6.0</v>
      </c>
      <c r="T43" s="5">
        <v>6.0</v>
      </c>
      <c r="U43" s="5">
        <v>2.0</v>
      </c>
      <c r="V43" s="5">
        <v>1.0</v>
      </c>
      <c r="W43" s="5">
        <v>2.0</v>
      </c>
      <c r="X43" s="5">
        <v>7.0</v>
      </c>
      <c r="Y43" s="5">
        <f t="shared" si="1"/>
        <v>1</v>
      </c>
      <c r="Z43" s="11" t="s">
        <v>358</v>
      </c>
      <c r="AA43" s="5" t="s">
        <v>206</v>
      </c>
      <c r="AB43" s="5">
        <v>4.0</v>
      </c>
      <c r="AC43" s="5">
        <v>5.0</v>
      </c>
      <c r="AD43" s="5">
        <v>6.0</v>
      </c>
      <c r="AE43" s="5">
        <v>3.0</v>
      </c>
      <c r="AF43" s="5">
        <v>7.0</v>
      </c>
      <c r="AG43" s="5">
        <v>5.0</v>
      </c>
      <c r="AH43" s="5" t="s">
        <v>359</v>
      </c>
      <c r="AI43" s="5" t="s">
        <v>206</v>
      </c>
      <c r="AJ43" s="5">
        <v>5.0</v>
      </c>
      <c r="AK43" s="5">
        <v>6.0</v>
      </c>
      <c r="AL43" s="5">
        <v>3.0</v>
      </c>
      <c r="AM43" s="5">
        <v>3.0</v>
      </c>
      <c r="AN43" s="5">
        <f t="shared" si="2"/>
        <v>5</v>
      </c>
      <c r="AO43" s="5">
        <v>3.0</v>
      </c>
      <c r="AP43" s="5">
        <f t="shared" si="3"/>
        <v>5</v>
      </c>
      <c r="AQ43" s="5">
        <v>5.0</v>
      </c>
      <c r="AR43" s="5">
        <f t="shared" si="4"/>
        <v>3</v>
      </c>
      <c r="AS43" s="5">
        <v>3.0</v>
      </c>
      <c r="AT43" s="5">
        <f t="shared" si="5"/>
        <v>5</v>
      </c>
      <c r="AU43" s="5" t="s">
        <v>360</v>
      </c>
    </row>
    <row r="44">
      <c r="A44" s="8">
        <f>IFERROR(__xludf.DUMMYFUNCTION("IF(E44="""", """", VALUE(REGEXREPLACE(E44, ""^[Pp]"", """")))"),12.0)</f>
        <v>12</v>
      </c>
      <c r="B44" s="8">
        <v>1001.0</v>
      </c>
      <c r="C44" s="7">
        <v>45867.305555555555</v>
      </c>
      <c r="D44" s="5" t="s">
        <v>366</v>
      </c>
      <c r="E44" s="5" t="s">
        <v>353</v>
      </c>
      <c r="F44" s="5" t="s">
        <v>216</v>
      </c>
      <c r="G44" s="6" t="str">
        <f>IFERROR(__xludf.DUMMYFUNCTION("IF(SPLIT(F44,""-"")=""HR"",""High"",""Low"")"),"Low")</f>
        <v>Low</v>
      </c>
      <c r="H44" s="6" t="str">
        <f>IFERROR(__xludf.DUMMYFUNCTION("INDEX(SPLIT(F44, ""-""), 2)"),"Web")</f>
        <v>Web</v>
      </c>
      <c r="I44" s="6">
        <v>3.0</v>
      </c>
      <c r="J44" s="5">
        <v>4.0</v>
      </c>
      <c r="K44" s="5">
        <v>2.0</v>
      </c>
      <c r="L44" s="5" t="s">
        <v>199</v>
      </c>
      <c r="M44" s="5">
        <v>4.0</v>
      </c>
      <c r="N44" s="5">
        <v>2.0</v>
      </c>
      <c r="O44" s="5">
        <v>1.0</v>
      </c>
      <c r="P44" s="5">
        <v>3.0</v>
      </c>
      <c r="Q44" s="5">
        <v>6.0</v>
      </c>
      <c r="R44" s="5">
        <v>3.0</v>
      </c>
      <c r="S44" s="5">
        <v>6.0</v>
      </c>
      <c r="T44" s="5">
        <v>6.0</v>
      </c>
      <c r="U44" s="5">
        <v>1.0</v>
      </c>
      <c r="V44" s="5">
        <v>1.0</v>
      </c>
      <c r="W44" s="5">
        <v>5.0</v>
      </c>
      <c r="X44" s="5">
        <v>7.0</v>
      </c>
      <c r="Y44" s="5">
        <f t="shared" si="1"/>
        <v>1</v>
      </c>
      <c r="Z44" s="5" t="s">
        <v>367</v>
      </c>
      <c r="AA44" s="5" t="s">
        <v>206</v>
      </c>
      <c r="AB44" s="5">
        <v>6.0</v>
      </c>
      <c r="AC44" s="5">
        <v>4.0</v>
      </c>
      <c r="AD44" s="5">
        <v>5.0</v>
      </c>
      <c r="AE44" s="5">
        <v>6.0</v>
      </c>
      <c r="AF44" s="5">
        <v>6.0</v>
      </c>
      <c r="AG44" s="5">
        <v>4.0</v>
      </c>
      <c r="AH44" s="5" t="s">
        <v>368</v>
      </c>
      <c r="AI44" s="5" t="s">
        <v>206</v>
      </c>
      <c r="AJ44" s="5">
        <v>4.0</v>
      </c>
      <c r="AK44" s="5">
        <v>6.0</v>
      </c>
      <c r="AL44" s="5">
        <v>5.0</v>
      </c>
      <c r="AM44" s="5">
        <v>1.0</v>
      </c>
      <c r="AN44" s="5">
        <f t="shared" si="2"/>
        <v>7</v>
      </c>
      <c r="AO44" s="5">
        <v>1.0</v>
      </c>
      <c r="AP44" s="5">
        <f t="shared" si="3"/>
        <v>7</v>
      </c>
      <c r="AQ44" s="5">
        <v>1.0</v>
      </c>
      <c r="AR44" s="5">
        <f t="shared" si="4"/>
        <v>7</v>
      </c>
      <c r="AS44" s="5">
        <v>1.0</v>
      </c>
      <c r="AT44" s="5">
        <f t="shared" si="5"/>
        <v>7</v>
      </c>
      <c r="AU44" s="5" t="s">
        <v>369</v>
      </c>
    </row>
    <row r="45">
      <c r="A45" s="8">
        <f>IFERROR(__xludf.DUMMYFUNCTION("IF(E45="""", """", VALUE(REGEXREPLACE(E45, ""^[Pp]"", """")))"),12.0)</f>
        <v>12</v>
      </c>
      <c r="B45" s="8">
        <v>594.0</v>
      </c>
      <c r="C45" s="7">
        <v>45867.31458333333</v>
      </c>
      <c r="D45" s="5" t="s">
        <v>370</v>
      </c>
      <c r="E45" s="5" t="s">
        <v>353</v>
      </c>
      <c r="F45" s="5" t="s">
        <v>211</v>
      </c>
      <c r="G45" s="6" t="str">
        <f>IFERROR(__xludf.DUMMYFUNCTION("IF(SPLIT(F45,""-"")=""HR"",""High"",""Low"")"),"High")</f>
        <v>High</v>
      </c>
      <c r="H45" s="6" t="str">
        <f>IFERROR(__xludf.DUMMYFUNCTION("INDEX(SPLIT(F45, ""-""), 2)"),"Web")</f>
        <v>Web</v>
      </c>
      <c r="I45" s="6">
        <v>4.0</v>
      </c>
      <c r="J45" s="5">
        <v>5.0</v>
      </c>
      <c r="K45" s="5">
        <v>1.0</v>
      </c>
      <c r="L45" s="5" t="s">
        <v>199</v>
      </c>
      <c r="M45" s="5">
        <v>1.0</v>
      </c>
      <c r="N45" s="5">
        <v>5.0</v>
      </c>
      <c r="O45" s="5">
        <v>3.0</v>
      </c>
      <c r="P45" s="5">
        <v>2.0</v>
      </c>
      <c r="Q45" s="5">
        <v>6.0</v>
      </c>
      <c r="R45" s="5">
        <v>4.0</v>
      </c>
      <c r="S45" s="5">
        <v>5.0</v>
      </c>
      <c r="T45" s="5">
        <v>5.0</v>
      </c>
      <c r="U45" s="5">
        <v>6.0</v>
      </c>
      <c r="V45" s="5">
        <v>3.0</v>
      </c>
      <c r="W45" s="5">
        <v>5.0</v>
      </c>
      <c r="X45" s="5">
        <v>4.0</v>
      </c>
      <c r="Y45" s="5">
        <f t="shared" si="1"/>
        <v>4</v>
      </c>
      <c r="Z45" s="5" t="s">
        <v>371</v>
      </c>
      <c r="AA45" s="5" t="s">
        <v>206</v>
      </c>
      <c r="AB45" s="5">
        <v>6.0</v>
      </c>
      <c r="AC45" s="5">
        <v>5.0</v>
      </c>
      <c r="AD45" s="5">
        <v>5.0</v>
      </c>
      <c r="AE45" s="5">
        <v>2.0</v>
      </c>
      <c r="AF45" s="5">
        <v>4.0</v>
      </c>
      <c r="AG45" s="5">
        <v>1.0</v>
      </c>
      <c r="AH45" s="5" t="s">
        <v>372</v>
      </c>
      <c r="AI45" s="5" t="s">
        <v>206</v>
      </c>
      <c r="AJ45" s="5">
        <v>5.0</v>
      </c>
      <c r="AK45" s="5">
        <v>5.0</v>
      </c>
      <c r="AL45" s="5">
        <v>6.0</v>
      </c>
      <c r="AM45" s="5">
        <v>1.0</v>
      </c>
      <c r="AN45" s="5">
        <f t="shared" si="2"/>
        <v>7</v>
      </c>
      <c r="AO45" s="5">
        <v>1.0</v>
      </c>
      <c r="AP45" s="5">
        <f t="shared" si="3"/>
        <v>7</v>
      </c>
      <c r="AQ45" s="5">
        <v>1.0</v>
      </c>
      <c r="AR45" s="5">
        <f t="shared" si="4"/>
        <v>7</v>
      </c>
      <c r="AS45" s="5">
        <v>1.0</v>
      </c>
      <c r="AT45" s="5">
        <f t="shared" si="5"/>
        <v>7</v>
      </c>
      <c r="AU45" s="5" t="s">
        <v>373</v>
      </c>
    </row>
    <row r="46">
      <c r="A46" s="8">
        <f>IFERROR(__xludf.DUMMYFUNCTION("IF(E46="""", """", VALUE(REGEXREPLACE(E46, ""^[Pp]"", """")))"),13.0)</f>
        <v>13</v>
      </c>
      <c r="B46" s="8">
        <v>1140.0</v>
      </c>
      <c r="C46" s="7">
        <v>45868.02847222222</v>
      </c>
      <c r="D46" s="5" t="s">
        <v>378</v>
      </c>
      <c r="E46" s="5" t="s">
        <v>379</v>
      </c>
      <c r="F46" s="5" t="s">
        <v>197</v>
      </c>
      <c r="G46" s="6" t="str">
        <f>IFERROR(__xludf.DUMMYFUNCTION("IF(SPLIT(F46,""-"")=""HR"",""High"",""Low"")"),"High")</f>
        <v>High</v>
      </c>
      <c r="H46" s="6" t="str">
        <f>IFERROR(__xludf.DUMMYFUNCTION("INDEX(SPLIT(F46, ""-""), 2)"),"VR")</f>
        <v>VR</v>
      </c>
      <c r="I46" s="6">
        <v>1.0</v>
      </c>
      <c r="J46" s="5">
        <v>6.0</v>
      </c>
      <c r="K46" s="5">
        <v>6.0</v>
      </c>
      <c r="L46" s="5" t="s">
        <v>199</v>
      </c>
      <c r="M46" s="5">
        <v>6.0</v>
      </c>
      <c r="N46" s="5">
        <v>7.0</v>
      </c>
      <c r="O46" s="5">
        <v>7.0</v>
      </c>
      <c r="P46" s="5">
        <v>6.0</v>
      </c>
      <c r="Q46" s="5">
        <v>7.0</v>
      </c>
      <c r="R46" s="5">
        <v>7.0</v>
      </c>
      <c r="S46" s="5">
        <v>7.0</v>
      </c>
      <c r="T46" s="5">
        <v>6.0</v>
      </c>
      <c r="U46" s="5">
        <v>6.0</v>
      </c>
      <c r="V46" s="5">
        <v>5.0</v>
      </c>
      <c r="W46" s="5">
        <v>6.0</v>
      </c>
      <c r="X46" s="5">
        <v>5.0</v>
      </c>
      <c r="Y46" s="5">
        <f t="shared" si="1"/>
        <v>3</v>
      </c>
      <c r="Z46" s="5" t="s">
        <v>380</v>
      </c>
      <c r="AA46" s="5" t="s">
        <v>206</v>
      </c>
      <c r="AB46" s="5">
        <v>7.0</v>
      </c>
      <c r="AC46" s="5">
        <v>7.0</v>
      </c>
      <c r="AD46" s="5">
        <v>7.0</v>
      </c>
      <c r="AE46" s="5">
        <v>7.0</v>
      </c>
      <c r="AF46" s="5">
        <v>7.0</v>
      </c>
      <c r="AG46" s="5">
        <v>6.0</v>
      </c>
      <c r="AH46" s="5" t="s">
        <v>381</v>
      </c>
      <c r="AI46" s="5" t="s">
        <v>206</v>
      </c>
      <c r="AJ46" s="5">
        <v>6.0</v>
      </c>
      <c r="AK46" s="5">
        <v>6.0</v>
      </c>
      <c r="AL46" s="5">
        <v>7.0</v>
      </c>
      <c r="AM46" s="5">
        <v>2.0</v>
      </c>
      <c r="AN46" s="5">
        <f t="shared" si="2"/>
        <v>6</v>
      </c>
      <c r="AO46" s="5">
        <v>1.0</v>
      </c>
      <c r="AP46" s="5">
        <f t="shared" si="3"/>
        <v>7</v>
      </c>
      <c r="AQ46" s="5">
        <v>2.0</v>
      </c>
      <c r="AR46" s="5">
        <f t="shared" si="4"/>
        <v>6</v>
      </c>
      <c r="AS46" s="5">
        <v>1.0</v>
      </c>
      <c r="AT46" s="5">
        <f t="shared" si="5"/>
        <v>7</v>
      </c>
      <c r="AU46" s="5" t="s">
        <v>382</v>
      </c>
    </row>
    <row r="47">
      <c r="A47" s="8">
        <f>IFERROR(__xludf.DUMMYFUNCTION("IF(E47="""", """", VALUE(REGEXREPLACE(E47, ""^[Pp]"", """")))"),13.0)</f>
        <v>13</v>
      </c>
      <c r="B47" s="8">
        <v>1527.0</v>
      </c>
      <c r="C47" s="7">
        <v>45868.041666666664</v>
      </c>
      <c r="D47" s="5" t="s">
        <v>390</v>
      </c>
      <c r="E47" s="5" t="s">
        <v>379</v>
      </c>
      <c r="F47" s="5" t="s">
        <v>211</v>
      </c>
      <c r="G47" s="6" t="str">
        <f>IFERROR(__xludf.DUMMYFUNCTION("IF(SPLIT(F47,""-"")=""HR"",""High"",""Low"")"),"High")</f>
        <v>High</v>
      </c>
      <c r="H47" s="6" t="str">
        <f>IFERROR(__xludf.DUMMYFUNCTION("INDEX(SPLIT(F47, ""-""), 2)"),"Web")</f>
        <v>Web</v>
      </c>
      <c r="I47" s="6">
        <v>2.0</v>
      </c>
      <c r="J47" s="5">
        <v>6.0</v>
      </c>
      <c r="K47" s="5">
        <v>6.0</v>
      </c>
      <c r="L47" s="5" t="s">
        <v>199</v>
      </c>
      <c r="M47" s="5">
        <v>6.0</v>
      </c>
      <c r="N47" s="5">
        <v>7.0</v>
      </c>
      <c r="O47" s="5">
        <v>7.0</v>
      </c>
      <c r="P47" s="5">
        <v>6.0</v>
      </c>
      <c r="Q47" s="5">
        <v>7.0</v>
      </c>
      <c r="R47" s="5">
        <v>7.0</v>
      </c>
      <c r="S47" s="5">
        <v>7.0</v>
      </c>
      <c r="T47" s="5">
        <v>6.0</v>
      </c>
      <c r="U47" s="5">
        <v>6.0</v>
      </c>
      <c r="V47" s="5">
        <v>4.0</v>
      </c>
      <c r="W47" s="5">
        <v>6.0</v>
      </c>
      <c r="X47" s="5">
        <v>2.0</v>
      </c>
      <c r="Y47" s="5">
        <f t="shared" si="1"/>
        <v>6</v>
      </c>
      <c r="Z47" s="5" t="s">
        <v>391</v>
      </c>
      <c r="AA47" s="5" t="s">
        <v>206</v>
      </c>
      <c r="AB47" s="5">
        <v>6.0</v>
      </c>
      <c r="AC47" s="5">
        <v>6.0</v>
      </c>
      <c r="AD47" s="5">
        <v>6.0</v>
      </c>
      <c r="AE47" s="5">
        <v>7.0</v>
      </c>
      <c r="AF47" s="5">
        <v>6.0</v>
      </c>
      <c r="AG47" s="5">
        <v>7.0</v>
      </c>
      <c r="AH47" s="5" t="s">
        <v>392</v>
      </c>
      <c r="AI47" s="5" t="s">
        <v>206</v>
      </c>
      <c r="AJ47" s="5">
        <v>7.0</v>
      </c>
      <c r="AK47" s="5">
        <v>7.0</v>
      </c>
      <c r="AL47" s="5">
        <v>6.0</v>
      </c>
      <c r="AM47" s="5">
        <v>1.0</v>
      </c>
      <c r="AN47" s="5">
        <f t="shared" si="2"/>
        <v>7</v>
      </c>
      <c r="AO47" s="5">
        <v>1.0</v>
      </c>
      <c r="AP47" s="5">
        <f t="shared" si="3"/>
        <v>7</v>
      </c>
      <c r="AQ47" s="5">
        <v>1.0</v>
      </c>
      <c r="AR47" s="5">
        <f t="shared" si="4"/>
        <v>7</v>
      </c>
      <c r="AS47" s="5">
        <v>1.0</v>
      </c>
      <c r="AT47" s="5">
        <f t="shared" si="5"/>
        <v>7</v>
      </c>
      <c r="AU47" s="5" t="s">
        <v>393</v>
      </c>
    </row>
    <row r="48">
      <c r="A48" s="8">
        <f>IFERROR(__xludf.DUMMYFUNCTION("IF(E48="""", """", VALUE(REGEXREPLACE(E48, ""^[Pp]"", """")))"),13.0)</f>
        <v>13</v>
      </c>
      <c r="B48" s="8">
        <v>866.0</v>
      </c>
      <c r="C48" s="7">
        <v>45868.05416666667</v>
      </c>
      <c r="D48" s="5" t="s">
        <v>394</v>
      </c>
      <c r="E48" s="5" t="s">
        <v>379</v>
      </c>
      <c r="F48" s="5" t="s">
        <v>216</v>
      </c>
      <c r="G48" s="6" t="str">
        <f>IFERROR(__xludf.DUMMYFUNCTION("IF(SPLIT(F48,""-"")=""HR"",""High"",""Low"")"),"Low")</f>
        <v>Low</v>
      </c>
      <c r="H48" s="6" t="str">
        <f>IFERROR(__xludf.DUMMYFUNCTION("INDEX(SPLIT(F48, ""-""), 2)"),"Web")</f>
        <v>Web</v>
      </c>
      <c r="I48" s="6">
        <v>3.0</v>
      </c>
      <c r="J48" s="5">
        <v>6.0</v>
      </c>
      <c r="K48" s="5">
        <v>5.0</v>
      </c>
      <c r="L48" s="5" t="s">
        <v>199</v>
      </c>
      <c r="M48" s="5">
        <v>7.0</v>
      </c>
      <c r="N48" s="5">
        <v>7.0</v>
      </c>
      <c r="O48" s="5">
        <v>7.0</v>
      </c>
      <c r="P48" s="5">
        <v>6.0</v>
      </c>
      <c r="Q48" s="5">
        <v>6.0</v>
      </c>
      <c r="R48" s="5">
        <v>7.0</v>
      </c>
      <c r="S48" s="5">
        <v>7.0</v>
      </c>
      <c r="T48" s="5">
        <v>6.0</v>
      </c>
      <c r="U48" s="5">
        <v>5.0</v>
      </c>
      <c r="V48" s="5">
        <v>6.0</v>
      </c>
      <c r="W48" s="5">
        <v>6.0</v>
      </c>
      <c r="X48" s="5">
        <v>3.0</v>
      </c>
      <c r="Y48" s="5">
        <f t="shared" si="1"/>
        <v>5</v>
      </c>
      <c r="Z48" s="5" t="s">
        <v>395</v>
      </c>
      <c r="AA48" s="5" t="s">
        <v>206</v>
      </c>
      <c r="AB48" s="5">
        <v>6.0</v>
      </c>
      <c r="AC48" s="5">
        <v>6.0</v>
      </c>
      <c r="AD48" s="5">
        <v>7.0</v>
      </c>
      <c r="AE48" s="5">
        <v>7.0</v>
      </c>
      <c r="AF48" s="5">
        <v>7.0</v>
      </c>
      <c r="AG48" s="5">
        <v>7.0</v>
      </c>
      <c r="AH48" s="5" t="s">
        <v>396</v>
      </c>
      <c r="AI48" s="5" t="s">
        <v>206</v>
      </c>
      <c r="AJ48" s="5">
        <v>6.0</v>
      </c>
      <c r="AK48" s="5">
        <v>6.0</v>
      </c>
      <c r="AL48" s="5">
        <v>6.0</v>
      </c>
      <c r="AM48" s="5">
        <v>1.0</v>
      </c>
      <c r="AN48" s="5">
        <f t="shared" si="2"/>
        <v>7</v>
      </c>
      <c r="AO48" s="5">
        <v>1.0</v>
      </c>
      <c r="AP48" s="5">
        <f t="shared" si="3"/>
        <v>7</v>
      </c>
      <c r="AQ48" s="5">
        <v>1.0</v>
      </c>
      <c r="AR48" s="5">
        <f t="shared" si="4"/>
        <v>7</v>
      </c>
      <c r="AS48" s="5">
        <v>1.0</v>
      </c>
      <c r="AT48" s="5">
        <f t="shared" si="5"/>
        <v>7</v>
      </c>
      <c r="AU48" s="5" t="s">
        <v>397</v>
      </c>
    </row>
    <row r="49">
      <c r="A49" s="8">
        <f>IFERROR(__xludf.DUMMYFUNCTION("IF(E49="""", """", VALUE(REGEXREPLACE(E49, ""^[Pp]"", """")))"),13.0)</f>
        <v>13</v>
      </c>
      <c r="B49" s="8">
        <v>659.0</v>
      </c>
      <c r="C49" s="7">
        <v>45868.072916666664</v>
      </c>
      <c r="D49" s="5" t="s">
        <v>406</v>
      </c>
      <c r="E49" s="5" t="s">
        <v>379</v>
      </c>
      <c r="F49" s="5" t="s">
        <v>263</v>
      </c>
      <c r="G49" s="6" t="str">
        <f>IFERROR(__xludf.DUMMYFUNCTION("IF(SPLIT(F49,""-"")=""HR"",""High"",""Low"")"),"Low")</f>
        <v>Low</v>
      </c>
      <c r="H49" s="6" t="str">
        <f>IFERROR(__xludf.DUMMYFUNCTION("INDEX(SPLIT(F49, ""-""), 2)"),"VR")</f>
        <v>VR</v>
      </c>
      <c r="I49" s="6">
        <v>4.0</v>
      </c>
      <c r="J49" s="5">
        <v>6.0</v>
      </c>
      <c r="K49" s="5">
        <v>6.0</v>
      </c>
      <c r="L49" s="5" t="s">
        <v>199</v>
      </c>
      <c r="M49" s="5">
        <v>6.0</v>
      </c>
      <c r="N49" s="5">
        <v>6.0</v>
      </c>
      <c r="O49" s="5">
        <v>6.0</v>
      </c>
      <c r="P49" s="5">
        <v>6.0</v>
      </c>
      <c r="Q49" s="5">
        <v>7.0</v>
      </c>
      <c r="R49" s="5">
        <v>7.0</v>
      </c>
      <c r="S49" s="5">
        <v>7.0</v>
      </c>
      <c r="T49" s="5">
        <v>7.0</v>
      </c>
      <c r="U49" s="5">
        <v>5.0</v>
      </c>
      <c r="V49" s="5">
        <v>6.0</v>
      </c>
      <c r="W49" s="5">
        <v>6.0</v>
      </c>
      <c r="X49" s="5">
        <v>6.0</v>
      </c>
      <c r="Y49" s="5">
        <f t="shared" si="1"/>
        <v>2</v>
      </c>
      <c r="Z49" s="5" t="s">
        <v>407</v>
      </c>
      <c r="AA49" s="5" t="s">
        <v>206</v>
      </c>
      <c r="AB49" s="5">
        <v>6.0</v>
      </c>
      <c r="AC49" s="5">
        <v>7.0</v>
      </c>
      <c r="AD49" s="5">
        <v>7.0</v>
      </c>
      <c r="AE49" s="5">
        <v>7.0</v>
      </c>
      <c r="AF49" s="5">
        <v>7.0</v>
      </c>
      <c r="AG49" s="5">
        <v>7.0</v>
      </c>
      <c r="AH49" s="5" t="s">
        <v>408</v>
      </c>
      <c r="AI49" s="5" t="s">
        <v>206</v>
      </c>
      <c r="AJ49" s="5">
        <v>7.0</v>
      </c>
      <c r="AK49" s="5">
        <v>7.0</v>
      </c>
      <c r="AL49" s="5">
        <v>7.0</v>
      </c>
      <c r="AM49" s="5">
        <v>1.0</v>
      </c>
      <c r="AN49" s="5">
        <f t="shared" si="2"/>
        <v>7</v>
      </c>
      <c r="AO49" s="5">
        <v>1.0</v>
      </c>
      <c r="AP49" s="5">
        <f t="shared" si="3"/>
        <v>7</v>
      </c>
      <c r="AQ49" s="5">
        <v>1.0</v>
      </c>
      <c r="AR49" s="5">
        <f t="shared" si="4"/>
        <v>7</v>
      </c>
      <c r="AS49" s="5">
        <v>1.0</v>
      </c>
      <c r="AT49" s="5">
        <f t="shared" si="5"/>
        <v>7</v>
      </c>
      <c r="AU49" s="5" t="s">
        <v>409</v>
      </c>
    </row>
    <row r="50">
      <c r="A50" s="8">
        <f>IFERROR(__xludf.DUMMYFUNCTION("IF(E50="""", """", VALUE(REGEXREPLACE(E50, ""^[Pp]"", """")))"),14.0)</f>
        <v>14</v>
      </c>
      <c r="B50" s="8">
        <v>2166.0</v>
      </c>
      <c r="C50" s="7">
        <v>45868.040972222225</v>
      </c>
      <c r="D50" s="5" t="s">
        <v>384</v>
      </c>
      <c r="E50" s="5" t="s">
        <v>385</v>
      </c>
      <c r="F50" s="5" t="s">
        <v>211</v>
      </c>
      <c r="G50" s="6" t="str">
        <f>IFERROR(__xludf.DUMMYFUNCTION("IF(SPLIT(F50,""-"")=""HR"",""High"",""Low"")"),"High")</f>
        <v>High</v>
      </c>
      <c r="H50" s="6" t="str">
        <f>IFERROR(__xludf.DUMMYFUNCTION("INDEX(SPLIT(F50, ""-""), 2)"),"Web")</f>
        <v>Web</v>
      </c>
      <c r="I50" s="6">
        <v>1.0</v>
      </c>
      <c r="J50" s="5">
        <v>4.0</v>
      </c>
      <c r="K50" s="5">
        <v>5.0</v>
      </c>
      <c r="L50" s="5" t="s">
        <v>199</v>
      </c>
      <c r="M50" s="5">
        <v>6.0</v>
      </c>
      <c r="N50" s="5">
        <v>6.0</v>
      </c>
      <c r="O50" s="5">
        <v>3.0</v>
      </c>
      <c r="P50" s="5">
        <v>3.0</v>
      </c>
      <c r="Q50" s="5">
        <v>6.0</v>
      </c>
      <c r="R50" s="5">
        <v>5.0</v>
      </c>
      <c r="S50" s="5">
        <v>5.0</v>
      </c>
      <c r="T50" s="5">
        <v>6.0</v>
      </c>
      <c r="U50" s="5">
        <v>4.0</v>
      </c>
      <c r="V50" s="5">
        <v>4.0</v>
      </c>
      <c r="W50" s="5">
        <v>5.0</v>
      </c>
      <c r="X50" s="5">
        <v>4.0</v>
      </c>
      <c r="Y50" s="5">
        <f t="shared" si="1"/>
        <v>4</v>
      </c>
      <c r="Z50" s="5" t="s">
        <v>386</v>
      </c>
      <c r="AA50" s="5" t="s">
        <v>206</v>
      </c>
      <c r="AB50" s="5">
        <v>6.0</v>
      </c>
      <c r="AC50" s="5">
        <v>6.0</v>
      </c>
      <c r="AD50" s="5">
        <v>7.0</v>
      </c>
      <c r="AE50" s="5">
        <v>6.0</v>
      </c>
      <c r="AF50" s="5">
        <v>5.0</v>
      </c>
      <c r="AG50" s="5">
        <v>4.0</v>
      </c>
      <c r="AH50" s="5" t="s">
        <v>387</v>
      </c>
      <c r="AI50" s="5" t="s">
        <v>206</v>
      </c>
      <c r="AJ50" s="5">
        <v>7.0</v>
      </c>
      <c r="AK50" s="5">
        <v>6.0</v>
      </c>
      <c r="AL50" s="5">
        <v>6.0</v>
      </c>
      <c r="AM50" s="5">
        <v>1.0</v>
      </c>
      <c r="AN50" s="5">
        <f t="shared" si="2"/>
        <v>7</v>
      </c>
      <c r="AO50" s="5">
        <v>1.0</v>
      </c>
      <c r="AP50" s="5">
        <f t="shared" si="3"/>
        <v>7</v>
      </c>
      <c r="AQ50" s="5">
        <v>1.0</v>
      </c>
      <c r="AR50" s="5">
        <f t="shared" si="4"/>
        <v>7</v>
      </c>
      <c r="AS50" s="5">
        <v>1.0</v>
      </c>
      <c r="AT50" s="5">
        <f t="shared" si="5"/>
        <v>7</v>
      </c>
      <c r="AU50" s="5" t="s">
        <v>388</v>
      </c>
    </row>
    <row r="51">
      <c r="A51" s="8">
        <f>IFERROR(__xludf.DUMMYFUNCTION("IF(E51="""", """", VALUE(REGEXREPLACE(E51, ""^[Pp]"", """")))"),14.0)</f>
        <v>14</v>
      </c>
      <c r="B51" s="8">
        <v>863.0</v>
      </c>
      <c r="C51" s="7">
        <v>45868.055555555555</v>
      </c>
      <c r="D51" s="5" t="s">
        <v>398</v>
      </c>
      <c r="E51" s="5" t="s">
        <v>385</v>
      </c>
      <c r="F51" s="5" t="s">
        <v>197</v>
      </c>
      <c r="G51" s="6" t="str">
        <f>IFERROR(__xludf.DUMMYFUNCTION("IF(SPLIT(F51,""-"")=""HR"",""High"",""Low"")"),"High")</f>
        <v>High</v>
      </c>
      <c r="H51" s="6" t="str">
        <f>IFERROR(__xludf.DUMMYFUNCTION("INDEX(SPLIT(F51, ""-""), 2)"),"VR")</f>
        <v>VR</v>
      </c>
      <c r="I51" s="6">
        <v>2.0</v>
      </c>
      <c r="J51" s="5">
        <v>7.0</v>
      </c>
      <c r="K51" s="5">
        <v>6.0</v>
      </c>
      <c r="L51" s="5" t="s">
        <v>199</v>
      </c>
      <c r="M51" s="5">
        <v>6.0</v>
      </c>
      <c r="N51" s="5">
        <v>6.0</v>
      </c>
      <c r="O51" s="5">
        <v>7.0</v>
      </c>
      <c r="P51" s="5">
        <v>6.0</v>
      </c>
      <c r="Q51" s="5">
        <v>7.0</v>
      </c>
      <c r="R51" s="5">
        <v>6.0</v>
      </c>
      <c r="S51" s="5">
        <v>6.0</v>
      </c>
      <c r="T51" s="5">
        <v>6.0</v>
      </c>
      <c r="U51" s="5">
        <v>4.0</v>
      </c>
      <c r="V51" s="5">
        <v>4.0</v>
      </c>
      <c r="W51" s="5">
        <v>6.0</v>
      </c>
      <c r="X51" s="5">
        <v>5.0</v>
      </c>
      <c r="Y51" s="5">
        <f t="shared" si="1"/>
        <v>3</v>
      </c>
      <c r="Z51" s="5" t="s">
        <v>399</v>
      </c>
      <c r="AA51" s="5" t="s">
        <v>206</v>
      </c>
      <c r="AB51" s="5">
        <v>6.0</v>
      </c>
      <c r="AC51" s="5">
        <v>6.0</v>
      </c>
      <c r="AD51" s="5">
        <v>7.0</v>
      </c>
      <c r="AE51" s="5">
        <v>6.0</v>
      </c>
      <c r="AF51" s="5">
        <v>6.0</v>
      </c>
      <c r="AG51" s="5">
        <v>4.0</v>
      </c>
      <c r="AH51" s="5" t="s">
        <v>400</v>
      </c>
      <c r="AI51" s="5" t="s">
        <v>206</v>
      </c>
      <c r="AJ51" s="5">
        <v>6.0</v>
      </c>
      <c r="AK51" s="5">
        <v>6.0</v>
      </c>
      <c r="AL51" s="5">
        <v>6.0</v>
      </c>
      <c r="AM51" s="5">
        <v>2.0</v>
      </c>
      <c r="AN51" s="5">
        <f t="shared" si="2"/>
        <v>6</v>
      </c>
      <c r="AO51" s="5">
        <v>1.0</v>
      </c>
      <c r="AP51" s="5">
        <f t="shared" si="3"/>
        <v>7</v>
      </c>
      <c r="AQ51" s="5">
        <v>2.0</v>
      </c>
      <c r="AR51" s="5">
        <f t="shared" si="4"/>
        <v>6</v>
      </c>
      <c r="AS51" s="5">
        <v>1.0</v>
      </c>
      <c r="AT51" s="5">
        <f t="shared" si="5"/>
        <v>7</v>
      </c>
      <c r="AU51" s="5" t="s">
        <v>401</v>
      </c>
    </row>
    <row r="52">
      <c r="A52" s="8">
        <f>IFERROR(__xludf.DUMMYFUNCTION("IF(E52="""", """", VALUE(REGEXREPLACE(E52, ""^[Pp]"", """")))"),14.0)</f>
        <v>14</v>
      </c>
      <c r="B52" s="8">
        <v>942.0</v>
      </c>
      <c r="C52" s="7">
        <v>45868.07083333333</v>
      </c>
      <c r="D52" s="5" t="s">
        <v>402</v>
      </c>
      <c r="E52" s="5" t="s">
        <v>385</v>
      </c>
      <c r="F52" s="5" t="s">
        <v>263</v>
      </c>
      <c r="G52" s="6" t="str">
        <f>IFERROR(__xludf.DUMMYFUNCTION("IF(SPLIT(F52,""-"")=""HR"",""High"",""Low"")"),"Low")</f>
        <v>Low</v>
      </c>
      <c r="H52" s="6" t="str">
        <f>IFERROR(__xludf.DUMMYFUNCTION("INDEX(SPLIT(F52, ""-""), 2)"),"VR")</f>
        <v>VR</v>
      </c>
      <c r="I52" s="6">
        <v>3.0</v>
      </c>
      <c r="J52" s="5">
        <v>6.0</v>
      </c>
      <c r="K52" s="5">
        <v>5.0</v>
      </c>
      <c r="L52" s="5" t="s">
        <v>199</v>
      </c>
      <c r="M52" s="5">
        <v>6.0</v>
      </c>
      <c r="N52" s="5">
        <v>5.0</v>
      </c>
      <c r="O52" s="5">
        <v>7.0</v>
      </c>
      <c r="P52" s="5">
        <v>5.0</v>
      </c>
      <c r="Q52" s="5">
        <v>7.0</v>
      </c>
      <c r="R52" s="5">
        <v>6.0</v>
      </c>
      <c r="S52" s="5">
        <v>5.0</v>
      </c>
      <c r="T52" s="5">
        <v>6.0</v>
      </c>
      <c r="U52" s="5">
        <v>6.0</v>
      </c>
      <c r="V52" s="5">
        <v>2.0</v>
      </c>
      <c r="W52" s="5">
        <v>6.0</v>
      </c>
      <c r="X52" s="5">
        <v>5.0</v>
      </c>
      <c r="Y52" s="5">
        <f t="shared" si="1"/>
        <v>3</v>
      </c>
      <c r="Z52" s="5" t="s">
        <v>403</v>
      </c>
      <c r="AA52" s="5" t="s">
        <v>206</v>
      </c>
      <c r="AB52" s="5">
        <v>6.0</v>
      </c>
      <c r="AC52" s="5">
        <v>6.0</v>
      </c>
      <c r="AD52" s="5">
        <v>6.0</v>
      </c>
      <c r="AE52" s="5">
        <v>6.0</v>
      </c>
      <c r="AF52" s="5">
        <v>6.0</v>
      </c>
      <c r="AG52" s="5">
        <v>4.0</v>
      </c>
      <c r="AH52" s="5" t="s">
        <v>404</v>
      </c>
      <c r="AI52" s="5" t="s">
        <v>206</v>
      </c>
      <c r="AJ52" s="5">
        <v>6.0</v>
      </c>
      <c r="AK52" s="5">
        <v>5.0</v>
      </c>
      <c r="AL52" s="5">
        <v>5.0</v>
      </c>
      <c r="AM52" s="5">
        <v>2.0</v>
      </c>
      <c r="AN52" s="5">
        <f t="shared" si="2"/>
        <v>6</v>
      </c>
      <c r="AO52" s="5">
        <v>2.0</v>
      </c>
      <c r="AP52" s="5">
        <f t="shared" si="3"/>
        <v>6</v>
      </c>
      <c r="AQ52" s="5">
        <v>5.0</v>
      </c>
      <c r="AR52" s="5">
        <f t="shared" si="4"/>
        <v>3</v>
      </c>
      <c r="AS52" s="5">
        <v>2.0</v>
      </c>
      <c r="AT52" s="5">
        <f t="shared" si="5"/>
        <v>6</v>
      </c>
      <c r="AU52" s="5" t="s">
        <v>405</v>
      </c>
    </row>
    <row r="53">
      <c r="A53" s="8">
        <f>IFERROR(__xludf.DUMMYFUNCTION("IF(E53="""", """", VALUE(REGEXREPLACE(E53, ""^[Pp]"", """")))"),14.0)</f>
        <v>14</v>
      </c>
      <c r="B53" s="8">
        <v>1190.0</v>
      </c>
      <c r="C53" s="7">
        <v>45868.08541666667</v>
      </c>
      <c r="D53" s="5" t="s">
        <v>415</v>
      </c>
      <c r="E53" s="5" t="s">
        <v>385</v>
      </c>
      <c r="F53" s="5" t="s">
        <v>216</v>
      </c>
      <c r="G53" s="6" t="str">
        <f>IFERROR(__xludf.DUMMYFUNCTION("IF(SPLIT(F53,""-"")=""HR"",""High"",""Low"")"),"Low")</f>
        <v>Low</v>
      </c>
      <c r="H53" s="6" t="str">
        <f>IFERROR(__xludf.DUMMYFUNCTION("INDEX(SPLIT(F53, ""-""), 2)"),"Web")</f>
        <v>Web</v>
      </c>
      <c r="I53" s="6">
        <v>4.0</v>
      </c>
      <c r="J53" s="5">
        <v>3.0</v>
      </c>
      <c r="K53" s="5">
        <v>5.0</v>
      </c>
      <c r="L53" s="5" t="s">
        <v>199</v>
      </c>
      <c r="M53" s="5">
        <v>4.0</v>
      </c>
      <c r="N53" s="5">
        <v>3.0</v>
      </c>
      <c r="O53" s="5">
        <v>3.0</v>
      </c>
      <c r="P53" s="5">
        <v>5.0</v>
      </c>
      <c r="Q53" s="5">
        <v>6.0</v>
      </c>
      <c r="R53" s="5">
        <v>6.0</v>
      </c>
      <c r="S53" s="5">
        <v>6.0</v>
      </c>
      <c r="T53" s="5">
        <v>5.0</v>
      </c>
      <c r="U53" s="5">
        <v>3.0</v>
      </c>
      <c r="V53" s="5">
        <v>3.0</v>
      </c>
      <c r="W53" s="5">
        <v>6.0</v>
      </c>
      <c r="X53" s="5">
        <v>5.0</v>
      </c>
      <c r="Y53" s="5">
        <f t="shared" si="1"/>
        <v>3</v>
      </c>
      <c r="Z53" s="5" t="s">
        <v>416</v>
      </c>
      <c r="AA53" s="5" t="s">
        <v>206</v>
      </c>
      <c r="AB53" s="5">
        <v>6.0</v>
      </c>
      <c r="AC53" s="5">
        <v>5.0</v>
      </c>
      <c r="AD53" s="5">
        <v>6.0</v>
      </c>
      <c r="AE53" s="5">
        <v>5.0</v>
      </c>
      <c r="AF53" s="5">
        <v>3.0</v>
      </c>
      <c r="AG53" s="5">
        <v>4.0</v>
      </c>
      <c r="AH53" s="5" t="s">
        <v>417</v>
      </c>
      <c r="AI53" s="5" t="s">
        <v>206</v>
      </c>
      <c r="AJ53" s="5">
        <v>6.0</v>
      </c>
      <c r="AK53" s="5">
        <v>5.0</v>
      </c>
      <c r="AL53" s="5">
        <v>3.0</v>
      </c>
      <c r="AM53" s="5">
        <v>1.0</v>
      </c>
      <c r="AN53" s="5">
        <f t="shared" si="2"/>
        <v>7</v>
      </c>
      <c r="AO53" s="5">
        <v>1.0</v>
      </c>
      <c r="AP53" s="5">
        <f t="shared" si="3"/>
        <v>7</v>
      </c>
      <c r="AQ53" s="5">
        <v>2.0</v>
      </c>
      <c r="AR53" s="5">
        <f t="shared" si="4"/>
        <v>6</v>
      </c>
      <c r="AS53" s="5">
        <v>1.0</v>
      </c>
      <c r="AT53" s="5">
        <f t="shared" si="5"/>
        <v>7</v>
      </c>
      <c r="AU53" s="5" t="s">
        <v>418</v>
      </c>
    </row>
    <row r="54">
      <c r="A54" s="8">
        <f>IFERROR(__xludf.DUMMYFUNCTION("IF(E54="""", """", VALUE(REGEXREPLACE(E54, ""^[Pp]"", """")))"),15.0)</f>
        <v>15</v>
      </c>
      <c r="B54" s="8">
        <v>380.0</v>
      </c>
      <c r="C54" s="7">
        <v>45868.08541666667</v>
      </c>
      <c r="D54" s="5" t="s">
        <v>410</v>
      </c>
      <c r="E54" s="5" t="s">
        <v>411</v>
      </c>
      <c r="F54" s="5" t="s">
        <v>263</v>
      </c>
      <c r="G54" s="6" t="str">
        <f>IFERROR(__xludf.DUMMYFUNCTION("IF(SPLIT(F54,""-"")=""HR"",""High"",""Low"")"),"Low")</f>
        <v>Low</v>
      </c>
      <c r="H54" s="6" t="str">
        <f>IFERROR(__xludf.DUMMYFUNCTION("INDEX(SPLIT(F54, ""-""), 2)"),"VR")</f>
        <v>VR</v>
      </c>
      <c r="I54" s="6">
        <v>1.0</v>
      </c>
      <c r="J54" s="5">
        <v>3.0</v>
      </c>
      <c r="K54" s="5">
        <v>3.0</v>
      </c>
      <c r="L54" s="5" t="s">
        <v>199</v>
      </c>
      <c r="M54" s="5">
        <v>6.0</v>
      </c>
      <c r="N54" s="5">
        <v>6.0</v>
      </c>
      <c r="O54" s="5">
        <v>3.0</v>
      </c>
      <c r="P54" s="5">
        <v>3.0</v>
      </c>
      <c r="Q54" s="5">
        <v>5.0</v>
      </c>
      <c r="R54" s="5">
        <v>6.0</v>
      </c>
      <c r="S54" s="5">
        <v>6.0</v>
      </c>
      <c r="T54" s="5">
        <v>6.0</v>
      </c>
      <c r="U54" s="5">
        <v>3.0</v>
      </c>
      <c r="V54" s="5">
        <v>4.0</v>
      </c>
      <c r="W54" s="5">
        <v>6.0</v>
      </c>
      <c r="X54" s="5">
        <v>2.0</v>
      </c>
      <c r="Y54" s="5">
        <f t="shared" si="1"/>
        <v>6</v>
      </c>
      <c r="Z54" s="11" t="s">
        <v>412</v>
      </c>
      <c r="AA54" s="5" t="s">
        <v>206</v>
      </c>
      <c r="AB54" s="5">
        <v>5.0</v>
      </c>
      <c r="AC54" s="5">
        <v>5.0</v>
      </c>
      <c r="AD54" s="5">
        <v>5.0</v>
      </c>
      <c r="AE54" s="5">
        <v>5.0</v>
      </c>
      <c r="AF54" s="5">
        <v>5.0</v>
      </c>
      <c r="AG54" s="5">
        <v>6.0</v>
      </c>
      <c r="AH54" s="5" t="s">
        <v>413</v>
      </c>
      <c r="AI54" s="5" t="s">
        <v>206</v>
      </c>
      <c r="AJ54" s="5">
        <v>6.0</v>
      </c>
      <c r="AK54" s="5">
        <v>7.0</v>
      </c>
      <c r="AL54" s="5">
        <v>6.0</v>
      </c>
      <c r="AM54" s="5">
        <v>2.0</v>
      </c>
      <c r="AN54" s="5">
        <f t="shared" si="2"/>
        <v>6</v>
      </c>
      <c r="AO54" s="5">
        <v>2.0</v>
      </c>
      <c r="AP54" s="5">
        <f t="shared" si="3"/>
        <v>6</v>
      </c>
      <c r="AQ54" s="5">
        <v>1.0</v>
      </c>
      <c r="AR54" s="5">
        <f t="shared" si="4"/>
        <v>7</v>
      </c>
      <c r="AS54" s="5">
        <v>2.0</v>
      </c>
      <c r="AT54" s="5">
        <f t="shared" si="5"/>
        <v>6</v>
      </c>
      <c r="AU54" s="5" t="s">
        <v>414</v>
      </c>
    </row>
    <row r="55">
      <c r="A55" s="8">
        <f>IFERROR(__xludf.DUMMYFUNCTION("IF(E55="""", """", VALUE(REGEXREPLACE(E55, ""^[Pp]"", """")))"),15.0)</f>
        <v>15</v>
      </c>
      <c r="B55" s="8">
        <v>627.0</v>
      </c>
      <c r="C55" s="7">
        <v>45868.089583333334</v>
      </c>
      <c r="D55" s="5" t="s">
        <v>419</v>
      </c>
      <c r="E55" s="5" t="s">
        <v>411</v>
      </c>
      <c r="F55" s="5" t="s">
        <v>211</v>
      </c>
      <c r="G55" s="6" t="str">
        <f>IFERROR(__xludf.DUMMYFUNCTION("IF(SPLIT(F55,""-"")=""HR"",""High"",""Low"")"),"High")</f>
        <v>High</v>
      </c>
      <c r="H55" s="6" t="str">
        <f>IFERROR(__xludf.DUMMYFUNCTION("INDEX(SPLIT(F55, ""-""), 2)"),"Web")</f>
        <v>Web</v>
      </c>
      <c r="I55" s="6">
        <v>2.0</v>
      </c>
      <c r="J55" s="5">
        <v>2.0</v>
      </c>
      <c r="K55" s="5">
        <v>2.0</v>
      </c>
      <c r="L55" s="5" t="s">
        <v>199</v>
      </c>
      <c r="M55" s="5">
        <v>2.0</v>
      </c>
      <c r="N55" s="5">
        <v>1.0</v>
      </c>
      <c r="O55" s="5">
        <v>1.0</v>
      </c>
      <c r="P55" s="5">
        <v>2.0</v>
      </c>
      <c r="Q55" s="5">
        <v>6.0</v>
      </c>
      <c r="R55" s="5">
        <v>4.0</v>
      </c>
      <c r="S55" s="5">
        <v>5.0</v>
      </c>
      <c r="T55" s="5">
        <v>5.0</v>
      </c>
      <c r="U55" s="5">
        <v>1.0</v>
      </c>
      <c r="V55" s="5">
        <v>4.0</v>
      </c>
      <c r="W55" s="5">
        <v>2.0</v>
      </c>
      <c r="X55" s="5">
        <v>6.0</v>
      </c>
      <c r="Y55" s="5">
        <f t="shared" si="1"/>
        <v>2</v>
      </c>
      <c r="Z55" s="5" t="s">
        <v>420</v>
      </c>
      <c r="AA55" s="5" t="s">
        <v>206</v>
      </c>
      <c r="AB55" s="5">
        <v>1.0</v>
      </c>
      <c r="AC55" s="5">
        <v>3.0</v>
      </c>
      <c r="AD55" s="5">
        <v>1.0</v>
      </c>
      <c r="AE55" s="5">
        <v>4.0</v>
      </c>
      <c r="AF55" s="5">
        <v>5.0</v>
      </c>
      <c r="AG55" s="5">
        <v>6.0</v>
      </c>
      <c r="AH55" s="5" t="s">
        <v>421</v>
      </c>
      <c r="AI55" s="5" t="s">
        <v>206</v>
      </c>
      <c r="AJ55" s="5">
        <v>5.0</v>
      </c>
      <c r="AK55" s="5">
        <v>4.0</v>
      </c>
      <c r="AL55" s="5">
        <v>4.0</v>
      </c>
      <c r="AM55" s="5">
        <v>1.0</v>
      </c>
      <c r="AN55" s="5">
        <f t="shared" si="2"/>
        <v>7</v>
      </c>
      <c r="AO55" s="5">
        <v>1.0</v>
      </c>
      <c r="AP55" s="5">
        <f t="shared" si="3"/>
        <v>7</v>
      </c>
      <c r="AQ55" s="5">
        <v>1.0</v>
      </c>
      <c r="AR55" s="5">
        <f t="shared" si="4"/>
        <v>7</v>
      </c>
      <c r="AS55" s="5">
        <v>1.0</v>
      </c>
      <c r="AT55" s="5">
        <f t="shared" si="5"/>
        <v>7</v>
      </c>
      <c r="AU55" s="5" t="s">
        <v>422</v>
      </c>
    </row>
    <row r="56">
      <c r="A56" s="8">
        <f>IFERROR(__xludf.DUMMYFUNCTION("IF(E56="""", """", VALUE(REGEXREPLACE(E56, ""^[Pp]"", """")))"),15.0)</f>
        <v>15</v>
      </c>
      <c r="B56" s="8">
        <v>323.0</v>
      </c>
      <c r="C56" s="7">
        <v>45868.09583333333</v>
      </c>
      <c r="D56" s="5" t="s">
        <v>423</v>
      </c>
      <c r="E56" s="5" t="s">
        <v>411</v>
      </c>
      <c r="F56" s="5" t="s">
        <v>197</v>
      </c>
      <c r="G56" s="6" t="str">
        <f>IFERROR(__xludf.DUMMYFUNCTION("IF(SPLIT(F56,""-"")=""HR"",""High"",""Low"")"),"High")</f>
        <v>High</v>
      </c>
      <c r="H56" s="6" t="str">
        <f>IFERROR(__xludf.DUMMYFUNCTION("INDEX(SPLIT(F56, ""-""), 2)"),"VR")</f>
        <v>VR</v>
      </c>
      <c r="I56" s="6">
        <v>3.0</v>
      </c>
      <c r="J56" s="5">
        <v>4.0</v>
      </c>
      <c r="K56" s="5">
        <v>3.0</v>
      </c>
      <c r="L56" s="5" t="s">
        <v>199</v>
      </c>
      <c r="M56" s="5">
        <v>5.0</v>
      </c>
      <c r="N56" s="5">
        <v>6.0</v>
      </c>
      <c r="O56" s="5">
        <v>4.0</v>
      </c>
      <c r="P56" s="5">
        <v>4.0</v>
      </c>
      <c r="Q56" s="5">
        <v>6.0</v>
      </c>
      <c r="R56" s="5">
        <v>6.0</v>
      </c>
      <c r="S56" s="5">
        <v>6.0</v>
      </c>
      <c r="T56" s="5">
        <v>6.0</v>
      </c>
      <c r="U56" s="5">
        <v>5.0</v>
      </c>
      <c r="V56" s="5">
        <v>4.0</v>
      </c>
      <c r="W56" s="5">
        <v>6.0</v>
      </c>
      <c r="X56" s="5">
        <v>4.0</v>
      </c>
      <c r="Y56" s="5">
        <f t="shared" si="1"/>
        <v>4</v>
      </c>
      <c r="Z56" s="11" t="s">
        <v>424</v>
      </c>
      <c r="AA56" s="5" t="s">
        <v>206</v>
      </c>
      <c r="AB56" s="5">
        <v>4.0</v>
      </c>
      <c r="AC56" s="5">
        <v>5.0</v>
      </c>
      <c r="AD56" s="5">
        <v>6.0</v>
      </c>
      <c r="AE56" s="5">
        <v>4.0</v>
      </c>
      <c r="AF56" s="5">
        <v>6.0</v>
      </c>
      <c r="AG56" s="5">
        <v>6.0</v>
      </c>
      <c r="AH56" s="11" t="s">
        <v>425</v>
      </c>
      <c r="AI56" s="10"/>
      <c r="AJ56" s="5">
        <v>6.0</v>
      </c>
      <c r="AK56" s="5">
        <v>6.0</v>
      </c>
      <c r="AL56" s="5">
        <v>6.0</v>
      </c>
      <c r="AM56" s="5">
        <v>1.0</v>
      </c>
      <c r="AN56" s="5">
        <f t="shared" si="2"/>
        <v>7</v>
      </c>
      <c r="AO56" s="5">
        <v>1.0</v>
      </c>
      <c r="AP56" s="5">
        <f t="shared" si="3"/>
        <v>7</v>
      </c>
      <c r="AQ56" s="5">
        <v>1.0</v>
      </c>
      <c r="AR56" s="5">
        <f t="shared" si="4"/>
        <v>7</v>
      </c>
      <c r="AS56" s="5">
        <v>1.0</v>
      </c>
      <c r="AT56" s="5">
        <f t="shared" si="5"/>
        <v>7</v>
      </c>
      <c r="AU56" s="5" t="s">
        <v>426</v>
      </c>
    </row>
    <row r="57">
      <c r="A57" s="8">
        <f>IFERROR(__xludf.DUMMYFUNCTION("IF(E57="""", """", VALUE(REGEXREPLACE(E57, ""^[Pp]"", """")))"),15.0)</f>
        <v>15</v>
      </c>
      <c r="B57" s="8">
        <v>459.0</v>
      </c>
      <c r="C57" s="7">
        <v>45868.222916666666</v>
      </c>
      <c r="D57" s="5" t="s">
        <v>466</v>
      </c>
      <c r="E57" s="5" t="s">
        <v>411</v>
      </c>
      <c r="F57" s="5" t="s">
        <v>211</v>
      </c>
      <c r="G57" s="6" t="str">
        <f>IFERROR(__xludf.DUMMYFUNCTION("IF(SPLIT(F57,""-"")=""HR"",""High"",""Low"")"),"High")</f>
        <v>High</v>
      </c>
      <c r="H57" s="6" t="str">
        <f>IFERROR(__xludf.DUMMYFUNCTION("INDEX(SPLIT(F57, ""-""), 2)"),"Web")</f>
        <v>Web</v>
      </c>
      <c r="I57" s="6">
        <v>4.0</v>
      </c>
      <c r="J57" s="5">
        <v>3.0</v>
      </c>
      <c r="K57" s="5">
        <v>3.0</v>
      </c>
      <c r="L57" s="5" t="s">
        <v>199</v>
      </c>
      <c r="M57" s="5">
        <v>5.0</v>
      </c>
      <c r="N57" s="5">
        <v>5.0</v>
      </c>
      <c r="O57" s="5">
        <v>4.0</v>
      </c>
      <c r="P57" s="5">
        <v>5.0</v>
      </c>
      <c r="Q57" s="5">
        <v>5.0</v>
      </c>
      <c r="R57" s="5">
        <v>6.0</v>
      </c>
      <c r="S57" s="5">
        <v>5.0</v>
      </c>
      <c r="T57" s="5">
        <v>5.0</v>
      </c>
      <c r="U57" s="5">
        <v>4.0</v>
      </c>
      <c r="V57" s="5">
        <v>4.0</v>
      </c>
      <c r="W57" s="5">
        <v>5.0</v>
      </c>
      <c r="X57" s="5">
        <v>7.0</v>
      </c>
      <c r="Y57" s="5">
        <f t="shared" si="1"/>
        <v>1</v>
      </c>
      <c r="Z57" s="5" t="s">
        <v>467</v>
      </c>
      <c r="AA57" s="5" t="s">
        <v>206</v>
      </c>
      <c r="AB57" s="5">
        <v>5.0</v>
      </c>
      <c r="AC57" s="5">
        <v>6.0</v>
      </c>
      <c r="AD57" s="5">
        <v>6.0</v>
      </c>
      <c r="AE57" s="5">
        <v>5.0</v>
      </c>
      <c r="AF57" s="5">
        <v>4.0</v>
      </c>
      <c r="AG57" s="5">
        <v>5.0</v>
      </c>
      <c r="AH57" s="5" t="s">
        <v>413</v>
      </c>
      <c r="AI57" s="5" t="s">
        <v>206</v>
      </c>
      <c r="AJ57" s="5">
        <v>5.0</v>
      </c>
      <c r="AK57" s="5">
        <v>5.0</v>
      </c>
      <c r="AL57" s="5">
        <v>6.0</v>
      </c>
      <c r="AM57" s="5">
        <v>1.0</v>
      </c>
      <c r="AN57" s="5">
        <f t="shared" si="2"/>
        <v>7</v>
      </c>
      <c r="AO57" s="5">
        <v>1.0</v>
      </c>
      <c r="AP57" s="5">
        <f t="shared" si="3"/>
        <v>7</v>
      </c>
      <c r="AQ57" s="5">
        <v>1.0</v>
      </c>
      <c r="AR57" s="5">
        <f t="shared" si="4"/>
        <v>7</v>
      </c>
      <c r="AS57" s="5">
        <v>1.0</v>
      </c>
      <c r="AT57" s="5">
        <f t="shared" si="5"/>
        <v>7</v>
      </c>
      <c r="AU57" s="5" t="s">
        <v>413</v>
      </c>
    </row>
    <row r="58">
      <c r="A58" s="8">
        <f>IFERROR(__xludf.DUMMYFUNCTION("IF(E58="""", """", VALUE(REGEXREPLACE(E58, ""^[Pp]"", """")))"),15.0)</f>
        <v>15</v>
      </c>
      <c r="B58" s="8">
        <v>309.0</v>
      </c>
      <c r="C58" s="7">
        <v>45868.22986111111</v>
      </c>
      <c r="D58" s="5" t="s">
        <v>468</v>
      </c>
      <c r="E58" s="5" t="s">
        <v>411</v>
      </c>
      <c r="F58" s="5" t="s">
        <v>216</v>
      </c>
      <c r="G58" s="6" t="str">
        <f>IFERROR(__xludf.DUMMYFUNCTION("IF(SPLIT(F58,""-"")=""HR"",""High"",""Low"")"),"Low")</f>
        <v>Low</v>
      </c>
      <c r="H58" s="6" t="str">
        <f>IFERROR(__xludf.DUMMYFUNCTION("INDEX(SPLIT(F58, ""-""), 2)"),"Web")</f>
        <v>Web</v>
      </c>
      <c r="I58" s="6">
        <v>1.0</v>
      </c>
      <c r="J58" s="5">
        <v>4.0</v>
      </c>
      <c r="K58" s="5">
        <v>2.0</v>
      </c>
      <c r="L58" s="5" t="s">
        <v>199</v>
      </c>
      <c r="M58" s="5">
        <v>5.0</v>
      </c>
      <c r="N58" s="5">
        <v>6.0</v>
      </c>
      <c r="O58" s="5">
        <v>3.0</v>
      </c>
      <c r="P58" s="5">
        <v>2.0</v>
      </c>
      <c r="Q58" s="5">
        <v>5.0</v>
      </c>
      <c r="R58" s="5">
        <v>5.0</v>
      </c>
      <c r="S58" s="5">
        <v>5.0</v>
      </c>
      <c r="T58" s="5">
        <v>5.0</v>
      </c>
      <c r="U58" s="5">
        <v>3.0</v>
      </c>
      <c r="V58" s="5">
        <v>4.0</v>
      </c>
      <c r="W58" s="5">
        <v>5.0</v>
      </c>
      <c r="X58" s="5">
        <v>3.0</v>
      </c>
      <c r="Y58" s="5">
        <f t="shared" si="1"/>
        <v>5</v>
      </c>
      <c r="Z58" s="5" t="s">
        <v>413</v>
      </c>
      <c r="AA58" s="5" t="s">
        <v>206</v>
      </c>
      <c r="AB58" s="5">
        <v>5.0</v>
      </c>
      <c r="AC58" s="5">
        <v>5.0</v>
      </c>
      <c r="AD58" s="5">
        <v>4.0</v>
      </c>
      <c r="AE58" s="5">
        <v>5.0</v>
      </c>
      <c r="AF58" s="5">
        <v>5.0</v>
      </c>
      <c r="AG58" s="5">
        <v>5.0</v>
      </c>
      <c r="AH58" s="5" t="s">
        <v>413</v>
      </c>
      <c r="AI58" s="5" t="s">
        <v>206</v>
      </c>
      <c r="AJ58" s="5">
        <v>6.0</v>
      </c>
      <c r="AK58" s="5">
        <v>5.0</v>
      </c>
      <c r="AL58" s="5">
        <v>5.0</v>
      </c>
      <c r="AM58" s="5">
        <v>1.0</v>
      </c>
      <c r="AN58" s="5">
        <f t="shared" si="2"/>
        <v>7</v>
      </c>
      <c r="AO58" s="5">
        <v>1.0</v>
      </c>
      <c r="AP58" s="5">
        <f t="shared" si="3"/>
        <v>7</v>
      </c>
      <c r="AQ58" s="5">
        <v>1.0</v>
      </c>
      <c r="AR58" s="5">
        <f t="shared" si="4"/>
        <v>7</v>
      </c>
      <c r="AS58" s="5">
        <v>1.0</v>
      </c>
      <c r="AT58" s="5">
        <f t="shared" si="5"/>
        <v>7</v>
      </c>
      <c r="AU58" s="5" t="s">
        <v>413</v>
      </c>
    </row>
    <row r="59">
      <c r="A59" s="8">
        <f>IFERROR(__xludf.DUMMYFUNCTION("IF(E59="""", """", VALUE(REGEXREPLACE(E59, ""^[Pp]"", """")))"),16.0)</f>
        <v>16</v>
      </c>
      <c r="B59" s="8">
        <v>885.0</v>
      </c>
      <c r="C59" s="7">
        <v>45868.10208333333</v>
      </c>
      <c r="D59" s="5" t="s">
        <v>427</v>
      </c>
      <c r="E59" s="5" t="s">
        <v>428</v>
      </c>
      <c r="F59" s="5" t="s">
        <v>216</v>
      </c>
      <c r="G59" s="6" t="str">
        <f>IFERROR(__xludf.DUMMYFUNCTION("IF(SPLIT(F59,""-"")=""HR"",""High"",""Low"")"),"Low")</f>
        <v>Low</v>
      </c>
      <c r="H59" s="6" t="str">
        <f>IFERROR(__xludf.DUMMYFUNCTION("INDEX(SPLIT(F59, ""-""), 2)"),"Web")</f>
        <v>Web</v>
      </c>
      <c r="I59" s="6">
        <v>2.0</v>
      </c>
      <c r="J59" s="5">
        <v>4.0</v>
      </c>
      <c r="K59" s="5">
        <v>6.0</v>
      </c>
      <c r="L59" s="5" t="s">
        <v>199</v>
      </c>
      <c r="M59" s="5">
        <v>6.0</v>
      </c>
      <c r="N59" s="5">
        <v>6.0</v>
      </c>
      <c r="O59" s="5">
        <v>6.0</v>
      </c>
      <c r="P59" s="5">
        <v>3.0</v>
      </c>
      <c r="Q59" s="5">
        <v>6.0</v>
      </c>
      <c r="R59" s="5">
        <v>6.0</v>
      </c>
      <c r="S59" s="5">
        <v>6.0</v>
      </c>
      <c r="T59" s="5">
        <v>6.0</v>
      </c>
      <c r="U59" s="5">
        <v>3.0</v>
      </c>
      <c r="V59" s="5">
        <v>4.0</v>
      </c>
      <c r="W59" s="5">
        <v>6.0</v>
      </c>
      <c r="X59" s="5">
        <v>6.0</v>
      </c>
      <c r="Y59" s="5">
        <f t="shared" si="1"/>
        <v>2</v>
      </c>
      <c r="Z59" s="5" t="s">
        <v>429</v>
      </c>
      <c r="AA59" s="5" t="s">
        <v>206</v>
      </c>
      <c r="AB59" s="5">
        <v>5.0</v>
      </c>
      <c r="AC59" s="5">
        <v>5.0</v>
      </c>
      <c r="AD59" s="5">
        <v>5.0</v>
      </c>
      <c r="AE59" s="5">
        <v>6.0</v>
      </c>
      <c r="AF59" s="5">
        <v>4.0</v>
      </c>
      <c r="AG59" s="5">
        <v>5.0</v>
      </c>
      <c r="AH59" s="5" t="s">
        <v>430</v>
      </c>
      <c r="AI59" s="5" t="s">
        <v>206</v>
      </c>
      <c r="AJ59" s="5">
        <v>6.0</v>
      </c>
      <c r="AK59" s="5">
        <v>5.0</v>
      </c>
      <c r="AL59" s="5">
        <v>4.0</v>
      </c>
      <c r="AM59" s="5">
        <v>1.0</v>
      </c>
      <c r="AN59" s="5">
        <f t="shared" si="2"/>
        <v>7</v>
      </c>
      <c r="AO59" s="5">
        <v>1.0</v>
      </c>
      <c r="AP59" s="5">
        <f t="shared" si="3"/>
        <v>7</v>
      </c>
      <c r="AQ59" s="5">
        <v>1.0</v>
      </c>
      <c r="AR59" s="5">
        <f t="shared" si="4"/>
        <v>7</v>
      </c>
      <c r="AS59" s="5">
        <v>1.0</v>
      </c>
      <c r="AT59" s="5">
        <f t="shared" si="5"/>
        <v>7</v>
      </c>
      <c r="AU59" s="5" t="s">
        <v>431</v>
      </c>
    </row>
    <row r="60">
      <c r="A60" s="8">
        <f>IFERROR(__xludf.DUMMYFUNCTION("IF(E60="""", """", VALUE(REGEXREPLACE(E60, ""^[Pp]"", """")))"),16.0)</f>
        <v>16</v>
      </c>
      <c r="B60" s="8">
        <v>675.0</v>
      </c>
      <c r="C60" s="7">
        <v>45868.256944444445</v>
      </c>
      <c r="D60" s="5" t="s">
        <v>478</v>
      </c>
      <c r="E60" s="5" t="s">
        <v>428</v>
      </c>
      <c r="F60" s="5" t="s">
        <v>197</v>
      </c>
      <c r="G60" s="6" t="str">
        <f>IFERROR(__xludf.DUMMYFUNCTION("IF(SPLIT(F60,""-"")=""HR"",""High"",""Low"")"),"High")</f>
        <v>High</v>
      </c>
      <c r="H60" s="6" t="str">
        <f>IFERROR(__xludf.DUMMYFUNCTION("INDEX(SPLIT(F60, ""-""), 2)"),"VR")</f>
        <v>VR</v>
      </c>
      <c r="I60" s="6">
        <v>3.0</v>
      </c>
      <c r="J60" s="5">
        <v>3.0</v>
      </c>
      <c r="K60" s="5">
        <v>2.0</v>
      </c>
      <c r="L60" s="5" t="s">
        <v>199</v>
      </c>
      <c r="M60" s="5">
        <v>5.0</v>
      </c>
      <c r="N60" s="5">
        <v>5.0</v>
      </c>
      <c r="O60" s="5">
        <v>2.0</v>
      </c>
      <c r="P60" s="5">
        <v>2.0</v>
      </c>
      <c r="Q60" s="5">
        <v>2.0</v>
      </c>
      <c r="R60" s="5">
        <v>5.0</v>
      </c>
      <c r="S60" s="5">
        <v>5.0</v>
      </c>
      <c r="T60" s="5">
        <v>5.0</v>
      </c>
      <c r="U60" s="5">
        <v>2.0</v>
      </c>
      <c r="V60" s="5">
        <v>4.0</v>
      </c>
      <c r="W60" s="5">
        <v>5.0</v>
      </c>
      <c r="X60" s="5">
        <v>2.0</v>
      </c>
      <c r="Y60" s="5">
        <f t="shared" si="1"/>
        <v>6</v>
      </c>
      <c r="Z60" s="5" t="s">
        <v>479</v>
      </c>
      <c r="AA60" s="5" t="s">
        <v>206</v>
      </c>
      <c r="AB60" s="5">
        <v>5.0</v>
      </c>
      <c r="AC60" s="5">
        <v>5.0</v>
      </c>
      <c r="AD60" s="5">
        <v>5.0</v>
      </c>
      <c r="AE60" s="5">
        <v>3.0</v>
      </c>
      <c r="AF60" s="5">
        <v>3.0</v>
      </c>
      <c r="AG60" s="5">
        <v>5.0</v>
      </c>
      <c r="AH60" s="5" t="s">
        <v>480</v>
      </c>
      <c r="AI60" s="5" t="s">
        <v>206</v>
      </c>
      <c r="AJ60" s="5">
        <v>5.0</v>
      </c>
      <c r="AK60" s="5">
        <v>5.0</v>
      </c>
      <c r="AL60" s="5">
        <v>4.0</v>
      </c>
      <c r="AM60" s="5">
        <v>5.0</v>
      </c>
      <c r="AN60" s="5">
        <f t="shared" si="2"/>
        <v>3</v>
      </c>
      <c r="AO60" s="5">
        <v>5.0</v>
      </c>
      <c r="AP60" s="5">
        <f t="shared" si="3"/>
        <v>3</v>
      </c>
      <c r="AQ60" s="5">
        <v>5.0</v>
      </c>
      <c r="AR60" s="5">
        <f t="shared" si="4"/>
        <v>3</v>
      </c>
      <c r="AS60" s="5">
        <v>3.0</v>
      </c>
      <c r="AT60" s="5">
        <f t="shared" si="5"/>
        <v>5</v>
      </c>
      <c r="AU60" s="5" t="s">
        <v>481</v>
      </c>
    </row>
    <row r="61">
      <c r="A61" s="8">
        <f>IFERROR(__xludf.DUMMYFUNCTION("IF(E61="""", """", VALUE(REGEXREPLACE(E61, ""^[Pp]"", """")))"),16.0)</f>
        <v>16</v>
      </c>
      <c r="B61" s="8">
        <v>616.0</v>
      </c>
      <c r="C61" s="7">
        <v>45868.27222222222</v>
      </c>
      <c r="D61" s="5" t="s">
        <v>491</v>
      </c>
      <c r="E61" s="5" t="s">
        <v>428</v>
      </c>
      <c r="F61" s="5" t="s">
        <v>263</v>
      </c>
      <c r="G61" s="6" t="str">
        <f>IFERROR(__xludf.DUMMYFUNCTION("IF(SPLIT(F61,""-"")=""HR"",""High"",""Low"")"),"Low")</f>
        <v>Low</v>
      </c>
      <c r="H61" s="6" t="str">
        <f>IFERROR(__xludf.DUMMYFUNCTION("INDEX(SPLIT(F61, ""-""), 2)"),"VR")</f>
        <v>VR</v>
      </c>
      <c r="I61" s="6">
        <v>4.0</v>
      </c>
      <c r="J61" s="5">
        <v>2.0</v>
      </c>
      <c r="K61" s="5">
        <v>1.0</v>
      </c>
      <c r="L61" s="5" t="s">
        <v>199</v>
      </c>
      <c r="M61" s="5">
        <v>5.0</v>
      </c>
      <c r="N61" s="5">
        <v>4.0</v>
      </c>
      <c r="O61" s="5">
        <v>2.0</v>
      </c>
      <c r="P61" s="5">
        <v>2.0</v>
      </c>
      <c r="Q61" s="5">
        <v>6.0</v>
      </c>
      <c r="R61" s="5">
        <v>5.0</v>
      </c>
      <c r="S61" s="5">
        <v>6.0</v>
      </c>
      <c r="T61" s="5">
        <v>6.0</v>
      </c>
      <c r="U61" s="5">
        <v>2.0</v>
      </c>
      <c r="V61" s="5">
        <v>6.0</v>
      </c>
      <c r="W61" s="5">
        <v>5.0</v>
      </c>
      <c r="X61" s="5">
        <v>5.0</v>
      </c>
      <c r="Y61" s="5">
        <f t="shared" si="1"/>
        <v>3</v>
      </c>
      <c r="Z61" s="5" t="s">
        <v>492</v>
      </c>
      <c r="AA61" s="5" t="s">
        <v>206</v>
      </c>
      <c r="AB61" s="5">
        <v>2.0</v>
      </c>
      <c r="AC61" s="5">
        <v>2.0</v>
      </c>
      <c r="AD61" s="5">
        <v>2.0</v>
      </c>
      <c r="AE61" s="5">
        <v>2.0</v>
      </c>
      <c r="AF61" s="5">
        <v>7.0</v>
      </c>
      <c r="AG61" s="5">
        <v>1.0</v>
      </c>
      <c r="AH61" s="5" t="s">
        <v>493</v>
      </c>
      <c r="AI61" s="5" t="s">
        <v>206</v>
      </c>
      <c r="AJ61" s="5">
        <v>6.0</v>
      </c>
      <c r="AK61" s="5">
        <v>2.0</v>
      </c>
      <c r="AL61" s="5">
        <v>3.0</v>
      </c>
      <c r="AM61" s="5">
        <v>7.0</v>
      </c>
      <c r="AN61" s="5">
        <f t="shared" si="2"/>
        <v>1</v>
      </c>
      <c r="AO61" s="5">
        <v>7.0</v>
      </c>
      <c r="AP61" s="5">
        <f t="shared" si="3"/>
        <v>1</v>
      </c>
      <c r="AQ61" s="5">
        <v>7.0</v>
      </c>
      <c r="AR61" s="5">
        <f t="shared" si="4"/>
        <v>1</v>
      </c>
      <c r="AS61" s="5">
        <v>6.0</v>
      </c>
      <c r="AT61" s="5">
        <f t="shared" si="5"/>
        <v>2</v>
      </c>
      <c r="AU61" s="5" t="s">
        <v>494</v>
      </c>
    </row>
    <row r="62">
      <c r="A62" s="8">
        <f>IFERROR(__xludf.DUMMYFUNCTION("IF(E62="""", """", VALUE(REGEXREPLACE(E62, ""^[Pp]"", """")))"),17.0)</f>
        <v>17</v>
      </c>
      <c r="B62" s="8">
        <v>1034.0</v>
      </c>
      <c r="C62" s="7">
        <v>45868.16805555556</v>
      </c>
      <c r="D62" s="5" t="s">
        <v>432</v>
      </c>
      <c r="E62" s="5" t="s">
        <v>433</v>
      </c>
      <c r="F62" s="5" t="s">
        <v>216</v>
      </c>
      <c r="G62" s="6" t="str">
        <f>IFERROR(__xludf.DUMMYFUNCTION("IF(SPLIT(F62,""-"")=""HR"",""High"",""Low"")"),"Low")</f>
        <v>Low</v>
      </c>
      <c r="H62" s="6" t="str">
        <f>IFERROR(__xludf.DUMMYFUNCTION("INDEX(SPLIT(F62, ""-""), 2)"),"Web")</f>
        <v>Web</v>
      </c>
      <c r="I62" s="6">
        <v>1.0</v>
      </c>
      <c r="J62" s="5">
        <v>3.0</v>
      </c>
      <c r="K62" s="5">
        <v>2.0</v>
      </c>
      <c r="L62" s="5" t="s">
        <v>199</v>
      </c>
      <c r="M62" s="5">
        <v>5.0</v>
      </c>
      <c r="N62" s="5">
        <v>4.0</v>
      </c>
      <c r="O62" s="5">
        <v>2.0</v>
      </c>
      <c r="P62" s="5">
        <v>2.0</v>
      </c>
      <c r="Q62" s="5">
        <v>2.0</v>
      </c>
      <c r="R62" s="5">
        <v>6.0</v>
      </c>
      <c r="S62" s="5">
        <v>6.0</v>
      </c>
      <c r="T62" s="5">
        <v>3.0</v>
      </c>
      <c r="U62" s="5">
        <v>2.0</v>
      </c>
      <c r="V62" s="5">
        <v>2.0</v>
      </c>
      <c r="W62" s="5">
        <v>6.0</v>
      </c>
      <c r="X62" s="5">
        <v>6.0</v>
      </c>
      <c r="Y62" s="5">
        <f t="shared" si="1"/>
        <v>2</v>
      </c>
      <c r="Z62" s="5" t="s">
        <v>434</v>
      </c>
      <c r="AA62" s="5" t="s">
        <v>206</v>
      </c>
      <c r="AB62" s="5">
        <v>6.0</v>
      </c>
      <c r="AC62" s="5">
        <v>4.0</v>
      </c>
      <c r="AD62" s="5">
        <v>3.0</v>
      </c>
      <c r="AE62" s="5">
        <v>6.0</v>
      </c>
      <c r="AF62" s="5">
        <v>4.0</v>
      </c>
      <c r="AG62" s="5">
        <v>2.0</v>
      </c>
      <c r="AH62" s="5" t="s">
        <v>435</v>
      </c>
      <c r="AI62" s="5" t="s">
        <v>206</v>
      </c>
      <c r="AJ62" s="5">
        <v>6.0</v>
      </c>
      <c r="AK62" s="5">
        <v>5.0</v>
      </c>
      <c r="AL62" s="5">
        <v>3.0</v>
      </c>
      <c r="AM62" s="5">
        <v>2.0</v>
      </c>
      <c r="AN62" s="5">
        <f t="shared" si="2"/>
        <v>6</v>
      </c>
      <c r="AO62" s="5">
        <v>2.0</v>
      </c>
      <c r="AP62" s="5">
        <f t="shared" si="3"/>
        <v>6</v>
      </c>
      <c r="AQ62" s="5">
        <v>1.0</v>
      </c>
      <c r="AR62" s="5">
        <f t="shared" si="4"/>
        <v>7</v>
      </c>
      <c r="AS62" s="5">
        <v>1.0</v>
      </c>
      <c r="AT62" s="5">
        <f t="shared" si="5"/>
        <v>7</v>
      </c>
      <c r="AU62" s="11" t="s">
        <v>436</v>
      </c>
    </row>
    <row r="63">
      <c r="A63" s="8">
        <f>IFERROR(__xludf.DUMMYFUNCTION("IF(E63="""", """", VALUE(REGEXREPLACE(E63, ""^[Pp]"", """")))"),17.0)</f>
        <v>17</v>
      </c>
      <c r="B63" s="8">
        <v>1006.0</v>
      </c>
      <c r="C63" s="7">
        <v>45868.180555555555</v>
      </c>
      <c r="D63" s="5" t="s">
        <v>437</v>
      </c>
      <c r="E63" s="5" t="s">
        <v>433</v>
      </c>
      <c r="F63" s="5" t="s">
        <v>211</v>
      </c>
      <c r="G63" s="6" t="str">
        <f>IFERROR(__xludf.DUMMYFUNCTION("IF(SPLIT(F63,""-"")=""HR"",""High"",""Low"")"),"High")</f>
        <v>High</v>
      </c>
      <c r="H63" s="6" t="str">
        <f>IFERROR(__xludf.DUMMYFUNCTION("INDEX(SPLIT(F63, ""-""), 2)"),"Web")</f>
        <v>Web</v>
      </c>
      <c r="I63" s="6">
        <v>2.0</v>
      </c>
      <c r="J63" s="5">
        <v>2.0</v>
      </c>
      <c r="K63" s="5">
        <v>5.0</v>
      </c>
      <c r="L63" s="5" t="s">
        <v>199</v>
      </c>
      <c r="M63" s="5">
        <v>6.0</v>
      </c>
      <c r="N63" s="5">
        <v>5.0</v>
      </c>
      <c r="O63" s="5">
        <v>4.0</v>
      </c>
      <c r="P63" s="5">
        <v>5.0</v>
      </c>
      <c r="Q63" s="5">
        <v>5.0</v>
      </c>
      <c r="R63" s="5">
        <v>7.0</v>
      </c>
      <c r="S63" s="5">
        <v>6.0</v>
      </c>
      <c r="T63" s="5">
        <v>3.0</v>
      </c>
      <c r="U63" s="5">
        <v>5.0</v>
      </c>
      <c r="V63" s="5">
        <v>5.0</v>
      </c>
      <c r="W63" s="5">
        <v>6.0</v>
      </c>
      <c r="X63" s="5">
        <v>6.0</v>
      </c>
      <c r="Y63" s="5">
        <f t="shared" si="1"/>
        <v>2</v>
      </c>
      <c r="Z63" s="11" t="s">
        <v>438</v>
      </c>
      <c r="AA63" s="5" t="s">
        <v>206</v>
      </c>
      <c r="AB63" s="5">
        <v>6.0</v>
      </c>
      <c r="AC63" s="5">
        <v>4.0</v>
      </c>
      <c r="AD63" s="5">
        <v>5.0</v>
      </c>
      <c r="AE63" s="5">
        <v>5.0</v>
      </c>
      <c r="AF63" s="5">
        <v>5.0</v>
      </c>
      <c r="AG63" s="5">
        <v>6.0</v>
      </c>
      <c r="AH63" s="11" t="s">
        <v>439</v>
      </c>
      <c r="AI63" s="5" t="s">
        <v>206</v>
      </c>
      <c r="AJ63" s="5">
        <v>5.0</v>
      </c>
      <c r="AK63" s="5">
        <v>6.0</v>
      </c>
      <c r="AL63" s="5">
        <v>7.0</v>
      </c>
      <c r="AM63" s="5">
        <v>1.0</v>
      </c>
      <c r="AN63" s="5">
        <f t="shared" si="2"/>
        <v>7</v>
      </c>
      <c r="AO63" s="5">
        <v>2.0</v>
      </c>
      <c r="AP63" s="5">
        <f t="shared" si="3"/>
        <v>6</v>
      </c>
      <c r="AQ63" s="5">
        <v>1.0</v>
      </c>
      <c r="AR63" s="5">
        <f t="shared" si="4"/>
        <v>7</v>
      </c>
      <c r="AS63" s="5">
        <v>1.0</v>
      </c>
      <c r="AT63" s="5">
        <f t="shared" si="5"/>
        <v>7</v>
      </c>
      <c r="AU63" s="5" t="s">
        <v>440</v>
      </c>
    </row>
    <row r="64">
      <c r="A64" s="8">
        <f>IFERROR(__xludf.DUMMYFUNCTION("IF(E64="""", """", VALUE(REGEXREPLACE(E64, ""^[Pp]"", """")))"),17.0)</f>
        <v>17</v>
      </c>
      <c r="B64" s="8">
        <v>1471.0</v>
      </c>
      <c r="C64" s="7">
        <v>45868.20138888889</v>
      </c>
      <c r="D64" s="5" t="s">
        <v>450</v>
      </c>
      <c r="E64" s="5" t="s">
        <v>433</v>
      </c>
      <c r="F64" s="5" t="s">
        <v>197</v>
      </c>
      <c r="G64" s="6" t="str">
        <f>IFERROR(__xludf.DUMMYFUNCTION("IF(SPLIT(F64,""-"")=""HR"",""High"",""Low"")"),"High")</f>
        <v>High</v>
      </c>
      <c r="H64" s="6" t="str">
        <f>IFERROR(__xludf.DUMMYFUNCTION("INDEX(SPLIT(F64, ""-""), 2)"),"VR")</f>
        <v>VR</v>
      </c>
      <c r="I64" s="6">
        <v>3.0</v>
      </c>
      <c r="J64" s="5">
        <v>6.0</v>
      </c>
      <c r="K64" s="5">
        <v>6.0</v>
      </c>
      <c r="L64" s="5" t="s">
        <v>199</v>
      </c>
      <c r="M64" s="5">
        <v>6.0</v>
      </c>
      <c r="N64" s="5">
        <v>7.0</v>
      </c>
      <c r="O64" s="5">
        <v>7.0</v>
      </c>
      <c r="P64" s="5">
        <v>6.0</v>
      </c>
      <c r="Q64" s="5">
        <v>4.0</v>
      </c>
      <c r="R64" s="5">
        <v>6.0</v>
      </c>
      <c r="S64" s="5">
        <v>6.0</v>
      </c>
      <c r="T64" s="5">
        <v>6.0</v>
      </c>
      <c r="U64" s="5">
        <v>6.0</v>
      </c>
      <c r="V64" s="5">
        <v>5.0</v>
      </c>
      <c r="W64" s="5">
        <v>7.0</v>
      </c>
      <c r="X64" s="5">
        <v>6.0</v>
      </c>
      <c r="Y64" s="5">
        <f t="shared" si="1"/>
        <v>2</v>
      </c>
      <c r="Z64" s="11" t="s">
        <v>451</v>
      </c>
      <c r="AA64" s="5" t="s">
        <v>206</v>
      </c>
      <c r="AB64" s="5">
        <v>6.0</v>
      </c>
      <c r="AC64" s="5">
        <v>6.0</v>
      </c>
      <c r="AD64" s="5">
        <v>6.0</v>
      </c>
      <c r="AE64" s="5">
        <v>5.0</v>
      </c>
      <c r="AF64" s="5">
        <v>5.0</v>
      </c>
      <c r="AG64" s="5">
        <v>6.0</v>
      </c>
      <c r="AH64" s="5" t="s">
        <v>452</v>
      </c>
      <c r="AI64" s="5" t="s">
        <v>206</v>
      </c>
      <c r="AJ64" s="5">
        <v>6.0</v>
      </c>
      <c r="AK64" s="5">
        <v>2.0</v>
      </c>
      <c r="AL64" s="5">
        <v>7.0</v>
      </c>
      <c r="AM64" s="5">
        <v>2.0</v>
      </c>
      <c r="AN64" s="5">
        <f t="shared" si="2"/>
        <v>6</v>
      </c>
      <c r="AO64" s="5">
        <v>2.0</v>
      </c>
      <c r="AP64" s="5">
        <f t="shared" si="3"/>
        <v>6</v>
      </c>
      <c r="AQ64" s="5">
        <v>5.0</v>
      </c>
      <c r="AR64" s="5">
        <f t="shared" si="4"/>
        <v>3</v>
      </c>
      <c r="AS64" s="5">
        <v>6.0</v>
      </c>
      <c r="AT64" s="5">
        <f t="shared" si="5"/>
        <v>2</v>
      </c>
      <c r="AU64" s="11" t="s">
        <v>453</v>
      </c>
    </row>
    <row r="65">
      <c r="A65" s="8">
        <f>IFERROR(__xludf.DUMMYFUNCTION("IF(E65="""", """", VALUE(REGEXREPLACE(E65, ""^[Pp]"", """")))"),17.0)</f>
        <v>17</v>
      </c>
      <c r="B65" s="8">
        <v>746.0</v>
      </c>
      <c r="C65" s="7">
        <v>45868.21597222222</v>
      </c>
      <c r="D65" s="5" t="s">
        <v>462</v>
      </c>
      <c r="E65" s="5" t="s">
        <v>433</v>
      </c>
      <c r="F65" s="5" t="s">
        <v>263</v>
      </c>
      <c r="G65" s="6" t="str">
        <f>IFERROR(__xludf.DUMMYFUNCTION("IF(SPLIT(F65,""-"")=""HR"",""High"",""Low"")"),"Low")</f>
        <v>Low</v>
      </c>
      <c r="H65" s="6" t="str">
        <f>IFERROR(__xludf.DUMMYFUNCTION("INDEX(SPLIT(F65, ""-""), 2)"),"VR")</f>
        <v>VR</v>
      </c>
      <c r="I65" s="6">
        <v>4.0</v>
      </c>
      <c r="J65" s="5">
        <v>6.0</v>
      </c>
      <c r="K65" s="5">
        <v>5.0</v>
      </c>
      <c r="L65" s="5" t="s">
        <v>199</v>
      </c>
      <c r="M65" s="5">
        <v>6.0</v>
      </c>
      <c r="N65" s="5">
        <v>7.0</v>
      </c>
      <c r="O65" s="5">
        <v>6.0</v>
      </c>
      <c r="P65" s="5">
        <v>6.0</v>
      </c>
      <c r="Q65" s="5">
        <v>5.0</v>
      </c>
      <c r="R65" s="5">
        <v>6.0</v>
      </c>
      <c r="S65" s="5">
        <v>6.0</v>
      </c>
      <c r="T65" s="5">
        <v>6.0</v>
      </c>
      <c r="U65" s="5">
        <v>2.0</v>
      </c>
      <c r="V65" s="5">
        <v>3.0</v>
      </c>
      <c r="W65" s="5">
        <v>5.0</v>
      </c>
      <c r="X65" s="5">
        <v>6.0</v>
      </c>
      <c r="Y65" s="5">
        <f t="shared" si="1"/>
        <v>2</v>
      </c>
      <c r="Z65" s="11" t="s">
        <v>463</v>
      </c>
      <c r="AA65" s="5" t="s">
        <v>206</v>
      </c>
      <c r="AB65" s="5">
        <v>6.0</v>
      </c>
      <c r="AC65" s="5">
        <v>6.0</v>
      </c>
      <c r="AD65" s="5">
        <v>6.0</v>
      </c>
      <c r="AE65" s="5">
        <v>5.0</v>
      </c>
      <c r="AF65" s="5">
        <v>5.0</v>
      </c>
      <c r="AG65" s="5">
        <v>6.0</v>
      </c>
      <c r="AH65" s="5" t="s">
        <v>464</v>
      </c>
      <c r="AI65" s="5" t="s">
        <v>206</v>
      </c>
      <c r="AJ65" s="5">
        <v>6.0</v>
      </c>
      <c r="AK65" s="5">
        <v>5.0</v>
      </c>
      <c r="AL65" s="5">
        <v>7.0</v>
      </c>
      <c r="AM65" s="5">
        <v>2.0</v>
      </c>
      <c r="AN65" s="5">
        <f t="shared" si="2"/>
        <v>6</v>
      </c>
      <c r="AO65" s="5">
        <v>2.0</v>
      </c>
      <c r="AP65" s="5">
        <f t="shared" si="3"/>
        <v>6</v>
      </c>
      <c r="AQ65" s="5">
        <v>6.0</v>
      </c>
      <c r="AR65" s="5">
        <f t="shared" si="4"/>
        <v>2</v>
      </c>
      <c r="AS65" s="5">
        <v>5.0</v>
      </c>
      <c r="AT65" s="5">
        <f t="shared" si="5"/>
        <v>3</v>
      </c>
      <c r="AU65" s="11" t="s">
        <v>465</v>
      </c>
    </row>
    <row r="66">
      <c r="A66" s="8">
        <f>IFERROR(__xludf.DUMMYFUNCTION("IF(E66="""", """", VALUE(REGEXREPLACE(E66, ""^[Pp]"", """")))"),18.0)</f>
        <v>18</v>
      </c>
      <c r="B66" s="8">
        <v>961.0</v>
      </c>
      <c r="C66" s="7">
        <v>45868.183333333334</v>
      </c>
      <c r="D66" s="5" t="s">
        <v>441</v>
      </c>
      <c r="E66" s="5" t="s">
        <v>442</v>
      </c>
      <c r="F66" s="5" t="s">
        <v>197</v>
      </c>
      <c r="G66" s="6" t="str">
        <f>IFERROR(__xludf.DUMMYFUNCTION("IF(SPLIT(F66,""-"")=""HR"",""High"",""Low"")"),"High")</f>
        <v>High</v>
      </c>
      <c r="H66" s="6" t="str">
        <f>IFERROR(__xludf.DUMMYFUNCTION("INDEX(SPLIT(F66, ""-""), 2)"),"VR")</f>
        <v>VR</v>
      </c>
      <c r="I66" s="6">
        <v>1.0</v>
      </c>
      <c r="J66" s="5">
        <v>3.0</v>
      </c>
      <c r="K66" s="5">
        <v>5.0</v>
      </c>
      <c r="L66" s="5" t="s">
        <v>199</v>
      </c>
      <c r="M66" s="5">
        <v>3.0</v>
      </c>
      <c r="N66" s="5">
        <v>5.0</v>
      </c>
      <c r="O66" s="5">
        <v>5.0</v>
      </c>
      <c r="P66" s="5">
        <v>6.0</v>
      </c>
      <c r="Q66" s="5">
        <v>6.0</v>
      </c>
      <c r="R66" s="5">
        <v>6.0</v>
      </c>
      <c r="S66" s="5">
        <v>6.0</v>
      </c>
      <c r="T66" s="5">
        <v>6.0</v>
      </c>
      <c r="U66" s="5">
        <v>4.0</v>
      </c>
      <c r="V66" s="5">
        <v>5.0</v>
      </c>
      <c r="W66" s="5">
        <v>6.0</v>
      </c>
      <c r="X66" s="5">
        <v>4.0</v>
      </c>
      <c r="Y66" s="5">
        <f t="shared" si="1"/>
        <v>4</v>
      </c>
      <c r="Z66" s="5" t="s">
        <v>443</v>
      </c>
      <c r="AA66" s="5" t="s">
        <v>206</v>
      </c>
      <c r="AB66" s="5">
        <v>3.0</v>
      </c>
      <c r="AC66" s="5">
        <v>3.0</v>
      </c>
      <c r="AD66" s="5">
        <v>3.0</v>
      </c>
      <c r="AE66" s="5">
        <v>3.0</v>
      </c>
      <c r="AF66" s="5">
        <v>4.0</v>
      </c>
      <c r="AG66" s="5">
        <v>5.0</v>
      </c>
      <c r="AH66" s="5" t="s">
        <v>444</v>
      </c>
      <c r="AI66" s="5" t="s">
        <v>206</v>
      </c>
      <c r="AJ66" s="5">
        <v>4.0</v>
      </c>
      <c r="AK66" s="5">
        <v>5.0</v>
      </c>
      <c r="AL66" s="5">
        <v>5.0</v>
      </c>
      <c r="AM66" s="5">
        <v>2.0</v>
      </c>
      <c r="AN66" s="5">
        <f t="shared" si="2"/>
        <v>6</v>
      </c>
      <c r="AO66" s="5">
        <v>3.0</v>
      </c>
      <c r="AP66" s="5">
        <f t="shared" si="3"/>
        <v>5</v>
      </c>
      <c r="AQ66" s="5">
        <v>5.0</v>
      </c>
      <c r="AR66" s="5">
        <f t="shared" si="4"/>
        <v>3</v>
      </c>
      <c r="AS66" s="5">
        <v>3.0</v>
      </c>
      <c r="AT66" s="5">
        <f t="shared" si="5"/>
        <v>5</v>
      </c>
      <c r="AU66" s="5" t="s">
        <v>445</v>
      </c>
    </row>
    <row r="67">
      <c r="A67" s="8">
        <f>IFERROR(__xludf.DUMMYFUNCTION("IF(E67="""", """", VALUE(REGEXREPLACE(E67, ""^[Pp]"", """")))"),18.0)</f>
        <v>18</v>
      </c>
      <c r="B67" s="8">
        <v>829.0</v>
      </c>
      <c r="C67" s="7">
        <v>45868.19375</v>
      </c>
      <c r="D67" s="5" t="s">
        <v>446</v>
      </c>
      <c r="E67" s="5" t="s">
        <v>442</v>
      </c>
      <c r="F67" s="5" t="s">
        <v>197</v>
      </c>
      <c r="G67" s="6" t="str">
        <f>IFERROR(__xludf.DUMMYFUNCTION("IF(SPLIT(F67,""-"")=""HR"",""High"",""Low"")"),"High")</f>
        <v>High</v>
      </c>
      <c r="H67" s="6" t="str">
        <f>IFERROR(__xludf.DUMMYFUNCTION("INDEX(SPLIT(F67, ""-""), 2)"),"VR")</f>
        <v>VR</v>
      </c>
      <c r="I67" s="6">
        <v>2.0</v>
      </c>
      <c r="J67" s="5">
        <v>5.0</v>
      </c>
      <c r="K67" s="5">
        <v>3.0</v>
      </c>
      <c r="L67" s="5" t="s">
        <v>199</v>
      </c>
      <c r="M67" s="5">
        <v>4.0</v>
      </c>
      <c r="N67" s="5">
        <v>5.0</v>
      </c>
      <c r="O67" s="5">
        <v>7.0</v>
      </c>
      <c r="P67" s="5">
        <v>6.0</v>
      </c>
      <c r="Q67" s="5">
        <v>7.0</v>
      </c>
      <c r="R67" s="5">
        <v>7.0</v>
      </c>
      <c r="S67" s="5">
        <v>6.0</v>
      </c>
      <c r="T67" s="5">
        <v>6.0</v>
      </c>
      <c r="U67" s="5">
        <v>3.0</v>
      </c>
      <c r="V67" s="5">
        <v>5.0</v>
      </c>
      <c r="W67" s="5">
        <v>5.0</v>
      </c>
      <c r="X67" s="5">
        <v>5.0</v>
      </c>
      <c r="Y67" s="5">
        <f t="shared" si="1"/>
        <v>3</v>
      </c>
      <c r="Z67" s="5" t="s">
        <v>447</v>
      </c>
      <c r="AA67" s="5" t="s">
        <v>206</v>
      </c>
      <c r="AB67" s="5">
        <v>5.0</v>
      </c>
      <c r="AC67" s="5">
        <v>5.0</v>
      </c>
      <c r="AD67" s="5">
        <v>4.0</v>
      </c>
      <c r="AE67" s="5">
        <v>5.0</v>
      </c>
      <c r="AF67" s="5">
        <v>3.0</v>
      </c>
      <c r="AG67" s="5">
        <v>5.0</v>
      </c>
      <c r="AH67" s="5" t="s">
        <v>448</v>
      </c>
      <c r="AI67" s="5" t="s">
        <v>206</v>
      </c>
      <c r="AJ67" s="5">
        <v>6.0</v>
      </c>
      <c r="AK67" s="5">
        <v>6.0</v>
      </c>
      <c r="AL67" s="5">
        <v>6.0</v>
      </c>
      <c r="AM67" s="5">
        <v>2.0</v>
      </c>
      <c r="AN67" s="5">
        <f t="shared" si="2"/>
        <v>6</v>
      </c>
      <c r="AO67" s="5">
        <v>1.0</v>
      </c>
      <c r="AP67" s="5">
        <f t="shared" si="3"/>
        <v>7</v>
      </c>
      <c r="AQ67" s="5">
        <v>2.0</v>
      </c>
      <c r="AR67" s="5">
        <f t="shared" si="4"/>
        <v>6</v>
      </c>
      <c r="AS67" s="5">
        <v>1.0</v>
      </c>
      <c r="AT67" s="5">
        <f t="shared" si="5"/>
        <v>7</v>
      </c>
      <c r="AU67" s="5" t="s">
        <v>449</v>
      </c>
    </row>
    <row r="68">
      <c r="A68" s="8">
        <f>IFERROR(__xludf.DUMMYFUNCTION("IF(E68="""", """", VALUE(REGEXREPLACE(E68, ""^[Pp]"", """")))"),18.0)</f>
        <v>18</v>
      </c>
      <c r="B68" s="8">
        <v>626.0</v>
      </c>
      <c r="C68" s="7">
        <v>45868.20208333333</v>
      </c>
      <c r="D68" s="5" t="s">
        <v>454</v>
      </c>
      <c r="E68" s="5" t="s">
        <v>442</v>
      </c>
      <c r="F68" s="5" t="s">
        <v>216</v>
      </c>
      <c r="G68" s="6" t="str">
        <f>IFERROR(__xludf.DUMMYFUNCTION("IF(SPLIT(F68,""-"")=""HR"",""High"",""Low"")"),"Low")</f>
        <v>Low</v>
      </c>
      <c r="H68" s="6" t="str">
        <f>IFERROR(__xludf.DUMMYFUNCTION("INDEX(SPLIT(F68, ""-""), 2)"),"Web")</f>
        <v>Web</v>
      </c>
      <c r="I68" s="6">
        <v>3.0</v>
      </c>
      <c r="J68" s="5">
        <v>5.0</v>
      </c>
      <c r="K68" s="5">
        <v>5.0</v>
      </c>
      <c r="L68" s="5" t="s">
        <v>199</v>
      </c>
      <c r="M68" s="5">
        <v>5.0</v>
      </c>
      <c r="N68" s="5">
        <v>5.0</v>
      </c>
      <c r="O68" s="5">
        <v>6.0</v>
      </c>
      <c r="P68" s="5">
        <v>5.0</v>
      </c>
      <c r="Q68" s="5">
        <v>5.0</v>
      </c>
      <c r="R68" s="5">
        <v>5.0</v>
      </c>
      <c r="S68" s="5">
        <v>5.0</v>
      </c>
      <c r="T68" s="5">
        <v>5.0</v>
      </c>
      <c r="U68" s="5">
        <v>4.0</v>
      </c>
      <c r="V68" s="5">
        <v>3.0</v>
      </c>
      <c r="W68" s="5">
        <v>5.0</v>
      </c>
      <c r="X68" s="5">
        <v>2.0</v>
      </c>
      <c r="Y68" s="5">
        <f t="shared" si="1"/>
        <v>6</v>
      </c>
      <c r="Z68" s="5" t="s">
        <v>455</v>
      </c>
      <c r="AA68" s="5" t="s">
        <v>206</v>
      </c>
      <c r="AB68" s="5">
        <v>5.0</v>
      </c>
      <c r="AC68" s="5">
        <v>5.0</v>
      </c>
      <c r="AD68" s="5">
        <v>5.0</v>
      </c>
      <c r="AE68" s="5">
        <v>6.0</v>
      </c>
      <c r="AF68" s="5">
        <v>6.0</v>
      </c>
      <c r="AG68" s="5">
        <v>6.0</v>
      </c>
      <c r="AH68" s="5" t="s">
        <v>456</v>
      </c>
      <c r="AI68" s="5" t="s">
        <v>206</v>
      </c>
      <c r="AJ68" s="5">
        <v>6.0</v>
      </c>
      <c r="AK68" s="5">
        <v>6.0</v>
      </c>
      <c r="AL68" s="5">
        <v>6.0</v>
      </c>
      <c r="AM68" s="5">
        <v>2.0</v>
      </c>
      <c r="AN68" s="5">
        <f t="shared" si="2"/>
        <v>6</v>
      </c>
      <c r="AO68" s="5">
        <v>2.0</v>
      </c>
      <c r="AP68" s="5">
        <f t="shared" si="3"/>
        <v>6</v>
      </c>
      <c r="AQ68" s="5">
        <v>2.0</v>
      </c>
      <c r="AR68" s="5">
        <f t="shared" si="4"/>
        <v>6</v>
      </c>
      <c r="AS68" s="5">
        <v>2.0</v>
      </c>
      <c r="AT68" s="5">
        <f t="shared" si="5"/>
        <v>6</v>
      </c>
      <c r="AU68" s="5" t="s">
        <v>457</v>
      </c>
    </row>
    <row r="69">
      <c r="A69" s="8">
        <f>IFERROR(__xludf.DUMMYFUNCTION("IF(E69="""", """", VALUE(REGEXREPLACE(E69, ""^[Pp]"", """")))"),18.0)</f>
        <v>18</v>
      </c>
      <c r="B69" s="8">
        <v>319.0</v>
      </c>
      <c r="C69" s="7">
        <v>45868.21527777778</v>
      </c>
      <c r="D69" s="5" t="s">
        <v>458</v>
      </c>
      <c r="E69" s="5" t="s">
        <v>442</v>
      </c>
      <c r="F69" s="5" t="s">
        <v>263</v>
      </c>
      <c r="G69" s="6" t="str">
        <f>IFERROR(__xludf.DUMMYFUNCTION("IF(SPLIT(F69,""-"")=""HR"",""High"",""Low"")"),"Low")</f>
        <v>Low</v>
      </c>
      <c r="H69" s="6" t="str">
        <f>IFERROR(__xludf.DUMMYFUNCTION("INDEX(SPLIT(F69, ""-""), 2)"),"VR")</f>
        <v>VR</v>
      </c>
      <c r="I69" s="6">
        <v>4.0</v>
      </c>
      <c r="J69" s="5">
        <v>5.0</v>
      </c>
      <c r="K69" s="5">
        <v>5.0</v>
      </c>
      <c r="L69" s="5" t="s">
        <v>199</v>
      </c>
      <c r="M69" s="5">
        <v>6.0</v>
      </c>
      <c r="N69" s="5">
        <v>5.0</v>
      </c>
      <c r="O69" s="5">
        <v>5.0</v>
      </c>
      <c r="P69" s="5">
        <v>6.0</v>
      </c>
      <c r="Q69" s="5">
        <v>6.0</v>
      </c>
      <c r="R69" s="5">
        <v>6.0</v>
      </c>
      <c r="S69" s="5">
        <v>6.0</v>
      </c>
      <c r="T69" s="5">
        <v>6.0</v>
      </c>
      <c r="U69" s="5">
        <v>5.0</v>
      </c>
      <c r="V69" s="5">
        <v>4.0</v>
      </c>
      <c r="W69" s="5">
        <v>6.0</v>
      </c>
      <c r="X69" s="5">
        <v>4.0</v>
      </c>
      <c r="Y69" s="5">
        <f t="shared" si="1"/>
        <v>4</v>
      </c>
      <c r="Z69" s="5" t="s">
        <v>459</v>
      </c>
      <c r="AA69" s="5" t="s">
        <v>206</v>
      </c>
      <c r="AB69" s="5">
        <v>6.0</v>
      </c>
      <c r="AC69" s="5">
        <v>6.0</v>
      </c>
      <c r="AD69" s="5">
        <v>6.0</v>
      </c>
      <c r="AE69" s="5">
        <v>4.0</v>
      </c>
      <c r="AF69" s="5">
        <v>6.0</v>
      </c>
      <c r="AG69" s="5">
        <v>6.0</v>
      </c>
      <c r="AH69" s="5" t="s">
        <v>460</v>
      </c>
      <c r="AI69" s="5" t="s">
        <v>206</v>
      </c>
      <c r="AJ69" s="5">
        <v>5.0</v>
      </c>
      <c r="AK69" s="5">
        <v>5.0</v>
      </c>
      <c r="AL69" s="5">
        <v>4.0</v>
      </c>
      <c r="AM69" s="5">
        <v>3.0</v>
      </c>
      <c r="AN69" s="5">
        <f t="shared" si="2"/>
        <v>5</v>
      </c>
      <c r="AO69" s="5">
        <v>3.0</v>
      </c>
      <c r="AP69" s="5">
        <f t="shared" si="3"/>
        <v>5</v>
      </c>
      <c r="AQ69" s="5">
        <v>5.0</v>
      </c>
      <c r="AR69" s="5">
        <f t="shared" si="4"/>
        <v>3</v>
      </c>
      <c r="AS69" s="5">
        <v>5.0</v>
      </c>
      <c r="AT69" s="5">
        <f t="shared" si="5"/>
        <v>3</v>
      </c>
      <c r="AU69" s="5" t="s">
        <v>461</v>
      </c>
    </row>
    <row r="70">
      <c r="A70" s="8">
        <f>IFERROR(__xludf.DUMMYFUNCTION("IF(E70="""", """", VALUE(REGEXREPLACE(E70, ""^[Pp]"", """")))"),19.0)</f>
        <v>19</v>
      </c>
      <c r="B70" s="8">
        <v>723.0</v>
      </c>
      <c r="C70" s="7">
        <v>45868.2375</v>
      </c>
      <c r="D70" s="5" t="s">
        <v>469</v>
      </c>
      <c r="E70" s="5" t="s">
        <v>470</v>
      </c>
      <c r="F70" s="5" t="s">
        <v>197</v>
      </c>
      <c r="G70" s="6" t="str">
        <f>IFERROR(__xludf.DUMMYFUNCTION("IF(SPLIT(F70,""-"")=""HR"",""High"",""Low"")"),"High")</f>
        <v>High</v>
      </c>
      <c r="H70" s="6" t="str">
        <f>IFERROR(__xludf.DUMMYFUNCTION("INDEX(SPLIT(F70, ""-""), 2)"),"VR")</f>
        <v>VR</v>
      </c>
      <c r="I70" s="6">
        <v>1.0</v>
      </c>
      <c r="J70" s="5">
        <v>5.0</v>
      </c>
      <c r="K70" s="5">
        <v>6.0</v>
      </c>
      <c r="L70" s="5" t="s">
        <v>199</v>
      </c>
      <c r="M70" s="5">
        <v>6.0</v>
      </c>
      <c r="N70" s="5">
        <v>6.0</v>
      </c>
      <c r="O70" s="5">
        <v>6.0</v>
      </c>
      <c r="P70" s="5">
        <v>6.0</v>
      </c>
      <c r="Q70" s="5">
        <v>5.0</v>
      </c>
      <c r="R70" s="5">
        <v>6.0</v>
      </c>
      <c r="S70" s="5">
        <v>6.0</v>
      </c>
      <c r="T70" s="5">
        <v>6.0</v>
      </c>
      <c r="U70" s="5">
        <v>4.0</v>
      </c>
      <c r="V70" s="5">
        <v>4.0</v>
      </c>
      <c r="W70" s="5">
        <v>5.0</v>
      </c>
      <c r="X70" s="5">
        <v>5.0</v>
      </c>
      <c r="Y70" s="5">
        <f t="shared" si="1"/>
        <v>3</v>
      </c>
      <c r="Z70" s="5" t="s">
        <v>471</v>
      </c>
      <c r="AA70" s="5" t="s">
        <v>206</v>
      </c>
      <c r="AB70" s="5">
        <v>4.0</v>
      </c>
      <c r="AC70" s="5">
        <v>4.0</v>
      </c>
      <c r="AD70" s="5">
        <v>5.0</v>
      </c>
      <c r="AE70" s="5">
        <v>6.0</v>
      </c>
      <c r="AF70" s="5">
        <v>5.0</v>
      </c>
      <c r="AG70" s="5">
        <v>6.0</v>
      </c>
      <c r="AH70" s="5" t="s">
        <v>472</v>
      </c>
      <c r="AI70" s="5" t="s">
        <v>206</v>
      </c>
      <c r="AJ70" s="5">
        <v>5.0</v>
      </c>
      <c r="AK70" s="5">
        <v>6.0</v>
      </c>
      <c r="AL70" s="5">
        <v>6.0</v>
      </c>
      <c r="AM70" s="5">
        <v>5.0</v>
      </c>
      <c r="AN70" s="5">
        <f t="shared" si="2"/>
        <v>3</v>
      </c>
      <c r="AO70" s="5">
        <v>5.0</v>
      </c>
      <c r="AP70" s="5">
        <f t="shared" si="3"/>
        <v>3</v>
      </c>
      <c r="AQ70" s="5">
        <v>7.0</v>
      </c>
      <c r="AR70" s="5">
        <f t="shared" si="4"/>
        <v>1</v>
      </c>
      <c r="AS70" s="5">
        <v>2.0</v>
      </c>
      <c r="AT70" s="5">
        <f t="shared" si="5"/>
        <v>6</v>
      </c>
      <c r="AU70" s="5" t="s">
        <v>473</v>
      </c>
    </row>
    <row r="71">
      <c r="A71" s="8">
        <f>IFERROR(__xludf.DUMMYFUNCTION("IF(E71="""", """", VALUE(REGEXREPLACE(E71, ""^[Pp]"", """")))"),19.0)</f>
        <v>19</v>
      </c>
      <c r="B71" s="8">
        <v>488.0</v>
      </c>
      <c r="C71" s="7">
        <v>45868.24930555555</v>
      </c>
      <c r="D71" s="5" t="s">
        <v>474</v>
      </c>
      <c r="E71" s="5" t="s">
        <v>470</v>
      </c>
      <c r="F71" s="5" t="s">
        <v>263</v>
      </c>
      <c r="G71" s="6" t="str">
        <f>IFERROR(__xludf.DUMMYFUNCTION("IF(SPLIT(F71,""-"")=""HR"",""High"",""Low"")"),"Low")</f>
        <v>Low</v>
      </c>
      <c r="H71" s="6" t="str">
        <f>IFERROR(__xludf.DUMMYFUNCTION("INDEX(SPLIT(F71, ""-""), 2)"),"VR")</f>
        <v>VR</v>
      </c>
      <c r="I71" s="6">
        <v>2.0</v>
      </c>
      <c r="J71" s="5">
        <v>6.0</v>
      </c>
      <c r="K71" s="5">
        <v>6.0</v>
      </c>
      <c r="L71" s="5" t="s">
        <v>199</v>
      </c>
      <c r="M71" s="5">
        <v>6.0</v>
      </c>
      <c r="N71" s="5">
        <v>5.0</v>
      </c>
      <c r="O71" s="5">
        <v>6.0</v>
      </c>
      <c r="P71" s="5">
        <v>6.0</v>
      </c>
      <c r="Q71" s="5">
        <v>6.0</v>
      </c>
      <c r="R71" s="5">
        <v>6.0</v>
      </c>
      <c r="S71" s="5">
        <v>7.0</v>
      </c>
      <c r="T71" s="5">
        <v>6.0</v>
      </c>
      <c r="U71" s="5">
        <v>6.0</v>
      </c>
      <c r="V71" s="5">
        <v>5.0</v>
      </c>
      <c r="W71" s="5">
        <v>6.0</v>
      </c>
      <c r="X71" s="5">
        <v>7.0</v>
      </c>
      <c r="Y71" s="5">
        <f t="shared" si="1"/>
        <v>1</v>
      </c>
      <c r="Z71" s="5" t="s">
        <v>475</v>
      </c>
      <c r="AA71" s="5" t="s">
        <v>206</v>
      </c>
      <c r="AB71" s="5">
        <v>6.0</v>
      </c>
      <c r="AC71" s="5">
        <v>5.0</v>
      </c>
      <c r="AD71" s="5">
        <v>6.0</v>
      </c>
      <c r="AE71" s="5">
        <v>5.0</v>
      </c>
      <c r="AF71" s="5">
        <v>5.0</v>
      </c>
      <c r="AG71" s="5">
        <v>5.0</v>
      </c>
      <c r="AH71" s="5" t="s">
        <v>476</v>
      </c>
      <c r="AI71" s="5" t="s">
        <v>206</v>
      </c>
      <c r="AJ71" s="5">
        <v>6.0</v>
      </c>
      <c r="AK71" s="5">
        <v>6.0</v>
      </c>
      <c r="AL71" s="5">
        <v>6.0</v>
      </c>
      <c r="AM71" s="5">
        <v>5.0</v>
      </c>
      <c r="AN71" s="5">
        <f t="shared" si="2"/>
        <v>3</v>
      </c>
      <c r="AO71" s="5">
        <v>5.0</v>
      </c>
      <c r="AP71" s="5">
        <f t="shared" si="3"/>
        <v>3</v>
      </c>
      <c r="AQ71" s="5">
        <v>6.0</v>
      </c>
      <c r="AR71" s="5">
        <f t="shared" si="4"/>
        <v>2</v>
      </c>
      <c r="AS71" s="5">
        <v>4.0</v>
      </c>
      <c r="AT71" s="5">
        <f t="shared" si="5"/>
        <v>4</v>
      </c>
      <c r="AU71" s="5" t="s">
        <v>477</v>
      </c>
    </row>
    <row r="72">
      <c r="A72" s="8">
        <f>IFERROR(__xludf.DUMMYFUNCTION("IF(E72="""", """", VALUE(REGEXREPLACE(E72, ""^[Pp]"", """")))"),19.0)</f>
        <v>19</v>
      </c>
      <c r="B72" s="8">
        <v>735.0</v>
      </c>
      <c r="C72" s="7">
        <v>45868.25833333333</v>
      </c>
      <c r="D72" s="5" t="s">
        <v>482</v>
      </c>
      <c r="E72" s="5" t="s">
        <v>470</v>
      </c>
      <c r="F72" s="5" t="s">
        <v>211</v>
      </c>
      <c r="G72" s="6" t="str">
        <f>IFERROR(__xludf.DUMMYFUNCTION("IF(SPLIT(F72,""-"")=""HR"",""High"",""Low"")"),"High")</f>
        <v>High</v>
      </c>
      <c r="H72" s="6" t="str">
        <f>IFERROR(__xludf.DUMMYFUNCTION("INDEX(SPLIT(F72, ""-""), 2)"),"Web")</f>
        <v>Web</v>
      </c>
      <c r="I72" s="6">
        <v>3.0</v>
      </c>
      <c r="J72" s="5">
        <v>4.0</v>
      </c>
      <c r="K72" s="5">
        <v>6.0</v>
      </c>
      <c r="L72" s="5" t="s">
        <v>199</v>
      </c>
      <c r="M72" s="5">
        <v>5.0</v>
      </c>
      <c r="N72" s="5">
        <v>5.0</v>
      </c>
      <c r="O72" s="5">
        <v>5.0</v>
      </c>
      <c r="P72" s="5">
        <v>5.0</v>
      </c>
      <c r="Q72" s="5">
        <v>4.0</v>
      </c>
      <c r="R72" s="5">
        <v>5.0</v>
      </c>
      <c r="S72" s="5">
        <v>6.0</v>
      </c>
      <c r="T72" s="5">
        <v>6.0</v>
      </c>
      <c r="U72" s="5">
        <v>3.0</v>
      </c>
      <c r="V72" s="5">
        <v>4.0</v>
      </c>
      <c r="W72" s="5">
        <v>6.0</v>
      </c>
      <c r="X72" s="5">
        <v>6.0</v>
      </c>
      <c r="Y72" s="5">
        <f t="shared" si="1"/>
        <v>2</v>
      </c>
      <c r="Z72" s="5" t="s">
        <v>483</v>
      </c>
      <c r="AA72" s="5" t="s">
        <v>206</v>
      </c>
      <c r="AB72" s="5">
        <v>5.0</v>
      </c>
      <c r="AC72" s="5">
        <v>4.0</v>
      </c>
      <c r="AD72" s="5">
        <v>5.0</v>
      </c>
      <c r="AE72" s="5">
        <v>3.0</v>
      </c>
      <c r="AF72" s="5">
        <v>3.0</v>
      </c>
      <c r="AG72" s="5">
        <v>6.0</v>
      </c>
      <c r="AH72" s="5" t="s">
        <v>484</v>
      </c>
      <c r="AI72" s="5" t="s">
        <v>206</v>
      </c>
      <c r="AJ72" s="5">
        <v>6.0</v>
      </c>
      <c r="AK72" s="5">
        <v>6.0</v>
      </c>
      <c r="AL72" s="5">
        <v>4.0</v>
      </c>
      <c r="AM72" s="5">
        <v>5.0</v>
      </c>
      <c r="AN72" s="5">
        <f t="shared" si="2"/>
        <v>3</v>
      </c>
      <c r="AO72" s="5">
        <v>4.0</v>
      </c>
      <c r="AP72" s="5">
        <f t="shared" si="3"/>
        <v>4</v>
      </c>
      <c r="AQ72" s="5">
        <v>6.0</v>
      </c>
      <c r="AR72" s="5">
        <f t="shared" si="4"/>
        <v>2</v>
      </c>
      <c r="AS72" s="5">
        <v>3.0</v>
      </c>
      <c r="AT72" s="5">
        <f t="shared" si="5"/>
        <v>5</v>
      </c>
      <c r="AU72" s="5" t="s">
        <v>485</v>
      </c>
    </row>
    <row r="73">
      <c r="A73" s="8">
        <f>IFERROR(__xludf.DUMMYFUNCTION("IF(E73="""", """", VALUE(REGEXREPLACE(E73, ""^[Pp]"", """")))"),19.0)</f>
        <v>19</v>
      </c>
      <c r="B73" s="8">
        <v>537.0</v>
      </c>
      <c r="C73" s="7">
        <v>45868.26527777778</v>
      </c>
      <c r="D73" s="5" t="s">
        <v>486</v>
      </c>
      <c r="E73" s="5" t="s">
        <v>470</v>
      </c>
      <c r="F73" s="5" t="s">
        <v>216</v>
      </c>
      <c r="G73" s="6" t="str">
        <f>IFERROR(__xludf.DUMMYFUNCTION("IF(SPLIT(F73,""-"")=""HR"",""High"",""Low"")"),"Low")</f>
        <v>Low</v>
      </c>
      <c r="H73" s="6" t="str">
        <f>IFERROR(__xludf.DUMMYFUNCTION("INDEX(SPLIT(F73, ""-""), 2)"),"Web")</f>
        <v>Web</v>
      </c>
      <c r="I73" s="6">
        <v>4.0</v>
      </c>
      <c r="J73" s="5">
        <v>6.0</v>
      </c>
      <c r="K73" s="5">
        <v>6.0</v>
      </c>
      <c r="L73" s="5" t="s">
        <v>199</v>
      </c>
      <c r="M73" s="5">
        <v>7.0</v>
      </c>
      <c r="N73" s="5">
        <v>6.0</v>
      </c>
      <c r="O73" s="5">
        <v>4.0</v>
      </c>
      <c r="P73" s="5">
        <v>6.0</v>
      </c>
      <c r="Q73" s="5">
        <v>5.0</v>
      </c>
      <c r="R73" s="5">
        <v>6.0</v>
      </c>
      <c r="S73" s="5">
        <v>6.0</v>
      </c>
      <c r="T73" s="5">
        <v>6.0</v>
      </c>
      <c r="U73" s="5">
        <v>5.0</v>
      </c>
      <c r="V73" s="5">
        <v>5.0</v>
      </c>
      <c r="W73" s="5">
        <v>6.0</v>
      </c>
      <c r="X73" s="5">
        <v>5.0</v>
      </c>
      <c r="Y73" s="5">
        <f t="shared" si="1"/>
        <v>3</v>
      </c>
      <c r="Z73" s="5" t="s">
        <v>487</v>
      </c>
      <c r="AA73" s="5" t="s">
        <v>206</v>
      </c>
      <c r="AB73" s="5">
        <v>6.0</v>
      </c>
      <c r="AC73" s="5">
        <v>6.0</v>
      </c>
      <c r="AD73" s="5">
        <v>6.0</v>
      </c>
      <c r="AE73" s="5">
        <v>5.0</v>
      </c>
      <c r="AF73" s="5">
        <v>6.0</v>
      </c>
      <c r="AG73" s="5">
        <v>6.0</v>
      </c>
      <c r="AH73" s="5" t="s">
        <v>488</v>
      </c>
      <c r="AI73" s="5" t="s">
        <v>206</v>
      </c>
      <c r="AJ73" s="5">
        <v>6.0</v>
      </c>
      <c r="AK73" s="5">
        <v>6.0</v>
      </c>
      <c r="AL73" s="5">
        <v>6.0</v>
      </c>
      <c r="AM73" s="5">
        <v>4.0</v>
      </c>
      <c r="AN73" s="5">
        <f t="shared" si="2"/>
        <v>4</v>
      </c>
      <c r="AO73" s="5">
        <v>4.0</v>
      </c>
      <c r="AP73" s="5">
        <f t="shared" si="3"/>
        <v>4</v>
      </c>
      <c r="AQ73" s="5">
        <v>5.0</v>
      </c>
      <c r="AR73" s="5">
        <f t="shared" si="4"/>
        <v>3</v>
      </c>
      <c r="AS73" s="5">
        <v>3.0</v>
      </c>
      <c r="AT73" s="5">
        <f t="shared" si="5"/>
        <v>5</v>
      </c>
      <c r="AU73" s="5" t="s">
        <v>489</v>
      </c>
    </row>
    <row r="74">
      <c r="A74" s="8">
        <f>IFERROR(__xludf.DUMMYFUNCTION("IF(E74="""", """", VALUE(REGEXREPLACE(E74, ""^[Pp]"", """")))"),20.0)</f>
        <v>20</v>
      </c>
      <c r="B74" s="8">
        <v>1057.0</v>
      </c>
      <c r="C74" s="7">
        <v>45868.290972222225</v>
      </c>
      <c r="D74" s="5" t="s">
        <v>495</v>
      </c>
      <c r="E74" s="5" t="s">
        <v>496</v>
      </c>
      <c r="F74" s="5" t="s">
        <v>263</v>
      </c>
      <c r="G74" s="6" t="str">
        <f>IFERROR(__xludf.DUMMYFUNCTION("IF(SPLIT(F74,""-"")=""HR"",""High"",""Low"")"),"Low")</f>
        <v>Low</v>
      </c>
      <c r="H74" s="6" t="str">
        <f>IFERROR(__xludf.DUMMYFUNCTION("INDEX(SPLIT(F74, ""-""), 2)"),"VR")</f>
        <v>VR</v>
      </c>
      <c r="I74" s="6">
        <v>1.0</v>
      </c>
      <c r="J74" s="5">
        <v>2.0</v>
      </c>
      <c r="K74" s="5">
        <v>3.0</v>
      </c>
      <c r="L74" s="5" t="s">
        <v>199</v>
      </c>
      <c r="M74" s="5">
        <v>5.0</v>
      </c>
      <c r="N74" s="5">
        <v>6.0</v>
      </c>
      <c r="O74" s="5">
        <v>2.0</v>
      </c>
      <c r="P74" s="5">
        <v>6.0</v>
      </c>
      <c r="Q74" s="5">
        <v>3.0</v>
      </c>
      <c r="R74" s="5">
        <v>6.0</v>
      </c>
      <c r="S74" s="5">
        <v>7.0</v>
      </c>
      <c r="T74" s="5">
        <v>7.0</v>
      </c>
      <c r="U74" s="5">
        <v>4.0</v>
      </c>
      <c r="V74" s="5">
        <v>3.0</v>
      </c>
      <c r="W74" s="5">
        <v>5.0</v>
      </c>
      <c r="X74" s="5">
        <v>2.0</v>
      </c>
      <c r="Y74" s="5">
        <f t="shared" si="1"/>
        <v>6</v>
      </c>
      <c r="Z74" s="11" t="s">
        <v>497</v>
      </c>
      <c r="AA74" s="5" t="s">
        <v>206</v>
      </c>
      <c r="AB74" s="5">
        <v>3.0</v>
      </c>
      <c r="AC74" s="5">
        <v>6.0</v>
      </c>
      <c r="AD74" s="5">
        <v>5.0</v>
      </c>
      <c r="AE74" s="5">
        <v>4.0</v>
      </c>
      <c r="AF74" s="5">
        <v>2.0</v>
      </c>
      <c r="AG74" s="5">
        <v>4.0</v>
      </c>
      <c r="AH74" s="11" t="s">
        <v>498</v>
      </c>
      <c r="AI74" s="5" t="s">
        <v>206</v>
      </c>
      <c r="AJ74" s="5">
        <v>5.0</v>
      </c>
      <c r="AK74" s="5">
        <v>1.0</v>
      </c>
      <c r="AL74" s="5">
        <v>6.0</v>
      </c>
      <c r="AM74" s="5">
        <v>4.0</v>
      </c>
      <c r="AN74" s="5">
        <f t="shared" si="2"/>
        <v>4</v>
      </c>
      <c r="AO74" s="5">
        <v>1.0</v>
      </c>
      <c r="AP74" s="5">
        <f t="shared" si="3"/>
        <v>7</v>
      </c>
      <c r="AQ74" s="5">
        <v>2.0</v>
      </c>
      <c r="AR74" s="5">
        <f t="shared" si="4"/>
        <v>6</v>
      </c>
      <c r="AS74" s="5">
        <v>2.0</v>
      </c>
      <c r="AT74" s="5">
        <f t="shared" si="5"/>
        <v>6</v>
      </c>
      <c r="AU74" s="5" t="s">
        <v>499</v>
      </c>
    </row>
    <row r="75">
      <c r="A75" s="8">
        <f>IFERROR(__xludf.DUMMYFUNCTION("IF(E75="""", """", VALUE(REGEXREPLACE(E75, ""^[Pp]"", """")))"),20.0)</f>
        <v>20</v>
      </c>
      <c r="B75" s="8">
        <v>553.0</v>
      </c>
      <c r="C75" s="7">
        <v>45868.30763888889</v>
      </c>
      <c r="D75" s="5" t="s">
        <v>505</v>
      </c>
      <c r="E75" s="5" t="s">
        <v>496</v>
      </c>
      <c r="F75" s="5" t="s">
        <v>216</v>
      </c>
      <c r="G75" s="6" t="str">
        <f>IFERROR(__xludf.DUMMYFUNCTION("IF(SPLIT(F75,""-"")=""HR"",""High"",""Low"")"),"Low")</f>
        <v>Low</v>
      </c>
      <c r="H75" s="6" t="str">
        <f>IFERROR(__xludf.DUMMYFUNCTION("INDEX(SPLIT(F75, ""-""), 2)"),"Web")</f>
        <v>Web</v>
      </c>
      <c r="I75" s="6">
        <v>2.0</v>
      </c>
      <c r="J75" s="5">
        <v>4.0</v>
      </c>
      <c r="K75" s="5">
        <v>4.0</v>
      </c>
      <c r="L75" s="5" t="s">
        <v>199</v>
      </c>
      <c r="M75" s="5">
        <v>7.0</v>
      </c>
      <c r="N75" s="5">
        <v>7.0</v>
      </c>
      <c r="O75" s="5">
        <v>5.0</v>
      </c>
      <c r="P75" s="5">
        <v>3.0</v>
      </c>
      <c r="Q75" s="5">
        <v>5.0</v>
      </c>
      <c r="R75" s="5">
        <v>7.0</v>
      </c>
      <c r="S75" s="5">
        <v>7.0</v>
      </c>
      <c r="T75" s="5">
        <v>7.0</v>
      </c>
      <c r="U75" s="5">
        <v>4.0</v>
      </c>
      <c r="V75" s="5">
        <v>2.0</v>
      </c>
      <c r="W75" s="5">
        <v>7.0</v>
      </c>
      <c r="X75" s="5">
        <v>1.0</v>
      </c>
      <c r="Y75" s="5">
        <f t="shared" si="1"/>
        <v>7</v>
      </c>
      <c r="Z75" s="5" t="s">
        <v>506</v>
      </c>
      <c r="AA75" s="5" t="s">
        <v>206</v>
      </c>
      <c r="AB75" s="5">
        <v>7.0</v>
      </c>
      <c r="AC75" s="5">
        <v>6.0</v>
      </c>
      <c r="AD75" s="5">
        <v>6.0</v>
      </c>
      <c r="AE75" s="5">
        <v>7.0</v>
      </c>
      <c r="AF75" s="5">
        <v>7.0</v>
      </c>
      <c r="AG75" s="5">
        <v>7.0</v>
      </c>
      <c r="AH75" s="5" t="s">
        <v>507</v>
      </c>
      <c r="AI75" s="5" t="s">
        <v>206</v>
      </c>
      <c r="AJ75" s="5">
        <v>7.0</v>
      </c>
      <c r="AK75" s="5">
        <v>7.0</v>
      </c>
      <c r="AL75" s="5">
        <v>7.0</v>
      </c>
      <c r="AM75" s="5">
        <v>1.0</v>
      </c>
      <c r="AN75" s="5">
        <f t="shared" si="2"/>
        <v>7</v>
      </c>
      <c r="AO75" s="5">
        <v>1.0</v>
      </c>
      <c r="AP75" s="5">
        <f t="shared" si="3"/>
        <v>7</v>
      </c>
      <c r="AQ75" s="5">
        <v>1.0</v>
      </c>
      <c r="AR75" s="5">
        <f t="shared" si="4"/>
        <v>7</v>
      </c>
      <c r="AS75" s="5">
        <v>1.0</v>
      </c>
      <c r="AT75" s="5">
        <f t="shared" si="5"/>
        <v>7</v>
      </c>
      <c r="AU75" s="5" t="s">
        <v>508</v>
      </c>
    </row>
    <row r="76">
      <c r="A76" s="8">
        <f>IFERROR(__xludf.DUMMYFUNCTION("IF(E76="""", """", VALUE(REGEXREPLACE(E76, ""^[Pp]"", """")))"),20.0)</f>
        <v>20</v>
      </c>
      <c r="B76" s="8">
        <v>806.0</v>
      </c>
      <c r="C76" s="7">
        <v>45868.322222222225</v>
      </c>
      <c r="D76" s="5" t="s">
        <v>513</v>
      </c>
      <c r="E76" s="5" t="s">
        <v>496</v>
      </c>
      <c r="F76" s="5" t="s">
        <v>211</v>
      </c>
      <c r="G76" s="6" t="str">
        <f>IFERROR(__xludf.DUMMYFUNCTION("IF(SPLIT(F76,""-"")=""HR"",""High"",""Low"")"),"High")</f>
        <v>High</v>
      </c>
      <c r="H76" s="6" t="str">
        <f>IFERROR(__xludf.DUMMYFUNCTION("INDEX(SPLIT(F76, ""-""), 2)"),"Web")</f>
        <v>Web</v>
      </c>
      <c r="I76" s="6">
        <v>3.0</v>
      </c>
      <c r="J76" s="5">
        <v>4.0</v>
      </c>
      <c r="K76" s="5">
        <v>4.0</v>
      </c>
      <c r="L76" s="5" t="s">
        <v>199</v>
      </c>
      <c r="M76" s="5">
        <v>4.0</v>
      </c>
      <c r="N76" s="5">
        <v>7.0</v>
      </c>
      <c r="O76" s="5">
        <v>3.0</v>
      </c>
      <c r="P76" s="5">
        <v>4.0</v>
      </c>
      <c r="Q76" s="5">
        <v>7.0</v>
      </c>
      <c r="R76" s="5">
        <v>7.0</v>
      </c>
      <c r="S76" s="5">
        <v>7.0</v>
      </c>
      <c r="T76" s="5">
        <v>7.0</v>
      </c>
      <c r="U76" s="5">
        <v>2.0</v>
      </c>
      <c r="V76" s="5">
        <v>1.0</v>
      </c>
      <c r="W76" s="5">
        <v>7.0</v>
      </c>
      <c r="X76" s="5">
        <v>1.0</v>
      </c>
      <c r="Y76" s="5">
        <f t="shared" si="1"/>
        <v>7</v>
      </c>
      <c r="Z76" s="5" t="s">
        <v>514</v>
      </c>
      <c r="AA76" s="5" t="s">
        <v>206</v>
      </c>
      <c r="AB76" s="5">
        <v>6.0</v>
      </c>
      <c r="AC76" s="5">
        <v>7.0</v>
      </c>
      <c r="AD76" s="5">
        <v>6.0</v>
      </c>
      <c r="AE76" s="5">
        <v>6.0</v>
      </c>
      <c r="AF76" s="5">
        <v>5.0</v>
      </c>
      <c r="AG76" s="5">
        <v>5.0</v>
      </c>
      <c r="AH76" s="5" t="s">
        <v>515</v>
      </c>
      <c r="AI76" s="5" t="s">
        <v>206</v>
      </c>
      <c r="AJ76" s="5">
        <v>7.0</v>
      </c>
      <c r="AK76" s="5">
        <v>7.0</v>
      </c>
      <c r="AL76" s="5">
        <v>7.0</v>
      </c>
      <c r="AM76" s="5">
        <v>1.0</v>
      </c>
      <c r="AN76" s="5">
        <f t="shared" si="2"/>
        <v>7</v>
      </c>
      <c r="AO76" s="5">
        <v>1.0</v>
      </c>
      <c r="AP76" s="5">
        <f t="shared" si="3"/>
        <v>7</v>
      </c>
      <c r="AQ76" s="5">
        <v>1.0</v>
      </c>
      <c r="AR76" s="5">
        <f t="shared" si="4"/>
        <v>7</v>
      </c>
      <c r="AS76" s="5">
        <v>1.0</v>
      </c>
      <c r="AT76" s="5">
        <f t="shared" si="5"/>
        <v>7</v>
      </c>
      <c r="AU76" s="5" t="s">
        <v>516</v>
      </c>
    </row>
    <row r="77">
      <c r="A77" s="8">
        <f>IFERROR(__xludf.DUMMYFUNCTION("IF(E77="""", """", VALUE(REGEXREPLACE(E77, ""^[Pp]"", """")))"),20.0)</f>
        <v>20</v>
      </c>
      <c r="B77" s="8">
        <v>561.0</v>
      </c>
      <c r="C77" s="7">
        <v>45868.334027777775</v>
      </c>
      <c r="D77" s="5" t="s">
        <v>521</v>
      </c>
      <c r="E77" s="5" t="s">
        <v>496</v>
      </c>
      <c r="F77" s="5" t="s">
        <v>197</v>
      </c>
      <c r="G77" s="6" t="str">
        <f>IFERROR(__xludf.DUMMYFUNCTION("IF(SPLIT(F77,""-"")=""HR"",""High"",""Low"")"),"High")</f>
        <v>High</v>
      </c>
      <c r="H77" s="6" t="str">
        <f>IFERROR(__xludf.DUMMYFUNCTION("INDEX(SPLIT(F77, ""-""), 2)"),"VR")</f>
        <v>VR</v>
      </c>
      <c r="I77" s="6">
        <v>4.0</v>
      </c>
      <c r="J77" s="5">
        <v>2.0</v>
      </c>
      <c r="K77" s="5">
        <v>2.0</v>
      </c>
      <c r="L77" s="5" t="s">
        <v>199</v>
      </c>
      <c r="M77" s="5">
        <v>3.0</v>
      </c>
      <c r="N77" s="5">
        <v>4.0</v>
      </c>
      <c r="O77" s="5">
        <v>2.0</v>
      </c>
      <c r="P77" s="5">
        <v>4.0</v>
      </c>
      <c r="Q77" s="5">
        <v>6.0</v>
      </c>
      <c r="R77" s="5">
        <v>4.0</v>
      </c>
      <c r="S77" s="5">
        <v>6.0</v>
      </c>
      <c r="T77" s="5">
        <v>2.0</v>
      </c>
      <c r="U77" s="5">
        <v>6.0</v>
      </c>
      <c r="V77" s="5">
        <v>1.0</v>
      </c>
      <c r="W77" s="5">
        <v>4.0</v>
      </c>
      <c r="X77" s="5">
        <v>1.0</v>
      </c>
      <c r="Y77" s="5">
        <f t="shared" si="1"/>
        <v>7</v>
      </c>
      <c r="Z77" s="5" t="s">
        <v>522</v>
      </c>
      <c r="AA77" s="5" t="s">
        <v>206</v>
      </c>
      <c r="AB77" s="5">
        <v>2.0</v>
      </c>
      <c r="AC77" s="5">
        <v>4.0</v>
      </c>
      <c r="AD77" s="5">
        <v>4.0</v>
      </c>
      <c r="AE77" s="5">
        <v>6.0</v>
      </c>
      <c r="AF77" s="5">
        <v>6.0</v>
      </c>
      <c r="AG77" s="5">
        <v>2.0</v>
      </c>
      <c r="AH77" s="5" t="s">
        <v>523</v>
      </c>
      <c r="AI77" s="5" t="s">
        <v>206</v>
      </c>
      <c r="AJ77" s="5">
        <v>1.0</v>
      </c>
      <c r="AK77" s="5">
        <v>1.0</v>
      </c>
      <c r="AL77" s="5">
        <v>5.0</v>
      </c>
      <c r="AM77" s="5">
        <v>7.0</v>
      </c>
      <c r="AN77" s="5">
        <f t="shared" si="2"/>
        <v>1</v>
      </c>
      <c r="AO77" s="5">
        <v>5.0</v>
      </c>
      <c r="AP77" s="5">
        <f t="shared" si="3"/>
        <v>3</v>
      </c>
      <c r="AQ77" s="5">
        <v>7.0</v>
      </c>
      <c r="AR77" s="5">
        <f t="shared" si="4"/>
        <v>1</v>
      </c>
      <c r="AS77" s="5">
        <v>7.0</v>
      </c>
      <c r="AT77" s="5">
        <f t="shared" si="5"/>
        <v>1</v>
      </c>
      <c r="AU77" s="5" t="s">
        <v>524</v>
      </c>
    </row>
    <row r="78">
      <c r="A78" s="8">
        <f>IFERROR(__xludf.DUMMYFUNCTION("IF(E78="""", """", VALUE(REGEXREPLACE(E78, ""^[Pp]"", """")))"),21.0)</f>
        <v>21</v>
      </c>
      <c r="B78" s="8">
        <v>1105.0</v>
      </c>
      <c r="C78" s="7">
        <v>45868.294444444444</v>
      </c>
      <c r="D78" s="5" t="s">
        <v>500</v>
      </c>
      <c r="E78" s="5" t="s">
        <v>501</v>
      </c>
      <c r="F78" s="5" t="s">
        <v>211</v>
      </c>
      <c r="G78" s="6" t="str">
        <f>IFERROR(__xludf.DUMMYFUNCTION("IF(SPLIT(F78,""-"")=""HR"",""High"",""Low"")"),"High")</f>
        <v>High</v>
      </c>
      <c r="H78" s="6" t="str">
        <f>IFERROR(__xludf.DUMMYFUNCTION("INDEX(SPLIT(F78, ""-""), 2)"),"Web")</f>
        <v>Web</v>
      </c>
      <c r="I78" s="6">
        <v>1.0</v>
      </c>
      <c r="J78" s="5">
        <v>5.0</v>
      </c>
      <c r="K78" s="5">
        <v>6.0</v>
      </c>
      <c r="L78" s="5" t="s">
        <v>199</v>
      </c>
      <c r="M78" s="5">
        <v>6.0</v>
      </c>
      <c r="N78" s="5">
        <v>6.0</v>
      </c>
      <c r="O78" s="5">
        <v>4.0</v>
      </c>
      <c r="P78" s="5">
        <v>5.0</v>
      </c>
      <c r="Q78" s="5">
        <v>6.0</v>
      </c>
      <c r="R78" s="5">
        <v>6.0</v>
      </c>
      <c r="S78" s="5">
        <v>6.0</v>
      </c>
      <c r="T78" s="5">
        <v>6.0</v>
      </c>
      <c r="U78" s="5">
        <v>6.0</v>
      </c>
      <c r="V78" s="5">
        <v>4.0</v>
      </c>
      <c r="W78" s="5">
        <v>6.0</v>
      </c>
      <c r="X78" s="5">
        <v>1.0</v>
      </c>
      <c r="Y78" s="5">
        <f t="shared" si="1"/>
        <v>7</v>
      </c>
      <c r="Z78" s="5" t="s">
        <v>502</v>
      </c>
      <c r="AA78" s="5" t="s">
        <v>206</v>
      </c>
      <c r="AB78" s="5">
        <v>6.0</v>
      </c>
      <c r="AC78" s="5">
        <v>7.0</v>
      </c>
      <c r="AD78" s="5">
        <v>7.0</v>
      </c>
      <c r="AE78" s="5">
        <v>7.0</v>
      </c>
      <c r="AF78" s="5">
        <v>6.0</v>
      </c>
      <c r="AG78" s="5">
        <v>7.0</v>
      </c>
      <c r="AH78" s="5" t="s">
        <v>503</v>
      </c>
      <c r="AI78" s="5" t="s">
        <v>206</v>
      </c>
      <c r="AJ78" s="5">
        <v>7.0</v>
      </c>
      <c r="AK78" s="5">
        <v>6.0</v>
      </c>
      <c r="AL78" s="5">
        <v>7.0</v>
      </c>
      <c r="AM78" s="5">
        <v>1.0</v>
      </c>
      <c r="AN78" s="5">
        <f t="shared" si="2"/>
        <v>7</v>
      </c>
      <c r="AO78" s="5">
        <v>1.0</v>
      </c>
      <c r="AP78" s="5">
        <f t="shared" si="3"/>
        <v>7</v>
      </c>
      <c r="AQ78" s="5">
        <v>1.0</v>
      </c>
      <c r="AR78" s="5">
        <f t="shared" si="4"/>
        <v>7</v>
      </c>
      <c r="AS78" s="5">
        <v>1.0</v>
      </c>
      <c r="AT78" s="5">
        <f t="shared" si="5"/>
        <v>7</v>
      </c>
      <c r="AU78" s="5" t="s">
        <v>504</v>
      </c>
    </row>
    <row r="79">
      <c r="A79" s="8">
        <f>IFERROR(__xludf.DUMMYFUNCTION("IF(E79="""", """", VALUE(REGEXREPLACE(E79, ""^[Pp]"", """")))"),21.0)</f>
        <v>21</v>
      </c>
      <c r="B79" s="8">
        <v>729.0</v>
      </c>
      <c r="C79" s="7">
        <v>45868.30972222222</v>
      </c>
      <c r="D79" s="5" t="s">
        <v>509</v>
      </c>
      <c r="E79" s="5" t="s">
        <v>501</v>
      </c>
      <c r="F79" s="5" t="s">
        <v>263</v>
      </c>
      <c r="G79" s="6" t="str">
        <f>IFERROR(__xludf.DUMMYFUNCTION("IF(SPLIT(F79,""-"")=""HR"",""High"",""Low"")"),"Low")</f>
        <v>Low</v>
      </c>
      <c r="H79" s="6" t="str">
        <f>IFERROR(__xludf.DUMMYFUNCTION("INDEX(SPLIT(F79, ""-""), 2)"),"VR")</f>
        <v>VR</v>
      </c>
      <c r="I79" s="6">
        <v>2.0</v>
      </c>
      <c r="J79" s="5">
        <v>6.0</v>
      </c>
      <c r="K79" s="5">
        <v>6.0</v>
      </c>
      <c r="L79" s="5" t="s">
        <v>199</v>
      </c>
      <c r="M79" s="5">
        <v>7.0</v>
      </c>
      <c r="N79" s="5">
        <v>7.0</v>
      </c>
      <c r="O79" s="5">
        <v>6.0</v>
      </c>
      <c r="P79" s="5">
        <v>6.0</v>
      </c>
      <c r="Q79" s="5">
        <v>7.0</v>
      </c>
      <c r="R79" s="5">
        <v>7.0</v>
      </c>
      <c r="S79" s="5">
        <v>7.0</v>
      </c>
      <c r="T79" s="5">
        <v>7.0</v>
      </c>
      <c r="U79" s="5">
        <v>6.0</v>
      </c>
      <c r="V79" s="5">
        <v>6.0</v>
      </c>
      <c r="W79" s="5">
        <v>6.0</v>
      </c>
      <c r="X79" s="5">
        <v>4.0</v>
      </c>
      <c r="Y79" s="5">
        <f t="shared" si="1"/>
        <v>4</v>
      </c>
      <c r="Z79" s="5" t="s">
        <v>510</v>
      </c>
      <c r="AA79" s="5" t="s">
        <v>206</v>
      </c>
      <c r="AB79" s="5">
        <v>6.0</v>
      </c>
      <c r="AC79" s="5">
        <v>7.0</v>
      </c>
      <c r="AD79" s="5">
        <v>7.0</v>
      </c>
      <c r="AE79" s="5">
        <v>7.0</v>
      </c>
      <c r="AF79" s="5">
        <v>7.0</v>
      </c>
      <c r="AG79" s="5">
        <v>7.0</v>
      </c>
      <c r="AH79" s="5" t="s">
        <v>511</v>
      </c>
      <c r="AI79" s="5" t="s">
        <v>206</v>
      </c>
      <c r="AJ79" s="5">
        <v>7.0</v>
      </c>
      <c r="AK79" s="5">
        <v>6.0</v>
      </c>
      <c r="AL79" s="5">
        <v>7.0</v>
      </c>
      <c r="AM79" s="5">
        <v>1.0</v>
      </c>
      <c r="AN79" s="5">
        <f t="shared" si="2"/>
        <v>7</v>
      </c>
      <c r="AO79" s="5">
        <v>1.0</v>
      </c>
      <c r="AP79" s="5">
        <f t="shared" si="3"/>
        <v>7</v>
      </c>
      <c r="AQ79" s="5">
        <v>2.0</v>
      </c>
      <c r="AR79" s="5">
        <f t="shared" si="4"/>
        <v>6</v>
      </c>
      <c r="AS79" s="5">
        <v>1.0</v>
      </c>
      <c r="AT79" s="5">
        <f t="shared" si="5"/>
        <v>7</v>
      </c>
      <c r="AU79" s="5" t="s">
        <v>512</v>
      </c>
    </row>
    <row r="80">
      <c r="A80" s="8">
        <f>IFERROR(__xludf.DUMMYFUNCTION("IF(E80="""", """", VALUE(REGEXREPLACE(E80, ""^[Pp]"", """")))"),21.0)</f>
        <v>21</v>
      </c>
      <c r="B80" s="8">
        <v>612.0</v>
      </c>
      <c r="C80" s="7">
        <v>45868.32361111111</v>
      </c>
      <c r="D80" s="5" t="s">
        <v>517</v>
      </c>
      <c r="E80" s="5" t="s">
        <v>501</v>
      </c>
      <c r="F80" s="5" t="s">
        <v>197</v>
      </c>
      <c r="G80" s="6" t="str">
        <f>IFERROR(__xludf.DUMMYFUNCTION("IF(SPLIT(F80,""-"")=""HR"",""High"",""Low"")"),"High")</f>
        <v>High</v>
      </c>
      <c r="H80" s="6" t="str">
        <f>IFERROR(__xludf.DUMMYFUNCTION("INDEX(SPLIT(F80, ""-""), 2)"),"VR")</f>
        <v>VR</v>
      </c>
      <c r="I80" s="6">
        <v>3.0</v>
      </c>
      <c r="J80" s="5">
        <v>6.0</v>
      </c>
      <c r="K80" s="5">
        <v>6.0</v>
      </c>
      <c r="L80" s="5" t="s">
        <v>199</v>
      </c>
      <c r="M80" s="5">
        <v>7.0</v>
      </c>
      <c r="N80" s="5">
        <v>7.0</v>
      </c>
      <c r="O80" s="5">
        <v>7.0</v>
      </c>
      <c r="P80" s="5">
        <v>6.0</v>
      </c>
      <c r="Q80" s="5">
        <v>7.0</v>
      </c>
      <c r="R80" s="5">
        <v>7.0</v>
      </c>
      <c r="S80" s="5">
        <v>7.0</v>
      </c>
      <c r="T80" s="5">
        <v>7.0</v>
      </c>
      <c r="U80" s="5">
        <v>6.0</v>
      </c>
      <c r="V80" s="5">
        <v>6.0</v>
      </c>
      <c r="W80" s="5">
        <v>7.0</v>
      </c>
      <c r="X80" s="5">
        <v>2.0</v>
      </c>
      <c r="Y80" s="5">
        <f t="shared" si="1"/>
        <v>6</v>
      </c>
      <c r="Z80" s="5" t="s">
        <v>518</v>
      </c>
      <c r="AA80" s="5" t="s">
        <v>206</v>
      </c>
      <c r="AB80" s="5">
        <v>7.0</v>
      </c>
      <c r="AC80" s="5">
        <v>7.0</v>
      </c>
      <c r="AD80" s="5">
        <v>7.0</v>
      </c>
      <c r="AE80" s="5">
        <v>7.0</v>
      </c>
      <c r="AF80" s="5">
        <v>7.0</v>
      </c>
      <c r="AG80" s="5">
        <v>7.0</v>
      </c>
      <c r="AH80" s="5" t="s">
        <v>519</v>
      </c>
      <c r="AI80" s="5" t="s">
        <v>206</v>
      </c>
      <c r="AJ80" s="5">
        <v>7.0</v>
      </c>
      <c r="AK80" s="5">
        <v>6.0</v>
      </c>
      <c r="AL80" s="5">
        <v>7.0</v>
      </c>
      <c r="AM80" s="5">
        <v>1.0</v>
      </c>
      <c r="AN80" s="5">
        <f t="shared" si="2"/>
        <v>7</v>
      </c>
      <c r="AO80" s="5">
        <v>1.0</v>
      </c>
      <c r="AP80" s="5">
        <f t="shared" si="3"/>
        <v>7</v>
      </c>
      <c r="AQ80" s="5">
        <v>1.0</v>
      </c>
      <c r="AR80" s="5">
        <f t="shared" si="4"/>
        <v>7</v>
      </c>
      <c r="AS80" s="5">
        <v>1.0</v>
      </c>
      <c r="AT80" s="5">
        <f t="shared" si="5"/>
        <v>7</v>
      </c>
      <c r="AU80" s="5" t="s">
        <v>520</v>
      </c>
    </row>
    <row r="81">
      <c r="A81" s="8">
        <f>IFERROR(__xludf.DUMMYFUNCTION("IF(E81="""", """", VALUE(REGEXREPLACE(E81, ""^[Pp]"", """")))"),21.0)</f>
        <v>21</v>
      </c>
      <c r="B81" s="8">
        <v>862.0</v>
      </c>
      <c r="C81" s="7">
        <v>45868.33611111111</v>
      </c>
      <c r="D81" s="5" t="s">
        <v>525</v>
      </c>
      <c r="E81" s="5" t="s">
        <v>501</v>
      </c>
      <c r="F81" s="5" t="s">
        <v>216</v>
      </c>
      <c r="G81" s="6" t="str">
        <f>IFERROR(__xludf.DUMMYFUNCTION("IF(SPLIT(F81,""-"")=""HR"",""High"",""Low"")"),"Low")</f>
        <v>Low</v>
      </c>
      <c r="H81" s="6" t="str">
        <f>IFERROR(__xludf.DUMMYFUNCTION("INDEX(SPLIT(F81, ""-""), 2)"),"Web")</f>
        <v>Web</v>
      </c>
      <c r="I81" s="6">
        <v>4.0</v>
      </c>
      <c r="J81" s="5">
        <v>5.0</v>
      </c>
      <c r="K81" s="5">
        <v>6.0</v>
      </c>
      <c r="L81" s="5" t="s">
        <v>199</v>
      </c>
      <c r="M81" s="5">
        <v>7.0</v>
      </c>
      <c r="N81" s="5">
        <v>6.0</v>
      </c>
      <c r="O81" s="5">
        <v>6.0</v>
      </c>
      <c r="P81" s="5">
        <v>5.0</v>
      </c>
      <c r="Q81" s="5">
        <v>7.0</v>
      </c>
      <c r="R81" s="5">
        <v>7.0</v>
      </c>
      <c r="S81" s="5">
        <v>7.0</v>
      </c>
      <c r="T81" s="5">
        <v>7.0</v>
      </c>
      <c r="U81" s="5">
        <v>6.0</v>
      </c>
      <c r="V81" s="5">
        <v>6.0</v>
      </c>
      <c r="W81" s="5">
        <v>7.0</v>
      </c>
      <c r="X81" s="5">
        <v>2.0</v>
      </c>
      <c r="Y81" s="5">
        <f t="shared" si="1"/>
        <v>6</v>
      </c>
      <c r="Z81" s="5" t="s">
        <v>526</v>
      </c>
      <c r="AA81" s="5" t="s">
        <v>206</v>
      </c>
      <c r="AB81" s="5">
        <v>7.0</v>
      </c>
      <c r="AC81" s="5">
        <v>7.0</v>
      </c>
      <c r="AD81" s="5">
        <v>7.0</v>
      </c>
      <c r="AE81" s="5">
        <v>7.0</v>
      </c>
      <c r="AF81" s="5">
        <v>6.0</v>
      </c>
      <c r="AG81" s="5">
        <v>7.0</v>
      </c>
      <c r="AH81" s="5" t="s">
        <v>527</v>
      </c>
      <c r="AI81" s="5" t="s">
        <v>206</v>
      </c>
      <c r="AJ81" s="5">
        <v>7.0</v>
      </c>
      <c r="AK81" s="5">
        <v>6.0</v>
      </c>
      <c r="AL81" s="5">
        <v>7.0</v>
      </c>
      <c r="AM81" s="5">
        <v>1.0</v>
      </c>
      <c r="AN81" s="5">
        <f t="shared" si="2"/>
        <v>7</v>
      </c>
      <c r="AO81" s="5">
        <v>1.0</v>
      </c>
      <c r="AP81" s="5">
        <f t="shared" si="3"/>
        <v>7</v>
      </c>
      <c r="AQ81" s="5">
        <v>1.0</v>
      </c>
      <c r="AR81" s="5">
        <f t="shared" si="4"/>
        <v>7</v>
      </c>
      <c r="AS81" s="5">
        <v>1.0</v>
      </c>
      <c r="AT81" s="5">
        <f t="shared" si="5"/>
        <v>7</v>
      </c>
      <c r="AU81" s="5" t="s">
        <v>528</v>
      </c>
    </row>
    <row r="82">
      <c r="A82" s="8">
        <f>IFERROR(__xludf.DUMMYFUNCTION("IF(E82="""", """", VALUE(REGEXREPLACE(E82, ""^[Pp]"", """")))"),22.0)</f>
        <v>22</v>
      </c>
      <c r="B82" s="8">
        <v>1029.0</v>
      </c>
      <c r="C82" s="7">
        <v>45869.02222222222</v>
      </c>
      <c r="D82" s="5" t="s">
        <v>530</v>
      </c>
      <c r="E82" s="5" t="s">
        <v>531</v>
      </c>
      <c r="F82" s="5" t="s">
        <v>216</v>
      </c>
      <c r="G82" s="6" t="str">
        <f>IFERROR(__xludf.DUMMYFUNCTION("IF(SPLIT(F82,""-"")=""HR"",""High"",""Low"")"),"Low")</f>
        <v>Low</v>
      </c>
      <c r="H82" s="6" t="str">
        <f>IFERROR(__xludf.DUMMYFUNCTION("INDEX(SPLIT(F82, ""-""), 2)"),"Web")</f>
        <v>Web</v>
      </c>
      <c r="I82" s="6">
        <v>1.0</v>
      </c>
      <c r="J82" s="5">
        <v>5.0</v>
      </c>
      <c r="K82" s="5">
        <v>3.0</v>
      </c>
      <c r="L82" s="5" t="s">
        <v>199</v>
      </c>
      <c r="M82" s="5">
        <v>2.0</v>
      </c>
      <c r="N82" s="5">
        <v>5.0</v>
      </c>
      <c r="O82" s="5">
        <v>5.0</v>
      </c>
      <c r="P82" s="5">
        <v>5.0</v>
      </c>
      <c r="Q82" s="5">
        <v>6.0</v>
      </c>
      <c r="R82" s="5">
        <v>6.0</v>
      </c>
      <c r="S82" s="5">
        <v>6.0</v>
      </c>
      <c r="T82" s="5">
        <v>2.0</v>
      </c>
      <c r="U82" s="5">
        <v>3.0</v>
      </c>
      <c r="V82" s="5">
        <v>2.0</v>
      </c>
      <c r="W82" s="5">
        <v>6.0</v>
      </c>
      <c r="X82" s="5">
        <v>6.0</v>
      </c>
      <c r="Y82" s="5">
        <f t="shared" si="1"/>
        <v>2</v>
      </c>
      <c r="Z82" s="5" t="s">
        <v>532</v>
      </c>
      <c r="AA82" s="5" t="s">
        <v>206</v>
      </c>
      <c r="AB82" s="5">
        <v>6.0</v>
      </c>
      <c r="AC82" s="5">
        <v>5.0</v>
      </c>
      <c r="AD82" s="5">
        <v>5.0</v>
      </c>
      <c r="AE82" s="5">
        <v>5.0</v>
      </c>
      <c r="AF82" s="5">
        <v>6.0</v>
      </c>
      <c r="AG82" s="5">
        <v>2.0</v>
      </c>
      <c r="AH82" s="5" t="s">
        <v>533</v>
      </c>
      <c r="AI82" s="5" t="s">
        <v>206</v>
      </c>
      <c r="AJ82" s="5">
        <v>2.0</v>
      </c>
      <c r="AK82" s="5">
        <v>7.0</v>
      </c>
      <c r="AL82" s="5">
        <v>5.0</v>
      </c>
      <c r="AM82" s="5">
        <v>3.0</v>
      </c>
      <c r="AN82" s="5">
        <f t="shared" si="2"/>
        <v>5</v>
      </c>
      <c r="AO82" s="5">
        <v>1.0</v>
      </c>
      <c r="AP82" s="5">
        <f t="shared" si="3"/>
        <v>7</v>
      </c>
      <c r="AQ82" s="5">
        <v>1.0</v>
      </c>
      <c r="AR82" s="5">
        <f t="shared" si="4"/>
        <v>7</v>
      </c>
      <c r="AS82" s="5">
        <v>1.0</v>
      </c>
      <c r="AT82" s="5">
        <f t="shared" si="5"/>
        <v>7</v>
      </c>
      <c r="AU82" s="5" t="s">
        <v>534</v>
      </c>
    </row>
    <row r="83">
      <c r="A83" s="8">
        <f>IFERROR(__xludf.DUMMYFUNCTION("IF(E83="""", """", VALUE(REGEXREPLACE(E83, ""^[Pp]"", """")))"),22.0)</f>
        <v>22</v>
      </c>
      <c r="B83" s="8">
        <v>497.0</v>
      </c>
      <c r="C83" s="7">
        <v>45869.041666666664</v>
      </c>
      <c r="D83" s="5" t="s">
        <v>540</v>
      </c>
      <c r="E83" s="5" t="s">
        <v>531</v>
      </c>
      <c r="F83" s="5" t="s">
        <v>197</v>
      </c>
      <c r="G83" s="6" t="str">
        <f>IFERROR(__xludf.DUMMYFUNCTION("IF(SPLIT(F83,""-"")=""HR"",""High"",""Low"")"),"High")</f>
        <v>High</v>
      </c>
      <c r="H83" s="6" t="str">
        <f>IFERROR(__xludf.DUMMYFUNCTION("INDEX(SPLIT(F83, ""-""), 2)"),"VR")</f>
        <v>VR</v>
      </c>
      <c r="I83" s="6">
        <v>2.0</v>
      </c>
      <c r="J83" s="5">
        <v>6.0</v>
      </c>
      <c r="K83" s="5">
        <v>2.0</v>
      </c>
      <c r="L83" s="5" t="s">
        <v>199</v>
      </c>
      <c r="M83" s="5">
        <v>3.0</v>
      </c>
      <c r="N83" s="5">
        <v>5.0</v>
      </c>
      <c r="O83" s="5">
        <v>6.0</v>
      </c>
      <c r="P83" s="5">
        <v>3.0</v>
      </c>
      <c r="Q83" s="5">
        <v>5.0</v>
      </c>
      <c r="R83" s="5">
        <v>6.0</v>
      </c>
      <c r="S83" s="5">
        <v>5.0</v>
      </c>
      <c r="T83" s="5">
        <v>2.0</v>
      </c>
      <c r="U83" s="5">
        <v>2.0</v>
      </c>
      <c r="V83" s="5">
        <v>2.0</v>
      </c>
      <c r="W83" s="5">
        <v>5.0</v>
      </c>
      <c r="X83" s="5">
        <v>5.0</v>
      </c>
      <c r="Y83" s="5">
        <f t="shared" si="1"/>
        <v>3</v>
      </c>
      <c r="Z83" s="5" t="s">
        <v>541</v>
      </c>
      <c r="AA83" s="5" t="s">
        <v>206</v>
      </c>
      <c r="AB83" s="5">
        <v>5.0</v>
      </c>
      <c r="AC83" s="5">
        <v>6.0</v>
      </c>
      <c r="AD83" s="5">
        <v>5.0</v>
      </c>
      <c r="AE83" s="5">
        <v>3.0</v>
      </c>
      <c r="AF83" s="5">
        <v>5.0</v>
      </c>
      <c r="AG83" s="5">
        <v>6.0</v>
      </c>
      <c r="AH83" s="5" t="s">
        <v>542</v>
      </c>
      <c r="AJ83" s="5">
        <v>5.0</v>
      </c>
      <c r="AK83" s="5">
        <v>2.0</v>
      </c>
      <c r="AL83" s="5">
        <v>6.0</v>
      </c>
      <c r="AM83" s="5">
        <v>2.0</v>
      </c>
      <c r="AN83" s="5">
        <f t="shared" si="2"/>
        <v>6</v>
      </c>
      <c r="AO83" s="5">
        <v>2.0</v>
      </c>
      <c r="AP83" s="5">
        <f t="shared" si="3"/>
        <v>6</v>
      </c>
      <c r="AQ83" s="5">
        <v>5.0</v>
      </c>
      <c r="AR83" s="5">
        <f t="shared" si="4"/>
        <v>3</v>
      </c>
      <c r="AS83" s="5">
        <v>5.0</v>
      </c>
      <c r="AT83" s="5">
        <f t="shared" si="5"/>
        <v>3</v>
      </c>
      <c r="AU83" s="5" t="s">
        <v>543</v>
      </c>
    </row>
    <row r="84">
      <c r="A84" s="8">
        <f>IFERROR(__xludf.DUMMYFUNCTION("IF(E84="""", """", VALUE(REGEXREPLACE(E84, ""^[Pp]"", """")))"),22.0)</f>
        <v>22</v>
      </c>
      <c r="B84" s="8">
        <v>554.0</v>
      </c>
      <c r="C84" s="7">
        <v>45869.052777777775</v>
      </c>
      <c r="D84" s="5" t="s">
        <v>548</v>
      </c>
      <c r="E84" s="5" t="s">
        <v>531</v>
      </c>
      <c r="F84" s="5" t="s">
        <v>263</v>
      </c>
      <c r="G84" s="6" t="str">
        <f>IFERROR(__xludf.DUMMYFUNCTION("IF(SPLIT(F84,""-"")=""HR"",""High"",""Low"")"),"Low")</f>
        <v>Low</v>
      </c>
      <c r="H84" s="6" t="str">
        <f>IFERROR(__xludf.DUMMYFUNCTION("INDEX(SPLIT(F84, ""-""), 2)"),"VR")</f>
        <v>VR</v>
      </c>
      <c r="I84" s="6">
        <v>3.0</v>
      </c>
      <c r="J84" s="5">
        <v>5.0</v>
      </c>
      <c r="K84" s="5">
        <v>2.0</v>
      </c>
      <c r="L84" s="5" t="s">
        <v>199</v>
      </c>
      <c r="M84" s="5">
        <v>4.0</v>
      </c>
      <c r="N84" s="5">
        <v>3.0</v>
      </c>
      <c r="O84" s="5">
        <v>4.0</v>
      </c>
      <c r="P84" s="5">
        <v>3.0</v>
      </c>
      <c r="Q84" s="5">
        <v>5.0</v>
      </c>
      <c r="R84" s="5">
        <v>5.0</v>
      </c>
      <c r="S84" s="5">
        <v>6.0</v>
      </c>
      <c r="T84" s="5">
        <v>3.0</v>
      </c>
      <c r="U84" s="5">
        <v>3.0</v>
      </c>
      <c r="V84" s="5">
        <v>4.0</v>
      </c>
      <c r="W84" s="5">
        <v>5.0</v>
      </c>
      <c r="X84" s="5">
        <v>5.0</v>
      </c>
      <c r="Y84" s="5">
        <f t="shared" si="1"/>
        <v>3</v>
      </c>
      <c r="Z84" s="5" t="s">
        <v>549</v>
      </c>
      <c r="AA84" s="5" t="s">
        <v>206</v>
      </c>
      <c r="AB84" s="5">
        <v>3.0</v>
      </c>
      <c r="AC84" s="5">
        <v>5.0</v>
      </c>
      <c r="AD84" s="5">
        <v>3.0</v>
      </c>
      <c r="AE84" s="5">
        <v>3.0</v>
      </c>
      <c r="AF84" s="5">
        <v>3.0</v>
      </c>
      <c r="AG84" s="5">
        <v>3.0</v>
      </c>
      <c r="AH84" s="5" t="s">
        <v>550</v>
      </c>
      <c r="AJ84" s="5">
        <v>5.0</v>
      </c>
      <c r="AK84" s="5">
        <v>2.0</v>
      </c>
      <c r="AL84" s="5">
        <v>3.0</v>
      </c>
      <c r="AM84" s="5">
        <v>2.0</v>
      </c>
      <c r="AN84" s="5">
        <f t="shared" si="2"/>
        <v>6</v>
      </c>
      <c r="AO84" s="5">
        <v>3.0</v>
      </c>
      <c r="AP84" s="5">
        <f t="shared" si="3"/>
        <v>5</v>
      </c>
      <c r="AQ84" s="5">
        <v>5.0</v>
      </c>
      <c r="AR84" s="5">
        <f t="shared" si="4"/>
        <v>3</v>
      </c>
      <c r="AS84" s="5">
        <v>3.0</v>
      </c>
      <c r="AT84" s="5">
        <f t="shared" si="5"/>
        <v>5</v>
      </c>
      <c r="AU84" s="5" t="s">
        <v>551</v>
      </c>
    </row>
    <row r="85">
      <c r="A85" s="8">
        <f>IFERROR(__xludf.DUMMYFUNCTION("IF(E85="""", """", VALUE(REGEXREPLACE(E85, ""^[Pp]"", """")))"),22.0)</f>
        <v>22</v>
      </c>
      <c r="B85" s="8">
        <v>680.0</v>
      </c>
      <c r="C85" s="7">
        <v>45869.06458333333</v>
      </c>
      <c r="D85" s="5" t="s">
        <v>556</v>
      </c>
      <c r="E85" s="5" t="s">
        <v>531</v>
      </c>
      <c r="F85" s="5" t="s">
        <v>211</v>
      </c>
      <c r="G85" s="6" t="str">
        <f>IFERROR(__xludf.DUMMYFUNCTION("IF(SPLIT(F85,""-"")=""HR"",""High"",""Low"")"),"High")</f>
        <v>High</v>
      </c>
      <c r="H85" s="6" t="str">
        <f>IFERROR(__xludf.DUMMYFUNCTION("INDEX(SPLIT(F85, ""-""), 2)"),"Web")</f>
        <v>Web</v>
      </c>
      <c r="I85" s="6">
        <v>4.0</v>
      </c>
      <c r="J85" s="5">
        <v>3.0</v>
      </c>
      <c r="K85" s="5">
        <v>3.0</v>
      </c>
      <c r="L85" s="5" t="s">
        <v>199</v>
      </c>
      <c r="M85" s="5">
        <v>3.0</v>
      </c>
      <c r="N85" s="5">
        <v>5.0</v>
      </c>
      <c r="O85" s="5">
        <v>5.0</v>
      </c>
      <c r="P85" s="5">
        <v>3.0</v>
      </c>
      <c r="Q85" s="5">
        <v>5.0</v>
      </c>
      <c r="R85" s="5">
        <v>6.0</v>
      </c>
      <c r="S85" s="5">
        <v>5.0</v>
      </c>
      <c r="T85" s="5">
        <v>6.0</v>
      </c>
      <c r="U85" s="5">
        <v>2.0</v>
      </c>
      <c r="V85" s="5">
        <v>5.0</v>
      </c>
      <c r="W85" s="5">
        <v>6.0</v>
      </c>
      <c r="X85" s="5">
        <v>5.0</v>
      </c>
      <c r="Y85" s="5">
        <f t="shared" si="1"/>
        <v>3</v>
      </c>
      <c r="Z85" s="5" t="s">
        <v>557</v>
      </c>
      <c r="AA85" s="5" t="s">
        <v>206</v>
      </c>
      <c r="AB85" s="5">
        <v>4.0</v>
      </c>
      <c r="AC85" s="5">
        <v>5.0</v>
      </c>
      <c r="AD85" s="5">
        <v>5.0</v>
      </c>
      <c r="AE85" s="5">
        <v>6.0</v>
      </c>
      <c r="AF85" s="5">
        <v>5.0</v>
      </c>
      <c r="AG85" s="5">
        <v>5.0</v>
      </c>
      <c r="AH85" s="5" t="s">
        <v>558</v>
      </c>
      <c r="AI85" s="5" t="s">
        <v>206</v>
      </c>
      <c r="AJ85" s="5">
        <v>3.0</v>
      </c>
      <c r="AK85" s="5">
        <v>5.0</v>
      </c>
      <c r="AL85" s="5">
        <v>5.0</v>
      </c>
      <c r="AM85" s="5">
        <v>1.0</v>
      </c>
      <c r="AN85" s="5">
        <f t="shared" si="2"/>
        <v>7</v>
      </c>
      <c r="AO85" s="5">
        <v>1.0</v>
      </c>
      <c r="AP85" s="5">
        <f t="shared" si="3"/>
        <v>7</v>
      </c>
      <c r="AQ85" s="5">
        <v>2.0</v>
      </c>
      <c r="AR85" s="5">
        <f t="shared" si="4"/>
        <v>6</v>
      </c>
      <c r="AS85" s="5">
        <v>1.0</v>
      </c>
      <c r="AT85" s="5">
        <f t="shared" si="5"/>
        <v>7</v>
      </c>
      <c r="AU85" s="5" t="s">
        <v>559</v>
      </c>
    </row>
    <row r="86">
      <c r="A86" s="8">
        <f>IFERROR(__xludf.DUMMYFUNCTION("IF(E86="""", """", VALUE(REGEXREPLACE(E86, ""^[Pp]"", """")))"),23.0)</f>
        <v>23</v>
      </c>
      <c r="B86" s="8">
        <v>1024.0</v>
      </c>
      <c r="C86" s="7">
        <v>45869.092361111114</v>
      </c>
      <c r="D86" s="5" t="s">
        <v>572</v>
      </c>
      <c r="E86" s="5" t="s">
        <v>573</v>
      </c>
      <c r="F86" s="5" t="s">
        <v>211</v>
      </c>
      <c r="G86" s="6" t="str">
        <f>IFERROR(__xludf.DUMMYFUNCTION("IF(SPLIT(F86,""-"")=""HR"",""High"",""Low"")"),"High")</f>
        <v>High</v>
      </c>
      <c r="H86" s="6" t="str">
        <f>IFERROR(__xludf.DUMMYFUNCTION("INDEX(SPLIT(F86, ""-""), 2)"),"Web")</f>
        <v>Web</v>
      </c>
      <c r="I86" s="6">
        <v>1.0</v>
      </c>
      <c r="J86" s="5">
        <v>6.0</v>
      </c>
      <c r="K86" s="5">
        <v>5.0</v>
      </c>
      <c r="L86" s="5" t="s">
        <v>199</v>
      </c>
      <c r="M86" s="5">
        <v>4.0</v>
      </c>
      <c r="N86" s="5">
        <v>7.0</v>
      </c>
      <c r="O86" s="5">
        <v>6.0</v>
      </c>
      <c r="P86" s="5">
        <v>6.0</v>
      </c>
      <c r="Q86" s="5">
        <v>7.0</v>
      </c>
      <c r="R86" s="5">
        <v>7.0</v>
      </c>
      <c r="S86" s="5">
        <v>5.0</v>
      </c>
      <c r="T86" s="5">
        <v>6.0</v>
      </c>
      <c r="U86" s="5">
        <v>4.0</v>
      </c>
      <c r="V86" s="5">
        <v>3.0</v>
      </c>
      <c r="W86" s="5">
        <v>7.0</v>
      </c>
      <c r="X86" s="5">
        <v>5.0</v>
      </c>
      <c r="Y86" s="5">
        <f t="shared" si="1"/>
        <v>3</v>
      </c>
      <c r="Z86" s="5" t="s">
        <v>574</v>
      </c>
      <c r="AA86" s="5" t="s">
        <v>206</v>
      </c>
      <c r="AB86" s="5">
        <v>3.0</v>
      </c>
      <c r="AC86" s="5">
        <v>7.0</v>
      </c>
      <c r="AD86" s="5">
        <v>7.0</v>
      </c>
      <c r="AE86" s="5">
        <v>3.0</v>
      </c>
      <c r="AF86" s="5">
        <v>6.0</v>
      </c>
      <c r="AG86" s="5">
        <v>7.0</v>
      </c>
      <c r="AH86" s="5" t="s">
        <v>575</v>
      </c>
      <c r="AI86" s="5" t="s">
        <v>206</v>
      </c>
      <c r="AJ86" s="5">
        <v>5.0</v>
      </c>
      <c r="AK86" s="5">
        <v>5.0</v>
      </c>
      <c r="AL86" s="5">
        <v>7.0</v>
      </c>
      <c r="AM86" s="5">
        <v>1.0</v>
      </c>
      <c r="AN86" s="5">
        <f t="shared" si="2"/>
        <v>7</v>
      </c>
      <c r="AO86" s="5">
        <v>1.0</v>
      </c>
      <c r="AP86" s="5">
        <f t="shared" si="3"/>
        <v>7</v>
      </c>
      <c r="AQ86" s="5">
        <v>1.0</v>
      </c>
      <c r="AR86" s="5">
        <f t="shared" si="4"/>
        <v>7</v>
      </c>
      <c r="AS86" s="5">
        <v>1.0</v>
      </c>
      <c r="AT86" s="5">
        <f t="shared" si="5"/>
        <v>7</v>
      </c>
      <c r="AU86" s="5" t="s">
        <v>576</v>
      </c>
    </row>
    <row r="87">
      <c r="A87" s="8">
        <f>IFERROR(__xludf.DUMMYFUNCTION("IF(E87="""", """", VALUE(REGEXREPLACE(E87, ""^[Pp]"", """")))"),23.0)</f>
        <v>23</v>
      </c>
      <c r="B87" s="8">
        <v>646.0</v>
      </c>
      <c r="C87" s="7">
        <v>45869.10486111111</v>
      </c>
      <c r="D87" s="5" t="s">
        <v>577</v>
      </c>
      <c r="E87" s="5" t="s">
        <v>573</v>
      </c>
      <c r="F87" s="5" t="s">
        <v>263</v>
      </c>
      <c r="G87" s="6" t="str">
        <f>IFERROR(__xludf.DUMMYFUNCTION("IF(SPLIT(F87,""-"")=""HR"",""High"",""Low"")"),"Low")</f>
        <v>Low</v>
      </c>
      <c r="H87" s="6" t="str">
        <f>IFERROR(__xludf.DUMMYFUNCTION("INDEX(SPLIT(F87, ""-""), 2)"),"VR")</f>
        <v>VR</v>
      </c>
      <c r="I87" s="6">
        <v>2.0</v>
      </c>
      <c r="J87" s="5">
        <v>7.0</v>
      </c>
      <c r="K87" s="5">
        <v>6.0</v>
      </c>
      <c r="L87" s="5" t="s">
        <v>199</v>
      </c>
      <c r="M87" s="5">
        <v>6.0</v>
      </c>
      <c r="N87" s="5">
        <v>7.0</v>
      </c>
      <c r="O87" s="5">
        <v>7.0</v>
      </c>
      <c r="P87" s="5">
        <v>3.0</v>
      </c>
      <c r="Q87" s="5">
        <v>7.0</v>
      </c>
      <c r="R87" s="5">
        <v>7.0</v>
      </c>
      <c r="S87" s="5">
        <v>7.0</v>
      </c>
      <c r="T87" s="5">
        <v>6.0</v>
      </c>
      <c r="U87" s="5">
        <v>6.0</v>
      </c>
      <c r="V87" s="5">
        <v>6.0</v>
      </c>
      <c r="W87" s="5">
        <v>7.0</v>
      </c>
      <c r="X87" s="5">
        <v>3.0</v>
      </c>
      <c r="Y87" s="5">
        <f t="shared" si="1"/>
        <v>5</v>
      </c>
      <c r="Z87" s="5" t="s">
        <v>578</v>
      </c>
      <c r="AA87" s="5" t="s">
        <v>206</v>
      </c>
      <c r="AB87" s="5">
        <v>5.0</v>
      </c>
      <c r="AC87" s="5">
        <v>7.0</v>
      </c>
      <c r="AD87" s="5">
        <v>7.0</v>
      </c>
      <c r="AE87" s="5">
        <v>7.0</v>
      </c>
      <c r="AF87" s="5">
        <v>7.0</v>
      </c>
      <c r="AG87" s="5">
        <v>7.0</v>
      </c>
      <c r="AH87" s="5" t="s">
        <v>579</v>
      </c>
      <c r="AI87" s="5" t="s">
        <v>206</v>
      </c>
      <c r="AJ87" s="5">
        <v>7.0</v>
      </c>
      <c r="AK87" s="5">
        <v>3.0</v>
      </c>
      <c r="AL87" s="5">
        <v>7.0</v>
      </c>
      <c r="AM87" s="5">
        <v>5.0</v>
      </c>
      <c r="AN87" s="5">
        <f t="shared" si="2"/>
        <v>3</v>
      </c>
      <c r="AO87" s="5">
        <v>6.0</v>
      </c>
      <c r="AP87" s="5">
        <f t="shared" si="3"/>
        <v>2</v>
      </c>
      <c r="AQ87" s="5">
        <v>1.0</v>
      </c>
      <c r="AR87" s="5">
        <f t="shared" si="4"/>
        <v>7</v>
      </c>
      <c r="AS87" s="5">
        <v>1.0</v>
      </c>
      <c r="AT87" s="5">
        <f t="shared" si="5"/>
        <v>7</v>
      </c>
      <c r="AU87" s="5" t="s">
        <v>580</v>
      </c>
    </row>
    <row r="88">
      <c r="A88" s="8">
        <f>IFERROR(__xludf.DUMMYFUNCTION("IF(E88="""", """", VALUE(REGEXREPLACE(E88, ""^[Pp]"", """")))"),23.0)</f>
        <v>23</v>
      </c>
      <c r="B88" s="8">
        <v>484.0</v>
      </c>
      <c r="C88" s="7">
        <v>45869.114583333336</v>
      </c>
      <c r="D88" s="5" t="s">
        <v>586</v>
      </c>
      <c r="E88" s="5" t="s">
        <v>573</v>
      </c>
      <c r="F88" s="5" t="s">
        <v>197</v>
      </c>
      <c r="G88" s="6" t="str">
        <f>IFERROR(__xludf.DUMMYFUNCTION("IF(SPLIT(F88,""-"")=""HR"",""High"",""Low"")"),"High")</f>
        <v>High</v>
      </c>
      <c r="H88" s="6" t="str">
        <f>IFERROR(__xludf.DUMMYFUNCTION("INDEX(SPLIT(F88, ""-""), 2)"),"VR")</f>
        <v>VR</v>
      </c>
      <c r="I88" s="6">
        <v>3.0</v>
      </c>
      <c r="J88" s="5">
        <v>7.0</v>
      </c>
      <c r="K88" s="5">
        <v>6.0</v>
      </c>
      <c r="L88" s="5" t="s">
        <v>199</v>
      </c>
      <c r="M88" s="5">
        <v>6.0</v>
      </c>
      <c r="N88" s="5">
        <v>7.0</v>
      </c>
      <c r="O88" s="5">
        <v>7.0</v>
      </c>
      <c r="P88" s="5">
        <v>6.0</v>
      </c>
      <c r="Q88" s="5">
        <v>7.0</v>
      </c>
      <c r="R88" s="5">
        <v>7.0</v>
      </c>
      <c r="S88" s="5">
        <v>7.0</v>
      </c>
      <c r="T88" s="5">
        <v>7.0</v>
      </c>
      <c r="U88" s="5">
        <v>3.0</v>
      </c>
      <c r="V88" s="5">
        <v>3.0</v>
      </c>
      <c r="W88" s="5">
        <v>7.0</v>
      </c>
      <c r="X88" s="5">
        <v>3.0</v>
      </c>
      <c r="Y88" s="5">
        <f t="shared" si="1"/>
        <v>5</v>
      </c>
      <c r="Z88" s="5" t="s">
        <v>587</v>
      </c>
      <c r="AA88" s="5" t="s">
        <v>206</v>
      </c>
      <c r="AB88" s="5">
        <v>6.0</v>
      </c>
      <c r="AC88" s="5">
        <v>7.0</v>
      </c>
      <c r="AD88" s="5">
        <v>7.0</v>
      </c>
      <c r="AE88" s="5">
        <v>7.0</v>
      </c>
      <c r="AF88" s="5">
        <v>7.0</v>
      </c>
      <c r="AG88" s="5">
        <v>7.0</v>
      </c>
      <c r="AH88" s="5" t="s">
        <v>588</v>
      </c>
      <c r="AI88" s="5" t="s">
        <v>206</v>
      </c>
      <c r="AJ88" s="5">
        <v>7.0</v>
      </c>
      <c r="AK88" s="5">
        <v>7.0</v>
      </c>
      <c r="AL88" s="5">
        <v>7.0</v>
      </c>
      <c r="AM88" s="5">
        <v>7.0</v>
      </c>
      <c r="AN88" s="5">
        <f t="shared" si="2"/>
        <v>1</v>
      </c>
      <c r="AO88" s="5">
        <v>7.0</v>
      </c>
      <c r="AP88" s="5">
        <f t="shared" si="3"/>
        <v>1</v>
      </c>
      <c r="AQ88" s="5">
        <v>5.0</v>
      </c>
      <c r="AR88" s="5">
        <f t="shared" si="4"/>
        <v>3</v>
      </c>
      <c r="AS88" s="5">
        <v>2.0</v>
      </c>
      <c r="AT88" s="5">
        <f t="shared" si="5"/>
        <v>6</v>
      </c>
      <c r="AU88" s="5" t="s">
        <v>589</v>
      </c>
    </row>
    <row r="89">
      <c r="A89" s="8">
        <f>IFERROR(__xludf.DUMMYFUNCTION("IF(E89="""", """", VALUE(REGEXREPLACE(E89, ""^[Pp]"", """")))"),23.0)</f>
        <v>23</v>
      </c>
      <c r="B89" s="8">
        <v>768.0</v>
      </c>
      <c r="C89" s="7">
        <v>45869.12569444445</v>
      </c>
      <c r="D89" s="5" t="s">
        <v>590</v>
      </c>
      <c r="E89" s="5" t="s">
        <v>573</v>
      </c>
      <c r="F89" s="5" t="s">
        <v>216</v>
      </c>
      <c r="G89" s="6" t="str">
        <f>IFERROR(__xludf.DUMMYFUNCTION("IF(SPLIT(F89,""-"")=""HR"",""High"",""Low"")"),"Low")</f>
        <v>Low</v>
      </c>
      <c r="H89" s="6" t="str">
        <f>IFERROR(__xludf.DUMMYFUNCTION("INDEX(SPLIT(F89, ""-""), 2)"),"Web")</f>
        <v>Web</v>
      </c>
      <c r="I89" s="6">
        <v>4.0</v>
      </c>
      <c r="J89" s="5">
        <v>7.0</v>
      </c>
      <c r="K89" s="5">
        <v>5.0</v>
      </c>
      <c r="L89" s="5" t="s">
        <v>199</v>
      </c>
      <c r="M89" s="5">
        <v>5.0</v>
      </c>
      <c r="N89" s="5">
        <v>7.0</v>
      </c>
      <c r="O89" s="5">
        <v>6.0</v>
      </c>
      <c r="P89" s="5">
        <v>4.0</v>
      </c>
      <c r="Q89" s="5">
        <v>5.0</v>
      </c>
      <c r="R89" s="5">
        <v>5.0</v>
      </c>
      <c r="S89" s="5">
        <v>4.0</v>
      </c>
      <c r="T89" s="5">
        <v>5.0</v>
      </c>
      <c r="U89" s="5">
        <v>5.0</v>
      </c>
      <c r="V89" s="5">
        <v>5.0</v>
      </c>
      <c r="W89" s="5">
        <v>5.0</v>
      </c>
      <c r="X89" s="5">
        <v>5.0</v>
      </c>
      <c r="Y89" s="5">
        <f t="shared" si="1"/>
        <v>3</v>
      </c>
      <c r="Z89" s="5" t="s">
        <v>591</v>
      </c>
      <c r="AA89" s="5" t="s">
        <v>206</v>
      </c>
      <c r="AB89" s="5">
        <v>6.0</v>
      </c>
      <c r="AC89" s="5">
        <v>7.0</v>
      </c>
      <c r="AD89" s="5">
        <v>7.0</v>
      </c>
      <c r="AE89" s="5">
        <v>5.0</v>
      </c>
      <c r="AF89" s="5">
        <v>6.0</v>
      </c>
      <c r="AG89" s="5">
        <v>7.0</v>
      </c>
      <c r="AH89" s="5" t="s">
        <v>592</v>
      </c>
      <c r="AI89" s="5" t="s">
        <v>206</v>
      </c>
      <c r="AJ89" s="5">
        <v>7.0</v>
      </c>
      <c r="AK89" s="5">
        <v>5.0</v>
      </c>
      <c r="AL89" s="5">
        <v>7.0</v>
      </c>
      <c r="AM89" s="5">
        <v>1.0</v>
      </c>
      <c r="AN89" s="5">
        <f t="shared" si="2"/>
        <v>7</v>
      </c>
      <c r="AO89" s="5">
        <v>1.0</v>
      </c>
      <c r="AP89" s="5">
        <f t="shared" si="3"/>
        <v>7</v>
      </c>
      <c r="AQ89" s="5">
        <v>1.0</v>
      </c>
      <c r="AR89" s="5">
        <f t="shared" si="4"/>
        <v>7</v>
      </c>
      <c r="AS89" s="5">
        <v>1.0</v>
      </c>
      <c r="AT89" s="5">
        <f t="shared" si="5"/>
        <v>7</v>
      </c>
      <c r="AU89" s="5" t="s">
        <v>593</v>
      </c>
    </row>
    <row r="90">
      <c r="A90" s="8">
        <f>IFERROR(__xludf.DUMMYFUNCTION("IF(E90="""", """", VALUE(REGEXREPLACE(E90, ""^[Pp]"", """")))"),24.0)</f>
        <v>24</v>
      </c>
      <c r="B90" s="8">
        <v>1424.0</v>
      </c>
      <c r="C90" s="7">
        <v>45869.10902777778</v>
      </c>
      <c r="D90" s="5" t="s">
        <v>581</v>
      </c>
      <c r="E90" s="5" t="s">
        <v>582</v>
      </c>
      <c r="F90" s="5" t="s">
        <v>197</v>
      </c>
      <c r="G90" s="6" t="str">
        <f>IFERROR(__xludf.DUMMYFUNCTION("IF(SPLIT(F90,""-"")=""HR"",""High"",""Low"")"),"High")</f>
        <v>High</v>
      </c>
      <c r="H90" s="6" t="str">
        <f>IFERROR(__xludf.DUMMYFUNCTION("INDEX(SPLIT(F90, ""-""), 2)"),"VR")</f>
        <v>VR</v>
      </c>
      <c r="I90" s="6">
        <v>1.0</v>
      </c>
      <c r="J90" s="5">
        <v>6.0</v>
      </c>
      <c r="K90" s="5">
        <v>6.0</v>
      </c>
      <c r="L90" s="5" t="s">
        <v>199</v>
      </c>
      <c r="M90" s="5">
        <v>7.0</v>
      </c>
      <c r="N90" s="5">
        <v>7.0</v>
      </c>
      <c r="O90" s="5">
        <v>5.0</v>
      </c>
      <c r="P90" s="5">
        <v>6.0</v>
      </c>
      <c r="Q90" s="5">
        <v>7.0</v>
      </c>
      <c r="R90" s="5">
        <v>6.0</v>
      </c>
      <c r="S90" s="5">
        <v>6.0</v>
      </c>
      <c r="T90" s="5">
        <v>7.0</v>
      </c>
      <c r="U90" s="5">
        <v>6.0</v>
      </c>
      <c r="V90" s="5">
        <v>5.0</v>
      </c>
      <c r="W90" s="5">
        <v>7.0</v>
      </c>
      <c r="X90" s="5">
        <v>6.0</v>
      </c>
      <c r="Y90" s="5">
        <f t="shared" si="1"/>
        <v>2</v>
      </c>
      <c r="Z90" s="5" t="s">
        <v>583</v>
      </c>
      <c r="AA90" s="5" t="s">
        <v>206</v>
      </c>
      <c r="AB90" s="5">
        <v>6.0</v>
      </c>
      <c r="AC90" s="5">
        <v>6.0</v>
      </c>
      <c r="AD90" s="5">
        <v>7.0</v>
      </c>
      <c r="AE90" s="5">
        <v>6.0</v>
      </c>
      <c r="AF90" s="5">
        <v>7.0</v>
      </c>
      <c r="AG90" s="5">
        <v>7.0</v>
      </c>
      <c r="AH90" s="11" t="s">
        <v>584</v>
      </c>
      <c r="AI90" s="5" t="s">
        <v>206</v>
      </c>
      <c r="AJ90" s="5">
        <v>6.0</v>
      </c>
      <c r="AK90" s="5">
        <v>6.0</v>
      </c>
      <c r="AL90" s="5">
        <v>7.0</v>
      </c>
      <c r="AM90" s="5">
        <v>1.0</v>
      </c>
      <c r="AN90" s="5">
        <f t="shared" si="2"/>
        <v>7</v>
      </c>
      <c r="AO90" s="5">
        <v>1.0</v>
      </c>
      <c r="AP90" s="5">
        <f t="shared" si="3"/>
        <v>7</v>
      </c>
      <c r="AQ90" s="5">
        <v>1.0</v>
      </c>
      <c r="AR90" s="5">
        <f t="shared" si="4"/>
        <v>7</v>
      </c>
      <c r="AS90" s="5">
        <v>1.0</v>
      </c>
      <c r="AT90" s="5">
        <f t="shared" si="5"/>
        <v>7</v>
      </c>
      <c r="AU90" s="5" t="s">
        <v>585</v>
      </c>
    </row>
    <row r="91">
      <c r="A91" s="8">
        <f>IFERROR(__xludf.DUMMYFUNCTION("IF(E91="""", """", VALUE(REGEXREPLACE(E91, ""^[Pp]"", """")))"),24.0)</f>
        <v>24</v>
      </c>
      <c r="B91" s="8">
        <v>1117.0</v>
      </c>
      <c r="C91" s="7">
        <v>45869.17638888889</v>
      </c>
      <c r="D91" s="5" t="s">
        <v>596</v>
      </c>
      <c r="E91" s="5" t="s">
        <v>582</v>
      </c>
      <c r="F91" s="5" t="s">
        <v>211</v>
      </c>
      <c r="G91" s="6" t="str">
        <f>IFERROR(__xludf.DUMMYFUNCTION("IF(SPLIT(F91,""-"")=""HR"",""High"",""Low"")"),"High")</f>
        <v>High</v>
      </c>
      <c r="H91" s="6" t="str">
        <f>IFERROR(__xludf.DUMMYFUNCTION("INDEX(SPLIT(F91, ""-""), 2)"),"Web")</f>
        <v>Web</v>
      </c>
      <c r="I91" s="6">
        <v>2.0</v>
      </c>
      <c r="J91" s="5">
        <v>6.0</v>
      </c>
      <c r="K91" s="5">
        <v>5.0</v>
      </c>
      <c r="L91" s="5" t="s">
        <v>199</v>
      </c>
      <c r="M91" s="5">
        <v>7.0</v>
      </c>
      <c r="N91" s="5">
        <v>7.0</v>
      </c>
      <c r="O91" s="5">
        <v>5.0</v>
      </c>
      <c r="P91" s="5">
        <v>5.0</v>
      </c>
      <c r="Q91" s="5">
        <v>6.0</v>
      </c>
      <c r="R91" s="5">
        <v>6.0</v>
      </c>
      <c r="S91" s="5">
        <v>6.0</v>
      </c>
      <c r="T91" s="5">
        <v>7.0</v>
      </c>
      <c r="U91" s="5">
        <v>5.0</v>
      </c>
      <c r="V91" s="5">
        <v>4.0</v>
      </c>
      <c r="W91" s="5">
        <v>6.0</v>
      </c>
      <c r="X91" s="5">
        <v>4.0</v>
      </c>
      <c r="Y91" s="5">
        <f t="shared" si="1"/>
        <v>4</v>
      </c>
      <c r="Z91" s="5" t="s">
        <v>597</v>
      </c>
      <c r="AA91" s="5" t="s">
        <v>206</v>
      </c>
      <c r="AB91" s="5">
        <v>6.0</v>
      </c>
      <c r="AC91" s="5">
        <v>7.0</v>
      </c>
      <c r="AD91" s="5">
        <v>7.0</v>
      </c>
      <c r="AE91" s="5">
        <v>7.0</v>
      </c>
      <c r="AF91" s="5">
        <v>7.0</v>
      </c>
      <c r="AG91" s="5">
        <v>7.0</v>
      </c>
      <c r="AH91" s="5" t="s">
        <v>598</v>
      </c>
      <c r="AI91" s="5" t="s">
        <v>206</v>
      </c>
      <c r="AJ91" s="5">
        <v>6.0</v>
      </c>
      <c r="AK91" s="5">
        <v>6.0</v>
      </c>
      <c r="AL91" s="5">
        <v>7.0</v>
      </c>
      <c r="AM91" s="5">
        <v>1.0</v>
      </c>
      <c r="AN91" s="5">
        <f t="shared" si="2"/>
        <v>7</v>
      </c>
      <c r="AO91" s="5">
        <v>1.0</v>
      </c>
      <c r="AP91" s="5">
        <f t="shared" si="3"/>
        <v>7</v>
      </c>
      <c r="AQ91" s="5">
        <v>1.0</v>
      </c>
      <c r="AR91" s="5">
        <f t="shared" si="4"/>
        <v>7</v>
      </c>
      <c r="AS91" s="5">
        <v>1.0</v>
      </c>
      <c r="AT91" s="5">
        <f t="shared" si="5"/>
        <v>7</v>
      </c>
      <c r="AU91" s="5" t="s">
        <v>599</v>
      </c>
    </row>
    <row r="92">
      <c r="A92" s="8">
        <f>IFERROR(__xludf.DUMMYFUNCTION("IF(E92="""", """", VALUE(REGEXREPLACE(E92, ""^[Pp]"", """")))"),24.0)</f>
        <v>24</v>
      </c>
      <c r="B92" s="8">
        <v>808.0</v>
      </c>
      <c r="C92" s="7">
        <v>45869.19236111111</v>
      </c>
      <c r="D92" s="5" t="s">
        <v>612</v>
      </c>
      <c r="E92" s="5" t="s">
        <v>582</v>
      </c>
      <c r="F92" s="5" t="s">
        <v>263</v>
      </c>
      <c r="G92" s="6" t="str">
        <f>IFERROR(__xludf.DUMMYFUNCTION("IF(SPLIT(F92,""-"")=""HR"",""High"",""Low"")"),"Low")</f>
        <v>Low</v>
      </c>
      <c r="H92" s="6" t="str">
        <f>IFERROR(__xludf.DUMMYFUNCTION("INDEX(SPLIT(F92, ""-""), 2)"),"VR")</f>
        <v>VR</v>
      </c>
      <c r="I92" s="6">
        <v>3.0</v>
      </c>
      <c r="J92" s="5">
        <v>7.0</v>
      </c>
      <c r="K92" s="5">
        <v>5.0</v>
      </c>
      <c r="L92" s="5" t="s">
        <v>199</v>
      </c>
      <c r="M92" s="5">
        <v>7.0</v>
      </c>
      <c r="N92" s="5">
        <v>7.0</v>
      </c>
      <c r="O92" s="5">
        <v>5.0</v>
      </c>
      <c r="P92" s="5">
        <v>5.0</v>
      </c>
      <c r="Q92" s="5">
        <v>6.0</v>
      </c>
      <c r="R92" s="5">
        <v>6.0</v>
      </c>
      <c r="S92" s="5">
        <v>5.0</v>
      </c>
      <c r="T92" s="5">
        <v>6.0</v>
      </c>
      <c r="U92" s="5">
        <v>5.0</v>
      </c>
      <c r="V92" s="5">
        <v>2.0</v>
      </c>
      <c r="W92" s="5">
        <v>6.0</v>
      </c>
      <c r="X92" s="5">
        <v>5.0</v>
      </c>
      <c r="Y92" s="5">
        <f t="shared" si="1"/>
        <v>3</v>
      </c>
      <c r="Z92" s="5" t="s">
        <v>613</v>
      </c>
      <c r="AA92" s="5" t="s">
        <v>206</v>
      </c>
      <c r="AB92" s="5">
        <v>7.0</v>
      </c>
      <c r="AC92" s="5">
        <v>7.0</v>
      </c>
      <c r="AD92" s="5">
        <v>7.0</v>
      </c>
      <c r="AE92" s="5">
        <v>7.0</v>
      </c>
      <c r="AF92" s="5">
        <v>7.0</v>
      </c>
      <c r="AG92" s="5">
        <v>7.0</v>
      </c>
      <c r="AH92" s="5" t="s">
        <v>614</v>
      </c>
      <c r="AI92" s="5" t="s">
        <v>206</v>
      </c>
      <c r="AJ92" s="5">
        <v>7.0</v>
      </c>
      <c r="AK92" s="5">
        <v>6.0</v>
      </c>
      <c r="AL92" s="5">
        <v>7.0</v>
      </c>
      <c r="AM92" s="5">
        <v>1.0</v>
      </c>
      <c r="AN92" s="5">
        <f t="shared" si="2"/>
        <v>7</v>
      </c>
      <c r="AO92" s="5">
        <v>1.0</v>
      </c>
      <c r="AP92" s="5">
        <f t="shared" si="3"/>
        <v>7</v>
      </c>
      <c r="AQ92" s="5">
        <v>1.0</v>
      </c>
      <c r="AR92" s="5">
        <f t="shared" si="4"/>
        <v>7</v>
      </c>
      <c r="AS92" s="5">
        <v>1.0</v>
      </c>
      <c r="AT92" s="5">
        <f t="shared" si="5"/>
        <v>7</v>
      </c>
      <c r="AU92" s="5" t="s">
        <v>615</v>
      </c>
    </row>
    <row r="93">
      <c r="A93" s="8">
        <f>IFERROR(__xludf.DUMMYFUNCTION("IF(E93="""", """", VALUE(REGEXREPLACE(E93, ""^[Pp]"", """")))"),24.0)</f>
        <v>24</v>
      </c>
      <c r="B93" s="8">
        <v>677.0</v>
      </c>
      <c r="C93" s="7">
        <v>45869.20416666667</v>
      </c>
      <c r="D93" s="5" t="s">
        <v>620</v>
      </c>
      <c r="E93" s="5" t="s">
        <v>582</v>
      </c>
      <c r="F93" s="5" t="s">
        <v>216</v>
      </c>
      <c r="G93" s="6" t="str">
        <f>IFERROR(__xludf.DUMMYFUNCTION("IF(SPLIT(F93,""-"")=""HR"",""High"",""Low"")"),"Low")</f>
        <v>Low</v>
      </c>
      <c r="H93" s="6" t="str">
        <f>IFERROR(__xludf.DUMMYFUNCTION("INDEX(SPLIT(F93, ""-""), 2)"),"Web")</f>
        <v>Web</v>
      </c>
      <c r="I93" s="6">
        <v>4.0</v>
      </c>
      <c r="J93" s="5">
        <v>7.0</v>
      </c>
      <c r="K93" s="5">
        <v>4.0</v>
      </c>
      <c r="L93" s="5" t="s">
        <v>199</v>
      </c>
      <c r="M93" s="5">
        <v>7.0</v>
      </c>
      <c r="N93" s="5">
        <v>7.0</v>
      </c>
      <c r="O93" s="5">
        <v>3.0</v>
      </c>
      <c r="P93" s="5">
        <v>6.0</v>
      </c>
      <c r="Q93" s="5">
        <v>6.0</v>
      </c>
      <c r="R93" s="5">
        <v>6.0</v>
      </c>
      <c r="S93" s="5">
        <v>6.0</v>
      </c>
      <c r="T93" s="5">
        <v>6.0</v>
      </c>
      <c r="U93" s="5">
        <v>3.0</v>
      </c>
      <c r="V93" s="5">
        <v>1.0</v>
      </c>
      <c r="W93" s="5">
        <v>6.0</v>
      </c>
      <c r="X93" s="5">
        <v>4.0</v>
      </c>
      <c r="Y93" s="5">
        <f t="shared" si="1"/>
        <v>4</v>
      </c>
      <c r="Z93" s="5" t="s">
        <v>621</v>
      </c>
      <c r="AA93" s="5" t="s">
        <v>206</v>
      </c>
      <c r="AB93" s="5">
        <v>6.0</v>
      </c>
      <c r="AC93" s="5">
        <v>6.0</v>
      </c>
      <c r="AD93" s="5">
        <v>7.0</v>
      </c>
      <c r="AE93" s="5">
        <v>6.0</v>
      </c>
      <c r="AF93" s="5">
        <v>7.0</v>
      </c>
      <c r="AG93" s="5">
        <v>7.0</v>
      </c>
      <c r="AH93" s="5" t="s">
        <v>622</v>
      </c>
      <c r="AI93" s="5" t="s">
        <v>206</v>
      </c>
      <c r="AJ93" s="5">
        <v>7.0</v>
      </c>
      <c r="AK93" s="5">
        <v>7.0</v>
      </c>
      <c r="AL93" s="5">
        <v>7.0</v>
      </c>
      <c r="AM93" s="5">
        <v>1.0</v>
      </c>
      <c r="AN93" s="5">
        <f t="shared" si="2"/>
        <v>7</v>
      </c>
      <c r="AO93" s="5">
        <v>1.0</v>
      </c>
      <c r="AP93" s="5">
        <f t="shared" si="3"/>
        <v>7</v>
      </c>
      <c r="AQ93" s="5">
        <v>1.0</v>
      </c>
      <c r="AR93" s="5">
        <f t="shared" si="4"/>
        <v>7</v>
      </c>
      <c r="AS93" s="5">
        <v>1.0</v>
      </c>
      <c r="AT93" s="5">
        <f t="shared" si="5"/>
        <v>7</v>
      </c>
      <c r="AU93" s="5" t="s">
        <v>623</v>
      </c>
    </row>
    <row r="94">
      <c r="A94" s="8">
        <f>IFERROR(__xludf.DUMMYFUNCTION("IF(E94="""", """", VALUE(REGEXREPLACE(E94, ""^[Pp]"", """")))"),25.0)</f>
        <v>25</v>
      </c>
      <c r="B94" s="8">
        <v>644.0</v>
      </c>
      <c r="C94" s="7">
        <v>45869.165972222225</v>
      </c>
      <c r="D94" s="5" t="s">
        <v>594</v>
      </c>
      <c r="E94" s="5" t="s">
        <v>595</v>
      </c>
      <c r="F94" s="5" t="s">
        <v>216</v>
      </c>
      <c r="G94" s="6" t="str">
        <f>IFERROR(__xludf.DUMMYFUNCTION("IF(SPLIT(F94,""-"")=""HR"",""High"",""Low"")"),"Low")</f>
        <v>Low</v>
      </c>
      <c r="H94" s="6" t="str">
        <f>IFERROR(__xludf.DUMMYFUNCTION("INDEX(SPLIT(F94, ""-""), 2)"),"Web")</f>
        <v>Web</v>
      </c>
      <c r="I94" s="6">
        <v>1.0</v>
      </c>
      <c r="J94" s="5">
        <v>6.0</v>
      </c>
      <c r="K94" s="5">
        <v>5.0</v>
      </c>
      <c r="L94" s="5" t="s">
        <v>199</v>
      </c>
      <c r="M94" s="5">
        <v>6.0</v>
      </c>
      <c r="N94" s="5">
        <v>4.0</v>
      </c>
      <c r="O94" s="5">
        <v>6.0</v>
      </c>
      <c r="P94" s="5">
        <v>5.0</v>
      </c>
      <c r="Q94" s="5">
        <v>5.0</v>
      </c>
      <c r="R94" s="5">
        <v>4.0</v>
      </c>
      <c r="S94" s="5">
        <v>5.0</v>
      </c>
      <c r="T94" s="5">
        <v>5.0</v>
      </c>
      <c r="U94" s="5">
        <v>5.0</v>
      </c>
      <c r="V94" s="5">
        <v>3.0</v>
      </c>
      <c r="W94" s="5">
        <v>5.0</v>
      </c>
      <c r="X94" s="5">
        <v>4.0</v>
      </c>
      <c r="Y94" s="5">
        <f t="shared" si="1"/>
        <v>4</v>
      </c>
      <c r="Z94" s="5" t="s">
        <v>413</v>
      </c>
      <c r="AA94" s="5" t="s">
        <v>206</v>
      </c>
      <c r="AB94" s="5">
        <v>5.0</v>
      </c>
      <c r="AC94" s="5">
        <v>3.0</v>
      </c>
      <c r="AD94" s="5">
        <v>4.0</v>
      </c>
      <c r="AE94" s="5">
        <v>3.0</v>
      </c>
      <c r="AF94" s="5">
        <v>3.0</v>
      </c>
      <c r="AG94" s="5">
        <v>3.0</v>
      </c>
      <c r="AH94" s="5" t="s">
        <v>413</v>
      </c>
      <c r="AI94" s="5" t="s">
        <v>206</v>
      </c>
      <c r="AJ94" s="5">
        <v>5.0</v>
      </c>
      <c r="AK94" s="5">
        <v>6.0</v>
      </c>
      <c r="AL94" s="5">
        <v>5.0</v>
      </c>
      <c r="AM94" s="5">
        <v>3.0</v>
      </c>
      <c r="AN94" s="5">
        <f t="shared" si="2"/>
        <v>5</v>
      </c>
      <c r="AO94" s="5">
        <v>3.0</v>
      </c>
      <c r="AP94" s="5">
        <f t="shared" si="3"/>
        <v>5</v>
      </c>
      <c r="AQ94" s="5">
        <v>3.0</v>
      </c>
      <c r="AR94" s="5">
        <f t="shared" si="4"/>
        <v>5</v>
      </c>
      <c r="AS94" s="5">
        <v>3.0</v>
      </c>
      <c r="AT94" s="5">
        <f t="shared" si="5"/>
        <v>5</v>
      </c>
      <c r="AU94" s="5" t="s">
        <v>413</v>
      </c>
    </row>
    <row r="95">
      <c r="A95" s="8">
        <f>IFERROR(__xludf.DUMMYFUNCTION("IF(E95="""", """", VALUE(REGEXREPLACE(E95, ""^[Pp]"", """")))"),25.0)</f>
        <v>25</v>
      </c>
      <c r="B95" s="8">
        <v>447.0</v>
      </c>
      <c r="C95" s="7">
        <v>45869.18194444444</v>
      </c>
      <c r="D95" s="5" t="s">
        <v>600</v>
      </c>
      <c r="E95" s="5" t="s">
        <v>595</v>
      </c>
      <c r="F95" s="5" t="s">
        <v>263</v>
      </c>
      <c r="G95" s="6" t="str">
        <f>IFERROR(__xludf.DUMMYFUNCTION("IF(SPLIT(F95,""-"")=""HR"",""High"",""Low"")"),"Low")</f>
        <v>Low</v>
      </c>
      <c r="H95" s="6" t="str">
        <f>IFERROR(__xludf.DUMMYFUNCTION("INDEX(SPLIT(F95, ""-""), 2)"),"VR")</f>
        <v>VR</v>
      </c>
      <c r="I95" s="6">
        <v>2.0</v>
      </c>
      <c r="J95" s="5">
        <v>6.0</v>
      </c>
      <c r="K95" s="5">
        <v>5.0</v>
      </c>
      <c r="L95" s="5" t="s">
        <v>199</v>
      </c>
      <c r="M95" s="5">
        <v>6.0</v>
      </c>
      <c r="N95" s="5">
        <v>5.0</v>
      </c>
      <c r="O95" s="5">
        <v>6.0</v>
      </c>
      <c r="P95" s="5">
        <v>6.0</v>
      </c>
      <c r="Q95" s="5">
        <v>6.0</v>
      </c>
      <c r="R95" s="5">
        <v>6.0</v>
      </c>
      <c r="S95" s="5">
        <v>6.0</v>
      </c>
      <c r="T95" s="5">
        <v>6.0</v>
      </c>
      <c r="U95" s="5">
        <v>6.0</v>
      </c>
      <c r="V95" s="5">
        <v>3.0</v>
      </c>
      <c r="W95" s="5">
        <v>6.0</v>
      </c>
      <c r="X95" s="5">
        <v>5.0</v>
      </c>
      <c r="Y95" s="5">
        <f t="shared" si="1"/>
        <v>3</v>
      </c>
      <c r="Z95" s="5" t="s">
        <v>413</v>
      </c>
      <c r="AA95" s="5" t="s">
        <v>206</v>
      </c>
      <c r="AB95" s="5">
        <v>6.0</v>
      </c>
      <c r="AC95" s="5">
        <v>6.0</v>
      </c>
      <c r="AD95" s="5">
        <v>6.0</v>
      </c>
      <c r="AE95" s="5">
        <v>6.0</v>
      </c>
      <c r="AF95" s="5">
        <v>6.0</v>
      </c>
      <c r="AG95" s="5">
        <v>5.0</v>
      </c>
      <c r="AH95" s="5" t="s">
        <v>413</v>
      </c>
      <c r="AI95" s="5" t="s">
        <v>206</v>
      </c>
      <c r="AJ95" s="5">
        <v>6.0</v>
      </c>
      <c r="AK95" s="5">
        <v>6.0</v>
      </c>
      <c r="AL95" s="5">
        <v>5.0</v>
      </c>
      <c r="AM95" s="5">
        <v>3.0</v>
      </c>
      <c r="AN95" s="5">
        <f t="shared" si="2"/>
        <v>5</v>
      </c>
      <c r="AO95" s="5">
        <v>2.0</v>
      </c>
      <c r="AP95" s="5">
        <f t="shared" si="3"/>
        <v>6</v>
      </c>
      <c r="AQ95" s="5">
        <v>3.0</v>
      </c>
      <c r="AR95" s="5">
        <f t="shared" si="4"/>
        <v>5</v>
      </c>
      <c r="AS95" s="5">
        <v>2.0</v>
      </c>
      <c r="AT95" s="5">
        <f t="shared" si="5"/>
        <v>6</v>
      </c>
      <c r="AU95" s="5" t="s">
        <v>413</v>
      </c>
    </row>
    <row r="96">
      <c r="A96" s="8">
        <f>IFERROR(__xludf.DUMMYFUNCTION("IF(E96="""", """", VALUE(REGEXREPLACE(E96, ""^[Pp]"", """")))"),25.0)</f>
        <v>25</v>
      </c>
      <c r="B96" s="8">
        <v>300.0</v>
      </c>
      <c r="C96" s="7">
        <v>45869.19097222222</v>
      </c>
      <c r="D96" s="5" t="s">
        <v>611</v>
      </c>
      <c r="E96" s="5" t="s">
        <v>595</v>
      </c>
      <c r="F96" s="5" t="s">
        <v>211</v>
      </c>
      <c r="G96" s="6" t="str">
        <f>IFERROR(__xludf.DUMMYFUNCTION("IF(SPLIT(F96,""-"")=""HR"",""High"",""Low"")"),"High")</f>
        <v>High</v>
      </c>
      <c r="H96" s="6" t="str">
        <f>IFERROR(__xludf.DUMMYFUNCTION("INDEX(SPLIT(F96, ""-""), 2)"),"Web")</f>
        <v>Web</v>
      </c>
      <c r="I96" s="6">
        <v>3.0</v>
      </c>
      <c r="J96" s="5">
        <v>5.0</v>
      </c>
      <c r="K96" s="5">
        <v>6.0</v>
      </c>
      <c r="L96" s="5" t="s">
        <v>199</v>
      </c>
      <c r="M96" s="5">
        <v>6.0</v>
      </c>
      <c r="N96" s="5">
        <v>6.0</v>
      </c>
      <c r="O96" s="5">
        <v>6.0</v>
      </c>
      <c r="P96" s="5">
        <v>6.0</v>
      </c>
      <c r="Q96" s="5">
        <v>6.0</v>
      </c>
      <c r="R96" s="5">
        <v>6.0</v>
      </c>
      <c r="S96" s="5">
        <v>6.0</v>
      </c>
      <c r="T96" s="5">
        <v>6.0</v>
      </c>
      <c r="U96" s="5">
        <v>6.0</v>
      </c>
      <c r="V96" s="5">
        <v>3.0</v>
      </c>
      <c r="W96" s="5">
        <v>6.0</v>
      </c>
      <c r="X96" s="5">
        <v>5.0</v>
      </c>
      <c r="Y96" s="5">
        <f t="shared" si="1"/>
        <v>3</v>
      </c>
      <c r="Z96" s="5" t="s">
        <v>413</v>
      </c>
      <c r="AA96" s="5" t="s">
        <v>206</v>
      </c>
      <c r="AB96" s="5">
        <v>6.0</v>
      </c>
      <c r="AC96" s="5">
        <v>6.0</v>
      </c>
      <c r="AD96" s="5">
        <v>6.0</v>
      </c>
      <c r="AE96" s="5">
        <v>6.0</v>
      </c>
      <c r="AF96" s="5">
        <v>6.0</v>
      </c>
      <c r="AG96" s="5">
        <v>6.0</v>
      </c>
      <c r="AH96" s="5" t="s">
        <v>413</v>
      </c>
      <c r="AI96" s="5" t="s">
        <v>206</v>
      </c>
      <c r="AJ96" s="5">
        <v>6.0</v>
      </c>
      <c r="AK96" s="5">
        <v>6.0</v>
      </c>
      <c r="AL96" s="5">
        <v>5.0</v>
      </c>
      <c r="AM96" s="5">
        <v>2.0</v>
      </c>
      <c r="AN96" s="5">
        <f t="shared" si="2"/>
        <v>6</v>
      </c>
      <c r="AO96" s="5">
        <v>2.0</v>
      </c>
      <c r="AP96" s="5">
        <f t="shared" si="3"/>
        <v>6</v>
      </c>
      <c r="AQ96" s="5">
        <v>2.0</v>
      </c>
      <c r="AR96" s="5">
        <f t="shared" si="4"/>
        <v>6</v>
      </c>
      <c r="AS96" s="5">
        <v>2.0</v>
      </c>
      <c r="AT96" s="5">
        <f t="shared" si="5"/>
        <v>6</v>
      </c>
      <c r="AU96" s="5" t="s">
        <v>413</v>
      </c>
    </row>
    <row r="97">
      <c r="A97" s="8">
        <f>IFERROR(__xludf.DUMMYFUNCTION("IF(E97="""", """", VALUE(REGEXREPLACE(E97, ""^[Pp]"", """")))"),25.0)</f>
        <v>25</v>
      </c>
      <c r="B97" s="8">
        <v>417.0</v>
      </c>
      <c r="C97" s="7">
        <v>45869.21388888889</v>
      </c>
      <c r="D97" s="5" t="s">
        <v>628</v>
      </c>
      <c r="E97" s="5" t="s">
        <v>595</v>
      </c>
      <c r="F97" s="5" t="s">
        <v>197</v>
      </c>
      <c r="G97" s="6" t="str">
        <f>IFERROR(__xludf.DUMMYFUNCTION("IF(SPLIT(F97,""-"")=""HR"",""High"",""Low"")"),"High")</f>
        <v>High</v>
      </c>
      <c r="H97" s="6" t="str">
        <f>IFERROR(__xludf.DUMMYFUNCTION("INDEX(SPLIT(F97, ""-""), 2)"),"VR")</f>
        <v>VR</v>
      </c>
      <c r="I97" s="6">
        <v>4.0</v>
      </c>
      <c r="J97" s="5">
        <v>6.0</v>
      </c>
      <c r="K97" s="5">
        <v>6.0</v>
      </c>
      <c r="L97" s="5" t="s">
        <v>199</v>
      </c>
      <c r="M97" s="5">
        <v>5.0</v>
      </c>
      <c r="N97" s="5">
        <v>5.0</v>
      </c>
      <c r="O97" s="5">
        <v>3.0</v>
      </c>
      <c r="P97" s="5">
        <v>6.0</v>
      </c>
      <c r="Q97" s="5">
        <v>6.0</v>
      </c>
      <c r="R97" s="5">
        <v>6.0</v>
      </c>
      <c r="S97" s="5">
        <v>3.0</v>
      </c>
      <c r="T97" s="5">
        <v>6.0</v>
      </c>
      <c r="U97" s="5">
        <v>6.0</v>
      </c>
      <c r="V97" s="5">
        <v>3.0</v>
      </c>
      <c r="W97" s="5">
        <v>5.0</v>
      </c>
      <c r="X97" s="5">
        <v>3.0</v>
      </c>
      <c r="Y97" s="5">
        <f t="shared" si="1"/>
        <v>5</v>
      </c>
      <c r="Z97" s="5" t="s">
        <v>413</v>
      </c>
      <c r="AA97" s="5" t="s">
        <v>206</v>
      </c>
      <c r="AB97" s="5">
        <v>6.0</v>
      </c>
      <c r="AC97" s="5">
        <v>6.0</v>
      </c>
      <c r="AD97" s="5">
        <v>6.0</v>
      </c>
      <c r="AE97" s="5">
        <v>6.0</v>
      </c>
      <c r="AF97" s="5">
        <v>6.0</v>
      </c>
      <c r="AG97" s="5">
        <v>6.0</v>
      </c>
      <c r="AH97" s="5" t="s">
        <v>413</v>
      </c>
      <c r="AI97" s="5" t="s">
        <v>206</v>
      </c>
      <c r="AJ97" s="5">
        <v>6.0</v>
      </c>
      <c r="AK97" s="5">
        <v>5.0</v>
      </c>
      <c r="AL97" s="5">
        <v>5.0</v>
      </c>
      <c r="AM97" s="5">
        <v>3.0</v>
      </c>
      <c r="AN97" s="5">
        <f t="shared" si="2"/>
        <v>5</v>
      </c>
      <c r="AO97" s="5">
        <v>3.0</v>
      </c>
      <c r="AP97" s="5">
        <f t="shared" si="3"/>
        <v>5</v>
      </c>
      <c r="AQ97" s="5">
        <v>5.0</v>
      </c>
      <c r="AR97" s="5">
        <f t="shared" si="4"/>
        <v>3</v>
      </c>
      <c r="AS97" s="5">
        <v>4.0</v>
      </c>
      <c r="AT97" s="5">
        <f t="shared" si="5"/>
        <v>4</v>
      </c>
      <c r="AU97" s="5" t="s">
        <v>413</v>
      </c>
    </row>
    <row r="98">
      <c r="A98" s="8">
        <f>IFERROR(__xludf.DUMMYFUNCTION("IF(E98="""", """", VALUE(REGEXREPLACE(E98, ""^[Pp]"", """")))"),26.0)</f>
        <v>26</v>
      </c>
      <c r="B98" s="8">
        <v>1215.0</v>
      </c>
      <c r="C98" s="7">
        <v>45869.18402777778</v>
      </c>
      <c r="D98" s="5" t="s">
        <v>601</v>
      </c>
      <c r="E98" s="5" t="s">
        <v>602</v>
      </c>
      <c r="F98" s="5" t="s">
        <v>197</v>
      </c>
      <c r="G98" s="6" t="str">
        <f>IFERROR(__xludf.DUMMYFUNCTION("IF(SPLIT(F98,""-"")=""HR"",""High"",""Low"")"),"High")</f>
        <v>High</v>
      </c>
      <c r="H98" s="6" t="str">
        <f>IFERROR(__xludf.DUMMYFUNCTION("INDEX(SPLIT(F98, ""-""), 2)"),"VR")</f>
        <v>VR</v>
      </c>
      <c r="I98" s="6">
        <v>1.0</v>
      </c>
      <c r="J98" s="5">
        <v>6.0</v>
      </c>
      <c r="K98" s="5">
        <v>5.0</v>
      </c>
      <c r="L98" s="5" t="s">
        <v>199</v>
      </c>
      <c r="M98" s="5">
        <v>6.0</v>
      </c>
      <c r="N98" s="5">
        <v>6.0</v>
      </c>
      <c r="O98" s="5">
        <v>7.0</v>
      </c>
      <c r="P98" s="5">
        <v>5.0</v>
      </c>
      <c r="Q98" s="5">
        <v>5.0</v>
      </c>
      <c r="R98" s="5">
        <v>6.0</v>
      </c>
      <c r="S98" s="5">
        <v>6.0</v>
      </c>
      <c r="T98" s="5">
        <v>7.0</v>
      </c>
      <c r="U98" s="5">
        <v>5.0</v>
      </c>
      <c r="V98" s="5">
        <v>6.0</v>
      </c>
      <c r="W98" s="5">
        <v>6.0</v>
      </c>
      <c r="X98" s="5">
        <v>5.0</v>
      </c>
      <c r="Y98" s="5">
        <f t="shared" si="1"/>
        <v>3</v>
      </c>
      <c r="Z98" s="5" t="s">
        <v>603</v>
      </c>
      <c r="AA98" s="5" t="s">
        <v>206</v>
      </c>
      <c r="AB98" s="5">
        <v>6.0</v>
      </c>
      <c r="AC98" s="5">
        <v>6.0</v>
      </c>
      <c r="AD98" s="5">
        <v>6.0</v>
      </c>
      <c r="AE98" s="5">
        <v>7.0</v>
      </c>
      <c r="AF98" s="5">
        <v>6.0</v>
      </c>
      <c r="AG98" s="5">
        <v>6.0</v>
      </c>
      <c r="AH98" s="5" t="s">
        <v>604</v>
      </c>
      <c r="AI98" s="5" t="s">
        <v>206</v>
      </c>
      <c r="AJ98" s="5">
        <v>6.0</v>
      </c>
      <c r="AK98" s="5">
        <v>6.0</v>
      </c>
      <c r="AL98" s="5">
        <v>7.0</v>
      </c>
      <c r="AM98" s="5">
        <v>1.0</v>
      </c>
      <c r="AN98" s="5">
        <f t="shared" si="2"/>
        <v>7</v>
      </c>
      <c r="AO98" s="5">
        <v>1.0</v>
      </c>
      <c r="AP98" s="5">
        <f t="shared" si="3"/>
        <v>7</v>
      </c>
      <c r="AQ98" s="5">
        <v>1.0</v>
      </c>
      <c r="AR98" s="5">
        <f t="shared" si="4"/>
        <v>7</v>
      </c>
      <c r="AS98" s="5">
        <v>1.0</v>
      </c>
      <c r="AT98" s="5">
        <f t="shared" si="5"/>
        <v>7</v>
      </c>
      <c r="AU98" s="5" t="s">
        <v>605</v>
      </c>
    </row>
    <row r="99">
      <c r="A99" s="8">
        <f>IFERROR(__xludf.DUMMYFUNCTION("IF(E99="""", """", VALUE(REGEXREPLACE(E99, ""^[Pp]"", """")))"),26.0)</f>
        <v>26</v>
      </c>
      <c r="B99" s="8">
        <v>1307.0</v>
      </c>
      <c r="C99" s="7">
        <v>45869.20347222222</v>
      </c>
      <c r="D99" s="5" t="s">
        <v>616</v>
      </c>
      <c r="E99" s="5" t="s">
        <v>602</v>
      </c>
      <c r="F99" s="5" t="s">
        <v>211</v>
      </c>
      <c r="G99" s="6" t="str">
        <f>IFERROR(__xludf.DUMMYFUNCTION("IF(SPLIT(F99,""-"")=""HR"",""High"",""Low"")"),"High")</f>
        <v>High</v>
      </c>
      <c r="H99" s="6" t="str">
        <f>IFERROR(__xludf.DUMMYFUNCTION("INDEX(SPLIT(F99, ""-""), 2)"),"Web")</f>
        <v>Web</v>
      </c>
      <c r="I99" s="6">
        <v>2.0</v>
      </c>
      <c r="J99" s="5">
        <v>3.0</v>
      </c>
      <c r="K99" s="5">
        <v>3.0</v>
      </c>
      <c r="L99" s="5" t="s">
        <v>199</v>
      </c>
      <c r="M99" s="5">
        <v>6.0</v>
      </c>
      <c r="N99" s="5">
        <v>5.0</v>
      </c>
      <c r="O99" s="5">
        <v>3.0</v>
      </c>
      <c r="P99" s="5">
        <v>3.0</v>
      </c>
      <c r="Q99" s="5">
        <v>3.0</v>
      </c>
      <c r="R99" s="5">
        <v>5.0</v>
      </c>
      <c r="S99" s="5">
        <v>5.0</v>
      </c>
      <c r="T99" s="5">
        <v>6.0</v>
      </c>
      <c r="U99" s="5">
        <v>3.0</v>
      </c>
      <c r="V99" s="5">
        <v>3.0</v>
      </c>
      <c r="W99" s="5">
        <v>5.0</v>
      </c>
      <c r="X99" s="5">
        <v>6.0</v>
      </c>
      <c r="Y99" s="5">
        <f t="shared" si="1"/>
        <v>2</v>
      </c>
      <c r="Z99" s="5" t="s">
        <v>617</v>
      </c>
      <c r="AA99" s="5" t="s">
        <v>206</v>
      </c>
      <c r="AB99" s="5">
        <v>6.0</v>
      </c>
      <c r="AC99" s="5">
        <v>5.0</v>
      </c>
      <c r="AD99" s="5">
        <v>3.0</v>
      </c>
      <c r="AE99" s="5">
        <v>3.0</v>
      </c>
      <c r="AF99" s="5">
        <v>3.0</v>
      </c>
      <c r="AG99" s="5">
        <v>3.0</v>
      </c>
      <c r="AH99" s="5" t="s">
        <v>618</v>
      </c>
      <c r="AI99" s="5" t="s">
        <v>206</v>
      </c>
      <c r="AJ99" s="5">
        <v>5.0</v>
      </c>
      <c r="AK99" s="5">
        <v>6.0</v>
      </c>
      <c r="AL99" s="5">
        <v>5.0</v>
      </c>
      <c r="AM99" s="5">
        <v>1.0</v>
      </c>
      <c r="AN99" s="5">
        <f t="shared" si="2"/>
        <v>7</v>
      </c>
      <c r="AO99" s="5">
        <v>1.0</v>
      </c>
      <c r="AP99" s="5">
        <f t="shared" si="3"/>
        <v>7</v>
      </c>
      <c r="AQ99" s="5">
        <v>1.0</v>
      </c>
      <c r="AR99" s="5">
        <f t="shared" si="4"/>
        <v>7</v>
      </c>
      <c r="AS99" s="5">
        <v>1.0</v>
      </c>
      <c r="AT99" s="5">
        <f t="shared" si="5"/>
        <v>7</v>
      </c>
      <c r="AU99" s="5" t="s">
        <v>619</v>
      </c>
    </row>
    <row r="100">
      <c r="A100" s="8">
        <f>IFERROR(__xludf.DUMMYFUNCTION("IF(E100="""", """", VALUE(REGEXREPLACE(E100, ""^[Pp]"", """")))"),26.0)</f>
        <v>26</v>
      </c>
      <c r="B100" s="8">
        <v>1053.0</v>
      </c>
      <c r="C100" s="7">
        <v>45869.217361111114</v>
      </c>
      <c r="D100" s="5" t="s">
        <v>629</v>
      </c>
      <c r="E100" s="5" t="s">
        <v>602</v>
      </c>
      <c r="F100" s="5" t="s">
        <v>216</v>
      </c>
      <c r="G100" s="6" t="str">
        <f>IFERROR(__xludf.DUMMYFUNCTION("IF(SPLIT(F100,""-"")=""HR"",""High"",""Low"")"),"Low")</f>
        <v>Low</v>
      </c>
      <c r="H100" s="6" t="str">
        <f>IFERROR(__xludf.DUMMYFUNCTION("INDEX(SPLIT(F100, ""-""), 2)"),"Web")</f>
        <v>Web</v>
      </c>
      <c r="I100" s="6">
        <v>3.0</v>
      </c>
      <c r="J100" s="5">
        <v>3.0</v>
      </c>
      <c r="K100" s="5">
        <v>2.0</v>
      </c>
      <c r="L100" s="5" t="s">
        <v>199</v>
      </c>
      <c r="M100" s="5">
        <v>6.0</v>
      </c>
      <c r="N100" s="5">
        <v>5.0</v>
      </c>
      <c r="O100" s="5">
        <v>2.0</v>
      </c>
      <c r="P100" s="5">
        <v>2.0</v>
      </c>
      <c r="Q100" s="5">
        <v>5.0</v>
      </c>
      <c r="R100" s="5">
        <v>5.0</v>
      </c>
      <c r="S100" s="5">
        <v>5.0</v>
      </c>
      <c r="T100" s="5">
        <v>6.0</v>
      </c>
      <c r="U100" s="5">
        <v>2.0</v>
      </c>
      <c r="V100" s="5">
        <v>2.0</v>
      </c>
      <c r="W100" s="5">
        <v>3.0</v>
      </c>
      <c r="X100" s="5">
        <v>6.0</v>
      </c>
      <c r="Y100" s="5">
        <f t="shared" si="1"/>
        <v>2</v>
      </c>
      <c r="Z100" s="5" t="s">
        <v>630</v>
      </c>
      <c r="AA100" s="5" t="s">
        <v>206</v>
      </c>
      <c r="AB100" s="5">
        <v>5.0</v>
      </c>
      <c r="AC100" s="5">
        <v>3.0</v>
      </c>
      <c r="AD100" s="5">
        <v>3.0</v>
      </c>
      <c r="AE100" s="5">
        <v>2.0</v>
      </c>
      <c r="AF100" s="5">
        <v>2.0</v>
      </c>
      <c r="AG100" s="5">
        <v>2.0</v>
      </c>
      <c r="AH100" s="5" t="s">
        <v>631</v>
      </c>
      <c r="AI100" s="5" t="s">
        <v>206</v>
      </c>
      <c r="AJ100" s="5">
        <v>5.0</v>
      </c>
      <c r="AK100" s="5">
        <v>6.0</v>
      </c>
      <c r="AL100" s="5">
        <v>3.0</v>
      </c>
      <c r="AM100" s="5">
        <v>1.0</v>
      </c>
      <c r="AN100" s="5">
        <f t="shared" si="2"/>
        <v>7</v>
      </c>
      <c r="AO100" s="5">
        <v>1.0</v>
      </c>
      <c r="AP100" s="5">
        <f t="shared" si="3"/>
        <v>7</v>
      </c>
      <c r="AQ100" s="5">
        <v>1.0</v>
      </c>
      <c r="AR100" s="5">
        <f t="shared" si="4"/>
        <v>7</v>
      </c>
      <c r="AS100" s="5">
        <v>1.0</v>
      </c>
      <c r="AT100" s="5">
        <f t="shared" si="5"/>
        <v>7</v>
      </c>
      <c r="AU100" s="5" t="s">
        <v>632</v>
      </c>
    </row>
    <row r="101">
      <c r="A101" s="8">
        <f>IFERROR(__xludf.DUMMYFUNCTION("IF(E101="""", """", VALUE(REGEXREPLACE(E101, ""^[Pp]"", """")))"),26.0)</f>
        <v>26</v>
      </c>
      <c r="B101" s="8">
        <v>824.0</v>
      </c>
      <c r="C101" s="7">
        <v>45869.23263888889</v>
      </c>
      <c r="D101" s="5" t="s">
        <v>646</v>
      </c>
      <c r="E101" s="5" t="s">
        <v>602</v>
      </c>
      <c r="F101" s="5" t="s">
        <v>263</v>
      </c>
      <c r="G101" s="6" t="str">
        <f>IFERROR(__xludf.DUMMYFUNCTION("IF(SPLIT(F101,""-"")=""HR"",""High"",""Low"")"),"Low")</f>
        <v>Low</v>
      </c>
      <c r="H101" s="6" t="str">
        <f>IFERROR(__xludf.DUMMYFUNCTION("INDEX(SPLIT(F101, ""-""), 2)"),"VR")</f>
        <v>VR</v>
      </c>
      <c r="I101" s="6">
        <v>4.0</v>
      </c>
      <c r="J101" s="5">
        <v>6.0</v>
      </c>
      <c r="K101" s="5">
        <v>5.0</v>
      </c>
      <c r="L101" s="5" t="s">
        <v>199</v>
      </c>
      <c r="M101" s="5">
        <v>6.0</v>
      </c>
      <c r="N101" s="5">
        <v>5.0</v>
      </c>
      <c r="O101" s="5">
        <v>6.0</v>
      </c>
      <c r="P101" s="5">
        <v>2.0</v>
      </c>
      <c r="Q101" s="5">
        <v>3.0</v>
      </c>
      <c r="R101" s="5">
        <v>5.0</v>
      </c>
      <c r="S101" s="5">
        <v>5.0</v>
      </c>
      <c r="T101" s="5">
        <v>6.0</v>
      </c>
      <c r="U101" s="5">
        <v>2.0</v>
      </c>
      <c r="V101" s="5">
        <v>5.0</v>
      </c>
      <c r="W101" s="5">
        <v>5.0</v>
      </c>
      <c r="X101" s="5">
        <v>6.0</v>
      </c>
      <c r="Y101" s="5">
        <f t="shared" si="1"/>
        <v>2</v>
      </c>
      <c r="Z101" s="5" t="s">
        <v>647</v>
      </c>
      <c r="AA101" s="5" t="s">
        <v>206</v>
      </c>
      <c r="AB101" s="5">
        <v>6.0</v>
      </c>
      <c r="AC101" s="5">
        <v>6.0</v>
      </c>
      <c r="AD101" s="5">
        <v>6.0</v>
      </c>
      <c r="AE101" s="5">
        <v>5.0</v>
      </c>
      <c r="AF101" s="5">
        <v>6.0</v>
      </c>
      <c r="AG101" s="5">
        <v>6.0</v>
      </c>
      <c r="AH101" s="5" t="s">
        <v>648</v>
      </c>
      <c r="AI101" s="5" t="s">
        <v>206</v>
      </c>
      <c r="AJ101" s="5">
        <v>6.0</v>
      </c>
      <c r="AK101" s="5">
        <v>6.0</v>
      </c>
      <c r="AL101" s="5">
        <v>6.0</v>
      </c>
      <c r="AM101" s="5">
        <v>1.0</v>
      </c>
      <c r="AN101" s="5">
        <f t="shared" si="2"/>
        <v>7</v>
      </c>
      <c r="AO101" s="5">
        <v>1.0</v>
      </c>
      <c r="AP101" s="5">
        <f t="shared" si="3"/>
        <v>7</v>
      </c>
      <c r="AQ101" s="5">
        <v>1.0</v>
      </c>
      <c r="AR101" s="5">
        <f t="shared" si="4"/>
        <v>7</v>
      </c>
      <c r="AS101" s="5">
        <v>1.0</v>
      </c>
      <c r="AT101" s="5">
        <f t="shared" si="5"/>
        <v>7</v>
      </c>
      <c r="AU101" s="5" t="s">
        <v>649</v>
      </c>
    </row>
    <row r="102">
      <c r="A102" s="8">
        <f>IFERROR(__xludf.DUMMYFUNCTION("IF(E102="""", """", VALUE(REGEXREPLACE(E102, ""^[Pp]"", """")))"),27.0)</f>
        <v>27</v>
      </c>
      <c r="B102" s="8">
        <v>973.0</v>
      </c>
      <c r="C102" s="7">
        <v>45869.18819444445</v>
      </c>
      <c r="D102" s="5" t="s">
        <v>606</v>
      </c>
      <c r="E102" s="5" t="s">
        <v>607</v>
      </c>
      <c r="F102" s="5" t="s">
        <v>211</v>
      </c>
      <c r="G102" s="6" t="str">
        <f>IFERROR(__xludf.DUMMYFUNCTION("IF(SPLIT(F102,""-"")=""HR"",""High"",""Low"")"),"High")</f>
        <v>High</v>
      </c>
      <c r="H102" s="6" t="str">
        <f>IFERROR(__xludf.DUMMYFUNCTION("INDEX(SPLIT(F102, ""-""), 2)"),"Web")</f>
        <v>Web</v>
      </c>
      <c r="I102" s="6">
        <v>1.0</v>
      </c>
      <c r="J102" s="5">
        <v>2.0</v>
      </c>
      <c r="K102" s="5">
        <v>1.0</v>
      </c>
      <c r="L102" s="5" t="s">
        <v>199</v>
      </c>
      <c r="M102" s="5">
        <v>1.0</v>
      </c>
      <c r="N102" s="5">
        <v>1.0</v>
      </c>
      <c r="O102" s="5">
        <v>1.0</v>
      </c>
      <c r="P102" s="5">
        <v>2.0</v>
      </c>
      <c r="Q102" s="5">
        <v>1.0</v>
      </c>
      <c r="R102" s="5">
        <v>5.0</v>
      </c>
      <c r="S102" s="5">
        <v>4.0</v>
      </c>
      <c r="T102" s="5">
        <v>3.0</v>
      </c>
      <c r="U102" s="5">
        <v>1.0</v>
      </c>
      <c r="V102" s="5">
        <v>1.0</v>
      </c>
      <c r="W102" s="5">
        <v>1.0</v>
      </c>
      <c r="X102" s="5">
        <v>7.0</v>
      </c>
      <c r="Y102" s="5">
        <f t="shared" si="1"/>
        <v>1</v>
      </c>
      <c r="Z102" s="5" t="s">
        <v>608</v>
      </c>
      <c r="AA102" s="5" t="s">
        <v>206</v>
      </c>
      <c r="AB102" s="5">
        <v>2.0</v>
      </c>
      <c r="AC102" s="5">
        <v>4.0</v>
      </c>
      <c r="AD102" s="5">
        <v>2.0</v>
      </c>
      <c r="AE102" s="5">
        <v>6.0</v>
      </c>
      <c r="AF102" s="5">
        <v>6.0</v>
      </c>
      <c r="AG102" s="5">
        <v>4.0</v>
      </c>
      <c r="AH102" s="5" t="s">
        <v>609</v>
      </c>
      <c r="AI102" s="5" t="s">
        <v>206</v>
      </c>
      <c r="AJ102" s="5">
        <v>1.0</v>
      </c>
      <c r="AK102" s="5">
        <v>5.0</v>
      </c>
      <c r="AL102" s="5">
        <v>6.0</v>
      </c>
      <c r="AM102" s="5">
        <v>1.0</v>
      </c>
      <c r="AN102" s="5">
        <f t="shared" si="2"/>
        <v>7</v>
      </c>
      <c r="AO102" s="5">
        <v>1.0</v>
      </c>
      <c r="AP102" s="5">
        <f t="shared" si="3"/>
        <v>7</v>
      </c>
      <c r="AQ102" s="5">
        <v>2.0</v>
      </c>
      <c r="AR102" s="5">
        <f t="shared" si="4"/>
        <v>6</v>
      </c>
      <c r="AS102" s="5">
        <v>1.0</v>
      </c>
      <c r="AT102" s="5">
        <f t="shared" si="5"/>
        <v>7</v>
      </c>
      <c r="AU102" s="5" t="s">
        <v>610</v>
      </c>
    </row>
    <row r="103">
      <c r="A103" s="8">
        <f>IFERROR(__xludf.DUMMYFUNCTION("IF(E103="""", """", VALUE(REGEXREPLACE(E103, ""^[Pp]"", """")))"),27.0)</f>
        <v>27</v>
      </c>
      <c r="B103" s="8">
        <v>726.0</v>
      </c>
      <c r="C103" s="7">
        <v>45869.20763888889</v>
      </c>
      <c r="D103" s="5" t="s">
        <v>624</v>
      </c>
      <c r="E103" s="5" t="s">
        <v>607</v>
      </c>
      <c r="F103" s="5" t="s">
        <v>263</v>
      </c>
      <c r="G103" s="6" t="str">
        <f>IFERROR(__xludf.DUMMYFUNCTION("IF(SPLIT(F103,""-"")=""HR"",""High"",""Low"")"),"Low")</f>
        <v>Low</v>
      </c>
      <c r="H103" s="6" t="str">
        <f>IFERROR(__xludf.DUMMYFUNCTION("INDEX(SPLIT(F103, ""-""), 2)"),"VR")</f>
        <v>VR</v>
      </c>
      <c r="I103" s="6">
        <v>2.0</v>
      </c>
      <c r="J103" s="5">
        <v>5.0</v>
      </c>
      <c r="K103" s="5">
        <v>5.0</v>
      </c>
      <c r="L103" s="5" t="s">
        <v>199</v>
      </c>
      <c r="M103" s="5">
        <v>2.0</v>
      </c>
      <c r="N103" s="5">
        <v>5.0</v>
      </c>
      <c r="O103" s="5">
        <v>4.0</v>
      </c>
      <c r="P103" s="5">
        <v>5.0</v>
      </c>
      <c r="Q103" s="5">
        <v>5.0</v>
      </c>
      <c r="R103" s="5">
        <v>5.0</v>
      </c>
      <c r="S103" s="5">
        <v>5.0</v>
      </c>
      <c r="T103" s="5">
        <v>2.0</v>
      </c>
      <c r="U103" s="5">
        <v>5.0</v>
      </c>
      <c r="V103" s="5">
        <v>5.0</v>
      </c>
      <c r="W103" s="5">
        <v>5.0</v>
      </c>
      <c r="X103" s="5">
        <v>7.0</v>
      </c>
      <c r="Y103" s="5">
        <f t="shared" si="1"/>
        <v>1</v>
      </c>
      <c r="Z103" s="5" t="s">
        <v>625</v>
      </c>
      <c r="AA103" s="5" t="s">
        <v>206</v>
      </c>
      <c r="AB103" s="5">
        <v>3.0</v>
      </c>
      <c r="AC103" s="5">
        <v>5.0</v>
      </c>
      <c r="AD103" s="5">
        <v>3.0</v>
      </c>
      <c r="AE103" s="5">
        <v>7.0</v>
      </c>
      <c r="AF103" s="5">
        <v>6.0</v>
      </c>
      <c r="AG103" s="5">
        <v>6.0</v>
      </c>
      <c r="AH103" s="5" t="s">
        <v>626</v>
      </c>
      <c r="AI103" s="5" t="s">
        <v>206</v>
      </c>
      <c r="AJ103" s="5">
        <v>5.0</v>
      </c>
      <c r="AK103" s="5">
        <v>5.0</v>
      </c>
      <c r="AL103" s="5">
        <v>2.0</v>
      </c>
      <c r="AM103" s="5">
        <v>6.0</v>
      </c>
      <c r="AN103" s="5">
        <f t="shared" si="2"/>
        <v>2</v>
      </c>
      <c r="AO103" s="5">
        <v>2.0</v>
      </c>
      <c r="AP103" s="5">
        <f t="shared" si="3"/>
        <v>6</v>
      </c>
      <c r="AQ103" s="5">
        <v>7.0</v>
      </c>
      <c r="AR103" s="5">
        <f t="shared" si="4"/>
        <v>1</v>
      </c>
      <c r="AS103" s="5">
        <v>3.0</v>
      </c>
      <c r="AT103" s="5">
        <f t="shared" si="5"/>
        <v>5</v>
      </c>
      <c r="AU103" s="5" t="s">
        <v>627</v>
      </c>
    </row>
    <row r="104">
      <c r="A104" s="8">
        <f>IFERROR(__xludf.DUMMYFUNCTION("IF(E104="""", """", VALUE(REGEXREPLACE(E104, ""^[Pp]"", """")))"),27.0)</f>
        <v>27</v>
      </c>
      <c r="B104" s="8">
        <v>494.0</v>
      </c>
      <c r="C104" s="7">
        <v>45869.22083333333</v>
      </c>
      <c r="D104" s="5" t="s">
        <v>638</v>
      </c>
      <c r="E104" s="5" t="s">
        <v>607</v>
      </c>
      <c r="F104" s="5" t="s">
        <v>197</v>
      </c>
      <c r="G104" s="6" t="str">
        <f>IFERROR(__xludf.DUMMYFUNCTION("IF(SPLIT(F104,""-"")=""HR"",""High"",""Low"")"),"High")</f>
        <v>High</v>
      </c>
      <c r="H104" s="6" t="str">
        <f>IFERROR(__xludf.DUMMYFUNCTION("INDEX(SPLIT(F104, ""-""), 2)"),"VR")</f>
        <v>VR</v>
      </c>
      <c r="I104" s="6">
        <v>3.0</v>
      </c>
      <c r="J104" s="5">
        <v>4.0</v>
      </c>
      <c r="K104" s="5">
        <v>1.0</v>
      </c>
      <c r="L104" s="5" t="s">
        <v>199</v>
      </c>
      <c r="M104" s="5">
        <v>1.0</v>
      </c>
      <c r="N104" s="5">
        <v>1.0</v>
      </c>
      <c r="O104" s="5">
        <v>1.0</v>
      </c>
      <c r="P104" s="5">
        <v>4.0</v>
      </c>
      <c r="Q104" s="5">
        <v>1.0</v>
      </c>
      <c r="R104" s="5">
        <v>4.0</v>
      </c>
      <c r="S104" s="5">
        <v>1.0</v>
      </c>
      <c r="T104" s="5">
        <v>1.0</v>
      </c>
      <c r="U104" s="5">
        <v>4.0</v>
      </c>
      <c r="V104" s="5">
        <v>1.0</v>
      </c>
      <c r="W104" s="5">
        <v>1.0</v>
      </c>
      <c r="X104" s="5">
        <v>1.0</v>
      </c>
      <c r="Y104" s="5">
        <f t="shared" si="1"/>
        <v>7</v>
      </c>
      <c r="Z104" s="5" t="s">
        <v>639</v>
      </c>
      <c r="AA104" s="5" t="s">
        <v>206</v>
      </c>
      <c r="AB104" s="5">
        <v>1.0</v>
      </c>
      <c r="AC104" s="5">
        <v>1.0</v>
      </c>
      <c r="AD104" s="5">
        <v>1.0</v>
      </c>
      <c r="AE104" s="5">
        <v>4.0</v>
      </c>
      <c r="AF104" s="5">
        <v>5.0</v>
      </c>
      <c r="AG104" s="5">
        <v>1.0</v>
      </c>
      <c r="AH104" s="5" t="s">
        <v>640</v>
      </c>
      <c r="AI104" s="5" t="s">
        <v>206</v>
      </c>
      <c r="AJ104" s="5">
        <v>1.0</v>
      </c>
      <c r="AK104" s="5">
        <v>1.0</v>
      </c>
      <c r="AL104" s="5">
        <v>1.0</v>
      </c>
      <c r="AM104" s="5">
        <v>5.0</v>
      </c>
      <c r="AN104" s="5">
        <f t="shared" si="2"/>
        <v>3</v>
      </c>
      <c r="AO104" s="5">
        <v>4.0</v>
      </c>
      <c r="AP104" s="5">
        <f t="shared" si="3"/>
        <v>4</v>
      </c>
      <c r="AQ104" s="5">
        <v>7.0</v>
      </c>
      <c r="AR104" s="5">
        <f t="shared" si="4"/>
        <v>1</v>
      </c>
      <c r="AS104" s="5">
        <v>5.0</v>
      </c>
      <c r="AT104" s="5">
        <f t="shared" si="5"/>
        <v>3</v>
      </c>
      <c r="AU104" s="11" t="s">
        <v>641</v>
      </c>
    </row>
    <row r="105">
      <c r="A105" s="8">
        <f>IFERROR(__xludf.DUMMYFUNCTION("IF(E105="""", """", VALUE(REGEXREPLACE(E105, ""^[Pp]"", """")))"),27.0)</f>
        <v>27</v>
      </c>
      <c r="B105" s="8">
        <v>567.0</v>
      </c>
      <c r="C105" s="7">
        <v>45869.23402777778</v>
      </c>
      <c r="D105" s="5" t="s">
        <v>650</v>
      </c>
      <c r="E105" s="5" t="s">
        <v>607</v>
      </c>
      <c r="F105" s="5" t="s">
        <v>216</v>
      </c>
      <c r="G105" s="6" t="str">
        <f>IFERROR(__xludf.DUMMYFUNCTION("IF(SPLIT(F105,""-"")=""HR"",""High"",""Low"")"),"Low")</f>
        <v>Low</v>
      </c>
      <c r="H105" s="6" t="str">
        <f>IFERROR(__xludf.DUMMYFUNCTION("INDEX(SPLIT(F105, ""-""), 2)"),"Web")</f>
        <v>Web</v>
      </c>
      <c r="I105" s="6">
        <v>4.0</v>
      </c>
      <c r="J105" s="5">
        <v>3.0</v>
      </c>
      <c r="K105" s="5">
        <v>2.0</v>
      </c>
      <c r="L105" s="5" t="s">
        <v>199</v>
      </c>
      <c r="M105" s="5">
        <v>4.0</v>
      </c>
      <c r="N105" s="5">
        <v>1.0</v>
      </c>
      <c r="O105" s="5">
        <v>1.0</v>
      </c>
      <c r="P105" s="5">
        <v>2.0</v>
      </c>
      <c r="Q105" s="5">
        <v>2.0</v>
      </c>
      <c r="R105" s="5">
        <v>5.0</v>
      </c>
      <c r="S105" s="5">
        <v>6.0</v>
      </c>
      <c r="T105" s="5">
        <v>1.0</v>
      </c>
      <c r="U105" s="5">
        <v>5.0</v>
      </c>
      <c r="V105" s="5">
        <v>2.0</v>
      </c>
      <c r="W105" s="5">
        <v>2.0</v>
      </c>
      <c r="X105" s="5">
        <v>1.0</v>
      </c>
      <c r="Y105" s="5">
        <f t="shared" si="1"/>
        <v>7</v>
      </c>
      <c r="Z105" s="5" t="s">
        <v>651</v>
      </c>
      <c r="AA105" s="5" t="s">
        <v>206</v>
      </c>
      <c r="AB105" s="5">
        <v>5.0</v>
      </c>
      <c r="AC105" s="5">
        <v>5.0</v>
      </c>
      <c r="AD105" s="5">
        <v>2.0</v>
      </c>
      <c r="AE105" s="5">
        <v>5.0</v>
      </c>
      <c r="AF105" s="5">
        <v>2.0</v>
      </c>
      <c r="AG105" s="5">
        <v>6.0</v>
      </c>
      <c r="AH105" s="5" t="s">
        <v>652</v>
      </c>
      <c r="AI105" s="5" t="s">
        <v>206</v>
      </c>
      <c r="AJ105" s="5">
        <v>2.0</v>
      </c>
      <c r="AK105" s="5">
        <v>3.0</v>
      </c>
      <c r="AL105" s="5">
        <v>1.0</v>
      </c>
      <c r="AM105" s="5">
        <v>1.0</v>
      </c>
      <c r="AN105" s="5">
        <f t="shared" si="2"/>
        <v>7</v>
      </c>
      <c r="AO105" s="5">
        <v>1.0</v>
      </c>
      <c r="AP105" s="5">
        <f t="shared" si="3"/>
        <v>7</v>
      </c>
      <c r="AQ105" s="5">
        <v>2.0</v>
      </c>
      <c r="AR105" s="5">
        <f t="shared" si="4"/>
        <v>6</v>
      </c>
      <c r="AS105" s="5">
        <v>1.0</v>
      </c>
      <c r="AT105" s="5">
        <f t="shared" si="5"/>
        <v>7</v>
      </c>
      <c r="AU105" s="5" t="s">
        <v>653</v>
      </c>
    </row>
    <row r="106">
      <c r="A106" s="8">
        <f>IFERROR(__xludf.DUMMYFUNCTION("IF(E106="""", """", VALUE(REGEXREPLACE(E106, ""^[Pp]"", """")))"),28.0)</f>
        <v>28</v>
      </c>
      <c r="B106" s="8">
        <v>315.0</v>
      </c>
      <c r="C106" s="7">
        <v>45869.21805555555</v>
      </c>
      <c r="D106" s="5" t="s">
        <v>633</v>
      </c>
      <c r="E106" s="5" t="s">
        <v>634</v>
      </c>
      <c r="F106" s="5" t="s">
        <v>216</v>
      </c>
      <c r="G106" s="6" t="str">
        <f>IFERROR(__xludf.DUMMYFUNCTION("IF(SPLIT(F106,""-"")=""HR"",""High"",""Low"")"),"Low")</f>
        <v>Low</v>
      </c>
      <c r="H106" s="6" t="str">
        <f>IFERROR(__xludf.DUMMYFUNCTION("INDEX(SPLIT(F106, ""-""), 2)"),"Web")</f>
        <v>Web</v>
      </c>
      <c r="I106" s="6">
        <v>1.0</v>
      </c>
      <c r="J106" s="5">
        <v>2.0</v>
      </c>
      <c r="K106" s="5">
        <v>1.0</v>
      </c>
      <c r="L106" s="5" t="s">
        <v>199</v>
      </c>
      <c r="M106" s="5">
        <v>4.0</v>
      </c>
      <c r="N106" s="5">
        <v>4.0</v>
      </c>
      <c r="O106" s="5">
        <v>1.0</v>
      </c>
      <c r="P106" s="5">
        <v>1.0</v>
      </c>
      <c r="Q106" s="5">
        <v>1.0</v>
      </c>
      <c r="R106" s="5">
        <v>5.0</v>
      </c>
      <c r="S106" s="5">
        <v>6.0</v>
      </c>
      <c r="T106" s="5">
        <v>6.0</v>
      </c>
      <c r="U106" s="5">
        <v>2.0</v>
      </c>
      <c r="V106" s="5">
        <v>2.0</v>
      </c>
      <c r="W106" s="5">
        <v>4.0</v>
      </c>
      <c r="X106" s="5">
        <v>7.0</v>
      </c>
      <c r="Y106" s="5">
        <f t="shared" si="1"/>
        <v>1</v>
      </c>
      <c r="Z106" s="5" t="s">
        <v>635</v>
      </c>
      <c r="AA106" s="5" t="s">
        <v>206</v>
      </c>
      <c r="AB106" s="5">
        <v>4.0</v>
      </c>
      <c r="AC106" s="5">
        <v>5.0</v>
      </c>
      <c r="AD106" s="5">
        <v>5.0</v>
      </c>
      <c r="AE106" s="5">
        <v>5.0</v>
      </c>
      <c r="AF106" s="5">
        <v>4.0</v>
      </c>
      <c r="AG106" s="5">
        <v>5.0</v>
      </c>
      <c r="AH106" s="5" t="s">
        <v>636</v>
      </c>
      <c r="AI106" s="5" t="s">
        <v>206</v>
      </c>
      <c r="AJ106" s="5">
        <v>6.0</v>
      </c>
      <c r="AK106" s="5">
        <v>6.0</v>
      </c>
      <c r="AL106" s="5">
        <v>6.0</v>
      </c>
      <c r="AM106" s="5">
        <v>5.0</v>
      </c>
      <c r="AN106" s="5">
        <f t="shared" si="2"/>
        <v>3</v>
      </c>
      <c r="AO106" s="5">
        <v>2.0</v>
      </c>
      <c r="AP106" s="5">
        <f t="shared" si="3"/>
        <v>6</v>
      </c>
      <c r="AQ106" s="5">
        <v>3.0</v>
      </c>
      <c r="AR106" s="5">
        <f t="shared" si="4"/>
        <v>5</v>
      </c>
      <c r="AS106" s="5">
        <v>2.0</v>
      </c>
      <c r="AT106" s="5">
        <f t="shared" si="5"/>
        <v>6</v>
      </c>
      <c r="AU106" s="5" t="s">
        <v>637</v>
      </c>
    </row>
    <row r="107">
      <c r="A107" s="8">
        <f>IFERROR(__xludf.DUMMYFUNCTION("IF(E107="""", """", VALUE(REGEXREPLACE(E107, ""^[Pp]"", """")))"),28.0)</f>
        <v>28</v>
      </c>
      <c r="B107" s="8">
        <v>359.0</v>
      </c>
      <c r="C107" s="7">
        <v>45869.22777777778</v>
      </c>
      <c r="D107" s="5" t="s">
        <v>642</v>
      </c>
      <c r="E107" s="5" t="s">
        <v>634</v>
      </c>
      <c r="F107" s="5" t="s">
        <v>211</v>
      </c>
      <c r="G107" s="6" t="str">
        <f>IFERROR(__xludf.DUMMYFUNCTION("IF(SPLIT(F107,""-"")=""HR"",""High"",""Low"")"),"High")</f>
        <v>High</v>
      </c>
      <c r="H107" s="6" t="str">
        <f>IFERROR(__xludf.DUMMYFUNCTION("INDEX(SPLIT(F107, ""-""), 2)"),"Web")</f>
        <v>Web</v>
      </c>
      <c r="I107" s="6">
        <v>2.0</v>
      </c>
      <c r="J107" s="5">
        <v>2.0</v>
      </c>
      <c r="K107" s="5">
        <v>2.0</v>
      </c>
      <c r="L107" s="5" t="s">
        <v>199</v>
      </c>
      <c r="M107" s="5">
        <v>6.0</v>
      </c>
      <c r="N107" s="5">
        <v>6.0</v>
      </c>
      <c r="O107" s="5">
        <v>2.0</v>
      </c>
      <c r="P107" s="5">
        <v>2.0</v>
      </c>
      <c r="Q107" s="5">
        <v>3.0</v>
      </c>
      <c r="R107" s="5">
        <v>6.0</v>
      </c>
      <c r="S107" s="5">
        <v>6.0</v>
      </c>
      <c r="T107" s="5">
        <v>6.0</v>
      </c>
      <c r="U107" s="5">
        <v>2.0</v>
      </c>
      <c r="V107" s="5">
        <v>5.0</v>
      </c>
      <c r="W107" s="5">
        <v>6.0</v>
      </c>
      <c r="X107" s="5">
        <v>6.0</v>
      </c>
      <c r="Y107" s="5">
        <f t="shared" si="1"/>
        <v>2</v>
      </c>
      <c r="Z107" s="5" t="s">
        <v>643</v>
      </c>
      <c r="AA107" s="5" t="s">
        <v>206</v>
      </c>
      <c r="AB107" s="5">
        <v>6.0</v>
      </c>
      <c r="AC107" s="5">
        <v>7.0</v>
      </c>
      <c r="AD107" s="5">
        <v>7.0</v>
      </c>
      <c r="AE107" s="5">
        <v>6.0</v>
      </c>
      <c r="AF107" s="5">
        <v>4.0</v>
      </c>
      <c r="AG107" s="5">
        <v>6.0</v>
      </c>
      <c r="AH107" s="5" t="s">
        <v>644</v>
      </c>
      <c r="AI107" s="5" t="s">
        <v>206</v>
      </c>
      <c r="AJ107" s="5">
        <v>6.0</v>
      </c>
      <c r="AK107" s="5">
        <v>6.0</v>
      </c>
      <c r="AL107" s="5">
        <v>6.0</v>
      </c>
      <c r="AM107" s="5">
        <v>2.0</v>
      </c>
      <c r="AN107" s="5">
        <f t="shared" si="2"/>
        <v>6</v>
      </c>
      <c r="AO107" s="5">
        <v>2.0</v>
      </c>
      <c r="AP107" s="5">
        <f t="shared" si="3"/>
        <v>6</v>
      </c>
      <c r="AQ107" s="5">
        <v>2.0</v>
      </c>
      <c r="AR107" s="5">
        <f t="shared" si="4"/>
        <v>6</v>
      </c>
      <c r="AS107" s="5">
        <v>2.0</v>
      </c>
      <c r="AT107" s="5">
        <f t="shared" si="5"/>
        <v>6</v>
      </c>
      <c r="AU107" s="5" t="s">
        <v>645</v>
      </c>
    </row>
    <row r="108">
      <c r="A108" s="8">
        <f>IFERROR(__xludf.DUMMYFUNCTION("IF(E108="""", """", VALUE(REGEXREPLACE(E108, ""^[Pp]"", """")))"),28.0)</f>
        <v>28</v>
      </c>
      <c r="B108" s="8">
        <v>480.0</v>
      </c>
      <c r="C108" s="7">
        <v>45869.236805555556</v>
      </c>
      <c r="D108" s="5" t="s">
        <v>654</v>
      </c>
      <c r="E108" s="5" t="s">
        <v>655</v>
      </c>
      <c r="F108" s="5" t="s">
        <v>197</v>
      </c>
      <c r="G108" s="6" t="str">
        <f>IFERROR(__xludf.DUMMYFUNCTION("IF(SPLIT(F108,""-"")=""HR"",""High"",""Low"")"),"High")</f>
        <v>High</v>
      </c>
      <c r="H108" s="6" t="str">
        <f>IFERROR(__xludf.DUMMYFUNCTION("INDEX(SPLIT(F108, ""-""), 2)"),"VR")</f>
        <v>VR</v>
      </c>
      <c r="I108" s="6">
        <v>3.0</v>
      </c>
      <c r="J108" s="5">
        <v>5.0</v>
      </c>
      <c r="K108" s="5">
        <v>2.0</v>
      </c>
      <c r="L108" s="5" t="s">
        <v>199</v>
      </c>
      <c r="M108" s="5">
        <v>4.0</v>
      </c>
      <c r="N108" s="5">
        <v>6.0</v>
      </c>
      <c r="O108" s="5">
        <v>5.0</v>
      </c>
      <c r="P108" s="5">
        <v>2.0</v>
      </c>
      <c r="Q108" s="5">
        <v>4.0</v>
      </c>
      <c r="R108" s="5">
        <v>6.0</v>
      </c>
      <c r="S108" s="5">
        <v>6.0</v>
      </c>
      <c r="T108" s="5">
        <v>6.0</v>
      </c>
      <c r="U108" s="5">
        <v>2.0</v>
      </c>
      <c r="V108" s="5">
        <v>2.0</v>
      </c>
      <c r="W108" s="5">
        <v>6.0</v>
      </c>
      <c r="X108" s="5">
        <v>6.0</v>
      </c>
      <c r="Y108" s="5">
        <f t="shared" si="1"/>
        <v>2</v>
      </c>
      <c r="Z108" s="5" t="s">
        <v>656</v>
      </c>
      <c r="AA108" s="5" t="s">
        <v>206</v>
      </c>
      <c r="AB108" s="5">
        <v>6.0</v>
      </c>
      <c r="AC108" s="5">
        <v>6.0</v>
      </c>
      <c r="AD108" s="5">
        <v>6.0</v>
      </c>
      <c r="AE108" s="5">
        <v>6.0</v>
      </c>
      <c r="AF108" s="5">
        <v>4.0</v>
      </c>
      <c r="AG108" s="5">
        <v>6.0</v>
      </c>
      <c r="AH108" s="5" t="s">
        <v>657</v>
      </c>
      <c r="AI108" s="5" t="s">
        <v>206</v>
      </c>
      <c r="AJ108" s="5">
        <v>6.0</v>
      </c>
      <c r="AK108" s="5">
        <v>7.0</v>
      </c>
      <c r="AL108" s="5">
        <v>6.0</v>
      </c>
      <c r="AM108" s="5">
        <v>5.0</v>
      </c>
      <c r="AN108" s="5">
        <f t="shared" si="2"/>
        <v>3</v>
      </c>
      <c r="AO108" s="5">
        <v>5.0</v>
      </c>
      <c r="AP108" s="5">
        <f t="shared" si="3"/>
        <v>3</v>
      </c>
      <c r="AQ108" s="5">
        <v>5.0</v>
      </c>
      <c r="AR108" s="5">
        <f t="shared" si="4"/>
        <v>3</v>
      </c>
      <c r="AS108" s="5">
        <v>2.0</v>
      </c>
      <c r="AT108" s="5">
        <f t="shared" si="5"/>
        <v>6</v>
      </c>
      <c r="AU108" s="5" t="s">
        <v>658</v>
      </c>
    </row>
    <row r="109">
      <c r="A109" s="8">
        <f>IFERROR(__xludf.DUMMYFUNCTION("IF(E109="""", """", VALUE(REGEXREPLACE(E109, ""^[Pp]"", """")))"),28.0)</f>
        <v>28</v>
      </c>
      <c r="B109" s="8">
        <v>539.0</v>
      </c>
      <c r="C109" s="7">
        <v>45869.25069444445</v>
      </c>
      <c r="D109" s="5" t="s">
        <v>659</v>
      </c>
      <c r="E109" s="5" t="s">
        <v>655</v>
      </c>
      <c r="F109" s="5" t="s">
        <v>263</v>
      </c>
      <c r="G109" s="6" t="str">
        <f>IFERROR(__xludf.DUMMYFUNCTION("IF(SPLIT(F109,""-"")=""HR"",""High"",""Low"")"),"Low")</f>
        <v>Low</v>
      </c>
      <c r="H109" s="6" t="str">
        <f>IFERROR(__xludf.DUMMYFUNCTION("INDEX(SPLIT(F109, ""-""), 2)"),"VR")</f>
        <v>VR</v>
      </c>
      <c r="I109" s="6">
        <v>4.0</v>
      </c>
      <c r="J109" s="5">
        <v>5.0</v>
      </c>
      <c r="K109" s="5">
        <v>2.0</v>
      </c>
      <c r="L109" s="5" t="s">
        <v>199</v>
      </c>
      <c r="M109" s="5">
        <v>3.0</v>
      </c>
      <c r="N109" s="5">
        <v>3.0</v>
      </c>
      <c r="O109" s="5">
        <v>4.0</v>
      </c>
      <c r="P109" s="5">
        <v>1.0</v>
      </c>
      <c r="Q109" s="5">
        <v>2.0</v>
      </c>
      <c r="R109" s="5">
        <v>4.0</v>
      </c>
      <c r="S109" s="5">
        <v>3.0</v>
      </c>
      <c r="T109" s="5">
        <v>4.0</v>
      </c>
      <c r="U109" s="5">
        <v>1.0</v>
      </c>
      <c r="V109" s="5">
        <v>2.0</v>
      </c>
      <c r="W109" s="5">
        <v>3.0</v>
      </c>
      <c r="X109" s="5">
        <v>6.0</v>
      </c>
      <c r="Y109" s="5">
        <f t="shared" si="1"/>
        <v>2</v>
      </c>
      <c r="Z109" s="5" t="s">
        <v>660</v>
      </c>
      <c r="AA109" s="5" t="s">
        <v>206</v>
      </c>
      <c r="AB109" s="5">
        <v>4.0</v>
      </c>
      <c r="AC109" s="5">
        <v>5.0</v>
      </c>
      <c r="AD109" s="5">
        <v>5.0</v>
      </c>
      <c r="AE109" s="5">
        <v>3.0</v>
      </c>
      <c r="AF109" s="5">
        <v>4.0</v>
      </c>
      <c r="AG109" s="5">
        <v>5.0</v>
      </c>
      <c r="AH109" s="5" t="s">
        <v>661</v>
      </c>
      <c r="AI109" s="5" t="s">
        <v>206</v>
      </c>
      <c r="AJ109" s="5">
        <v>6.0</v>
      </c>
      <c r="AK109" s="5">
        <v>6.0</v>
      </c>
      <c r="AL109" s="5">
        <v>6.0</v>
      </c>
      <c r="AM109" s="5">
        <v>5.0</v>
      </c>
      <c r="AN109" s="5">
        <f t="shared" si="2"/>
        <v>3</v>
      </c>
      <c r="AO109" s="5">
        <v>5.0</v>
      </c>
      <c r="AP109" s="5">
        <f t="shared" si="3"/>
        <v>3</v>
      </c>
      <c r="AQ109" s="5">
        <v>5.0</v>
      </c>
      <c r="AR109" s="5">
        <f t="shared" si="4"/>
        <v>3</v>
      </c>
      <c r="AS109" s="5">
        <v>2.0</v>
      </c>
      <c r="AT109" s="5">
        <f t="shared" si="5"/>
        <v>6</v>
      </c>
      <c r="AU109" s="5" t="s">
        <v>662</v>
      </c>
    </row>
    <row r="110">
      <c r="A110" s="8">
        <f>IFERROR(__xludf.DUMMYFUNCTION("IF(E110="""", """", VALUE(REGEXREPLACE(E110, ""^[Pp]"", """")))"),29.0)</f>
        <v>29</v>
      </c>
      <c r="B110" s="8">
        <v>1112.0</v>
      </c>
      <c r="C110" s="7">
        <v>45869.25347222222</v>
      </c>
      <c r="D110" s="5" t="s">
        <v>663</v>
      </c>
      <c r="E110" s="5" t="s">
        <v>664</v>
      </c>
      <c r="F110" s="5" t="s">
        <v>197</v>
      </c>
      <c r="G110" s="6" t="str">
        <f>IFERROR(__xludf.DUMMYFUNCTION("IF(SPLIT(F110,""-"")=""HR"",""High"",""Low"")"),"High")</f>
        <v>High</v>
      </c>
      <c r="H110" s="6" t="str">
        <f>IFERROR(__xludf.DUMMYFUNCTION("INDEX(SPLIT(F110, ""-""), 2)"),"VR")</f>
        <v>VR</v>
      </c>
      <c r="I110" s="6">
        <v>1.0</v>
      </c>
      <c r="J110" s="5">
        <v>6.0</v>
      </c>
      <c r="K110" s="5">
        <v>6.0</v>
      </c>
      <c r="L110" s="5" t="s">
        <v>199</v>
      </c>
      <c r="M110" s="5">
        <v>5.0</v>
      </c>
      <c r="N110" s="5">
        <v>5.0</v>
      </c>
      <c r="O110" s="5">
        <v>4.0</v>
      </c>
      <c r="P110" s="5">
        <v>5.0</v>
      </c>
      <c r="Q110" s="5">
        <v>3.0</v>
      </c>
      <c r="R110" s="5">
        <v>6.0</v>
      </c>
      <c r="S110" s="5">
        <v>6.0</v>
      </c>
      <c r="T110" s="5">
        <v>5.0</v>
      </c>
      <c r="U110" s="5">
        <v>5.0</v>
      </c>
      <c r="V110" s="5">
        <v>4.0</v>
      </c>
      <c r="W110" s="5">
        <v>6.0</v>
      </c>
      <c r="X110" s="5">
        <v>4.0</v>
      </c>
      <c r="Y110" s="5">
        <f t="shared" si="1"/>
        <v>4</v>
      </c>
      <c r="Z110" s="5" t="s">
        <v>665</v>
      </c>
      <c r="AA110" s="5" t="s">
        <v>206</v>
      </c>
      <c r="AB110" s="5">
        <v>4.0</v>
      </c>
      <c r="AC110" s="5">
        <v>4.0</v>
      </c>
      <c r="AD110" s="5">
        <v>5.0</v>
      </c>
      <c r="AE110" s="5">
        <v>3.0</v>
      </c>
      <c r="AF110" s="5">
        <v>6.0</v>
      </c>
      <c r="AG110" s="5">
        <v>5.0</v>
      </c>
      <c r="AH110" s="5" t="s">
        <v>666</v>
      </c>
      <c r="AI110" s="5" t="s">
        <v>206</v>
      </c>
      <c r="AJ110" s="5">
        <v>4.0</v>
      </c>
      <c r="AK110" s="5">
        <v>5.0</v>
      </c>
      <c r="AL110" s="5">
        <v>7.0</v>
      </c>
      <c r="AM110" s="5">
        <v>1.0</v>
      </c>
      <c r="AN110" s="5">
        <f t="shared" si="2"/>
        <v>7</v>
      </c>
      <c r="AO110" s="5">
        <v>1.0</v>
      </c>
      <c r="AP110" s="5">
        <f t="shared" si="3"/>
        <v>7</v>
      </c>
      <c r="AQ110" s="5">
        <v>2.0</v>
      </c>
      <c r="AR110" s="5">
        <f t="shared" si="4"/>
        <v>6</v>
      </c>
      <c r="AS110" s="5">
        <v>1.0</v>
      </c>
      <c r="AT110" s="5">
        <f t="shared" si="5"/>
        <v>7</v>
      </c>
      <c r="AU110" s="5" t="s">
        <v>667</v>
      </c>
    </row>
    <row r="111">
      <c r="A111" s="8">
        <f>IFERROR(__xludf.DUMMYFUNCTION("IF(E111="""", """", VALUE(REGEXREPLACE(E111, ""^[Pp]"", """")))"),29.0)</f>
        <v>29</v>
      </c>
      <c r="B111" s="8">
        <v>841.0</v>
      </c>
      <c r="C111" s="7">
        <v>45869.268055555556</v>
      </c>
      <c r="D111" s="5" t="s">
        <v>673</v>
      </c>
      <c r="E111" s="5" t="s">
        <v>674</v>
      </c>
      <c r="F111" s="5" t="s">
        <v>211</v>
      </c>
      <c r="G111" s="6" t="str">
        <f>IFERROR(__xludf.DUMMYFUNCTION("IF(SPLIT(F111,""-"")=""HR"",""High"",""Low"")"),"High")</f>
        <v>High</v>
      </c>
      <c r="H111" s="6" t="str">
        <f>IFERROR(__xludf.DUMMYFUNCTION("INDEX(SPLIT(F111, ""-""), 2)"),"Web")</f>
        <v>Web</v>
      </c>
      <c r="I111" s="6">
        <v>2.0</v>
      </c>
      <c r="J111" s="5">
        <v>3.0</v>
      </c>
      <c r="K111" s="5">
        <v>5.0</v>
      </c>
      <c r="L111" s="5" t="s">
        <v>199</v>
      </c>
      <c r="M111" s="5">
        <v>6.0</v>
      </c>
      <c r="N111" s="5">
        <v>6.0</v>
      </c>
      <c r="O111" s="5">
        <v>4.0</v>
      </c>
      <c r="P111" s="5">
        <v>5.0</v>
      </c>
      <c r="Q111" s="5">
        <v>5.0</v>
      </c>
      <c r="R111" s="5">
        <v>6.0</v>
      </c>
      <c r="S111" s="5">
        <v>6.0</v>
      </c>
      <c r="T111" s="5">
        <v>4.0</v>
      </c>
      <c r="U111" s="5">
        <v>4.0</v>
      </c>
      <c r="V111" s="5">
        <v>5.0</v>
      </c>
      <c r="W111" s="5">
        <v>6.0</v>
      </c>
      <c r="X111" s="5">
        <v>5.0</v>
      </c>
      <c r="Y111" s="5">
        <f t="shared" si="1"/>
        <v>3</v>
      </c>
      <c r="Z111" s="5" t="s">
        <v>675</v>
      </c>
      <c r="AA111" s="5" t="s">
        <v>206</v>
      </c>
      <c r="AB111" s="5">
        <v>5.0</v>
      </c>
      <c r="AC111" s="5">
        <v>6.0</v>
      </c>
      <c r="AD111" s="5">
        <v>5.0</v>
      </c>
      <c r="AE111" s="5">
        <v>4.0</v>
      </c>
      <c r="AF111" s="5">
        <v>5.0</v>
      </c>
      <c r="AG111" s="5">
        <v>5.0</v>
      </c>
      <c r="AH111" s="5" t="s">
        <v>676</v>
      </c>
      <c r="AI111" s="5" t="s">
        <v>206</v>
      </c>
      <c r="AJ111" s="5">
        <v>6.0</v>
      </c>
      <c r="AK111" s="5">
        <v>7.0</v>
      </c>
      <c r="AL111" s="5">
        <v>5.0</v>
      </c>
      <c r="AM111" s="5">
        <v>1.0</v>
      </c>
      <c r="AN111" s="5">
        <f t="shared" si="2"/>
        <v>7</v>
      </c>
      <c r="AO111" s="5">
        <v>3.0</v>
      </c>
      <c r="AP111" s="5">
        <f t="shared" si="3"/>
        <v>5</v>
      </c>
      <c r="AQ111" s="5">
        <v>1.0</v>
      </c>
      <c r="AR111" s="5">
        <f t="shared" si="4"/>
        <v>7</v>
      </c>
      <c r="AS111" s="5">
        <v>1.0</v>
      </c>
      <c r="AT111" s="5">
        <f t="shared" si="5"/>
        <v>7</v>
      </c>
      <c r="AU111" s="5" t="s">
        <v>677</v>
      </c>
    </row>
    <row r="112">
      <c r="A112" s="8">
        <f>IFERROR(__xludf.DUMMYFUNCTION("IF(E112="""", """", VALUE(REGEXREPLACE(E112, ""^[Pp]"", """")))"),29.0)</f>
        <v>29</v>
      </c>
      <c r="B112" s="8">
        <v>834.0</v>
      </c>
      <c r="C112" s="7">
        <v>45869.27847222222</v>
      </c>
      <c r="D112" s="5" t="s">
        <v>683</v>
      </c>
      <c r="E112" s="5" t="s">
        <v>664</v>
      </c>
      <c r="F112" s="5" t="s">
        <v>216</v>
      </c>
      <c r="G112" s="6" t="str">
        <f>IFERROR(__xludf.DUMMYFUNCTION("IF(SPLIT(F112,""-"")=""HR"",""High"",""Low"")"),"Low")</f>
        <v>Low</v>
      </c>
      <c r="H112" s="6" t="str">
        <f>IFERROR(__xludf.DUMMYFUNCTION("INDEX(SPLIT(F112, ""-""), 2)"),"Web")</f>
        <v>Web</v>
      </c>
      <c r="I112" s="6">
        <v>3.0</v>
      </c>
      <c r="J112" s="5">
        <v>4.0</v>
      </c>
      <c r="K112" s="5">
        <v>2.0</v>
      </c>
      <c r="L112" s="5" t="s">
        <v>199</v>
      </c>
      <c r="M112" s="5">
        <v>4.0</v>
      </c>
      <c r="N112" s="5">
        <v>5.0</v>
      </c>
      <c r="O112" s="5">
        <v>2.0</v>
      </c>
      <c r="P112" s="5">
        <v>5.0</v>
      </c>
      <c r="Q112" s="5">
        <v>4.0</v>
      </c>
      <c r="R112" s="5">
        <v>3.0</v>
      </c>
      <c r="S112" s="5">
        <v>4.0</v>
      </c>
      <c r="T112" s="5">
        <v>4.0</v>
      </c>
      <c r="U112" s="5">
        <v>2.0</v>
      </c>
      <c r="V112" s="5">
        <v>5.0</v>
      </c>
      <c r="W112" s="5">
        <v>3.0</v>
      </c>
      <c r="X112" s="5">
        <v>7.0</v>
      </c>
      <c r="Y112" s="5">
        <f t="shared" si="1"/>
        <v>1</v>
      </c>
      <c r="Z112" s="5" t="s">
        <v>413</v>
      </c>
      <c r="AA112" s="5" t="s">
        <v>206</v>
      </c>
      <c r="AB112" s="5">
        <v>5.0</v>
      </c>
      <c r="AC112" s="5">
        <v>6.0</v>
      </c>
      <c r="AD112" s="5">
        <v>5.0</v>
      </c>
      <c r="AE112" s="5">
        <v>6.0</v>
      </c>
      <c r="AF112" s="5">
        <v>5.0</v>
      </c>
      <c r="AG112" s="5">
        <v>6.0</v>
      </c>
      <c r="AH112" s="5" t="s">
        <v>413</v>
      </c>
      <c r="AI112" s="5" t="s">
        <v>206</v>
      </c>
      <c r="AJ112" s="5">
        <v>6.0</v>
      </c>
      <c r="AK112" s="5">
        <v>6.0</v>
      </c>
      <c r="AL112" s="5">
        <v>7.0</v>
      </c>
      <c r="AM112" s="5">
        <v>3.0</v>
      </c>
      <c r="AN112" s="5">
        <f t="shared" si="2"/>
        <v>5</v>
      </c>
      <c r="AO112" s="5">
        <v>1.0</v>
      </c>
      <c r="AP112" s="5">
        <f t="shared" si="3"/>
        <v>7</v>
      </c>
      <c r="AQ112" s="5">
        <v>1.0</v>
      </c>
      <c r="AR112" s="5">
        <f t="shared" si="4"/>
        <v>7</v>
      </c>
      <c r="AS112" s="5">
        <v>1.0</v>
      </c>
      <c r="AT112" s="5">
        <f t="shared" si="5"/>
        <v>7</v>
      </c>
      <c r="AU112" s="5" t="s">
        <v>413</v>
      </c>
    </row>
    <row r="113">
      <c r="A113" s="8">
        <f>IFERROR(__xludf.DUMMYFUNCTION("IF(E113="""", """", VALUE(REGEXREPLACE(E113, ""^[Pp]"", """")))"),29.0)</f>
        <v>29</v>
      </c>
      <c r="B113" s="8">
        <v>1099.0</v>
      </c>
      <c r="C113" s="7">
        <v>45869.41527777778</v>
      </c>
      <c r="D113" s="5" t="s">
        <v>717</v>
      </c>
      <c r="E113" s="5" t="s">
        <v>674</v>
      </c>
      <c r="F113" s="5" t="s">
        <v>263</v>
      </c>
      <c r="G113" s="6" t="str">
        <f>IFERROR(__xludf.DUMMYFUNCTION("IF(SPLIT(F113,""-"")=""HR"",""High"",""Low"")"),"Low")</f>
        <v>Low</v>
      </c>
      <c r="H113" s="6" t="str">
        <f>IFERROR(__xludf.DUMMYFUNCTION("INDEX(SPLIT(F113, ""-""), 2)"),"VR")</f>
        <v>VR</v>
      </c>
      <c r="I113" s="6">
        <v>4.0</v>
      </c>
      <c r="J113" s="5">
        <v>6.0</v>
      </c>
      <c r="K113" s="5">
        <v>5.0</v>
      </c>
      <c r="L113" s="5" t="s">
        <v>199</v>
      </c>
      <c r="M113" s="5">
        <v>4.0</v>
      </c>
      <c r="N113" s="5">
        <v>5.0</v>
      </c>
      <c r="O113" s="5">
        <v>5.0</v>
      </c>
      <c r="P113" s="5">
        <v>5.0</v>
      </c>
      <c r="Q113" s="5">
        <v>5.0</v>
      </c>
      <c r="R113" s="5">
        <v>4.0</v>
      </c>
      <c r="S113" s="5">
        <v>4.0</v>
      </c>
      <c r="T113" s="5">
        <v>5.0</v>
      </c>
      <c r="U113" s="5">
        <v>2.0</v>
      </c>
      <c r="V113" s="5">
        <v>5.0</v>
      </c>
      <c r="W113" s="5">
        <v>4.0</v>
      </c>
      <c r="X113" s="5">
        <v>6.0</v>
      </c>
      <c r="Y113" s="5">
        <f t="shared" si="1"/>
        <v>2</v>
      </c>
      <c r="Z113" s="5" t="s">
        <v>413</v>
      </c>
      <c r="AA113" s="5" t="s">
        <v>206</v>
      </c>
      <c r="AB113" s="5">
        <v>4.0</v>
      </c>
      <c r="AC113" s="5">
        <v>5.0</v>
      </c>
      <c r="AD113" s="5">
        <v>5.0</v>
      </c>
      <c r="AE113" s="5">
        <v>5.0</v>
      </c>
      <c r="AF113" s="5">
        <v>5.0</v>
      </c>
      <c r="AG113" s="5">
        <v>6.0</v>
      </c>
      <c r="AH113" s="5" t="s">
        <v>413</v>
      </c>
      <c r="AI113" s="5" t="s">
        <v>206</v>
      </c>
      <c r="AJ113" s="5">
        <v>5.0</v>
      </c>
      <c r="AK113" s="5">
        <v>5.0</v>
      </c>
      <c r="AL113" s="5">
        <v>6.0</v>
      </c>
      <c r="AM113" s="5">
        <v>1.0</v>
      </c>
      <c r="AN113" s="5">
        <f t="shared" si="2"/>
        <v>7</v>
      </c>
      <c r="AO113" s="5">
        <v>1.0</v>
      </c>
      <c r="AP113" s="5">
        <f t="shared" si="3"/>
        <v>7</v>
      </c>
      <c r="AQ113" s="5">
        <v>1.0</v>
      </c>
      <c r="AR113" s="5">
        <f t="shared" si="4"/>
        <v>7</v>
      </c>
      <c r="AS113" s="5">
        <v>1.0</v>
      </c>
      <c r="AT113" s="5">
        <f t="shared" si="5"/>
        <v>7</v>
      </c>
      <c r="AU113" s="5" t="s">
        <v>413</v>
      </c>
    </row>
    <row r="114">
      <c r="A114" s="8">
        <f>IFERROR(__xludf.DUMMYFUNCTION("IF(E114="""", """", VALUE(REGEXREPLACE(E114, ""^[Pp]"", """")))"),30.0)</f>
        <v>30</v>
      </c>
      <c r="B114" s="8">
        <v>1458.0</v>
      </c>
      <c r="C114" s="7">
        <v>45869.263194444444</v>
      </c>
      <c r="D114" s="5" t="s">
        <v>668</v>
      </c>
      <c r="E114" s="5" t="s">
        <v>669</v>
      </c>
      <c r="F114" s="5" t="s">
        <v>211</v>
      </c>
      <c r="G114" s="6" t="str">
        <f>IFERROR(__xludf.DUMMYFUNCTION("IF(SPLIT(F114,""-"")=""HR"",""High"",""Low"")"),"High")</f>
        <v>High</v>
      </c>
      <c r="H114" s="6" t="str">
        <f>IFERROR(__xludf.DUMMYFUNCTION("INDEX(SPLIT(F114, ""-""), 2)"),"Web")</f>
        <v>Web</v>
      </c>
      <c r="I114" s="6">
        <v>1.0</v>
      </c>
      <c r="J114" s="5">
        <v>5.0</v>
      </c>
      <c r="K114" s="5">
        <v>7.0</v>
      </c>
      <c r="L114" s="5" t="s">
        <v>199</v>
      </c>
      <c r="M114" s="5">
        <v>6.0</v>
      </c>
      <c r="N114" s="5">
        <v>6.0</v>
      </c>
      <c r="O114" s="5">
        <v>2.0</v>
      </c>
      <c r="P114" s="5">
        <v>7.0</v>
      </c>
      <c r="Q114" s="5">
        <v>7.0</v>
      </c>
      <c r="R114" s="5">
        <v>6.0</v>
      </c>
      <c r="S114" s="5">
        <v>6.0</v>
      </c>
      <c r="T114" s="5">
        <v>4.0</v>
      </c>
      <c r="U114" s="5">
        <v>3.0</v>
      </c>
      <c r="V114" s="5">
        <v>4.0</v>
      </c>
      <c r="W114" s="5">
        <v>7.0</v>
      </c>
      <c r="X114" s="5">
        <v>5.0</v>
      </c>
      <c r="Y114" s="5">
        <f t="shared" si="1"/>
        <v>3</v>
      </c>
      <c r="Z114" s="5" t="s">
        <v>670</v>
      </c>
      <c r="AA114" s="5" t="s">
        <v>206</v>
      </c>
      <c r="AB114" s="5">
        <v>4.0</v>
      </c>
      <c r="AC114" s="5">
        <v>7.0</v>
      </c>
      <c r="AD114" s="5">
        <v>6.0</v>
      </c>
      <c r="AE114" s="5">
        <v>7.0</v>
      </c>
      <c r="AF114" s="5">
        <v>6.0</v>
      </c>
      <c r="AG114" s="5">
        <v>7.0</v>
      </c>
      <c r="AH114" s="5" t="s">
        <v>671</v>
      </c>
      <c r="AI114" s="5" t="s">
        <v>206</v>
      </c>
      <c r="AJ114" s="5">
        <v>7.0</v>
      </c>
      <c r="AK114" s="5">
        <v>3.0</v>
      </c>
      <c r="AL114" s="5">
        <v>6.0</v>
      </c>
      <c r="AM114" s="5">
        <v>1.0</v>
      </c>
      <c r="AN114" s="5">
        <f t="shared" si="2"/>
        <v>7</v>
      </c>
      <c r="AO114" s="5">
        <v>1.0</v>
      </c>
      <c r="AP114" s="5">
        <f t="shared" si="3"/>
        <v>7</v>
      </c>
      <c r="AQ114" s="5">
        <v>1.0</v>
      </c>
      <c r="AR114" s="5">
        <f t="shared" si="4"/>
        <v>7</v>
      </c>
      <c r="AS114" s="5">
        <v>1.0</v>
      </c>
      <c r="AT114" s="5">
        <f t="shared" si="5"/>
        <v>7</v>
      </c>
      <c r="AU114" s="5" t="s">
        <v>672</v>
      </c>
    </row>
    <row r="115">
      <c r="A115" s="8">
        <f>IFERROR(__xludf.DUMMYFUNCTION("IF(E115="""", """", VALUE(REGEXREPLACE(E115, ""^[Pp]"", """")))"),30.0)</f>
        <v>30</v>
      </c>
      <c r="B115" s="8">
        <v>945.0</v>
      </c>
      <c r="C115" s="7">
        <v>45869.28333333333</v>
      </c>
      <c r="D115" s="5" t="s">
        <v>684</v>
      </c>
      <c r="E115" s="5" t="s">
        <v>669</v>
      </c>
      <c r="F115" s="5" t="s">
        <v>263</v>
      </c>
      <c r="G115" s="6" t="str">
        <f>IFERROR(__xludf.DUMMYFUNCTION("IF(SPLIT(F115,""-"")=""HR"",""High"",""Low"")"),"Low")</f>
        <v>Low</v>
      </c>
      <c r="H115" s="6" t="str">
        <f>IFERROR(__xludf.DUMMYFUNCTION("INDEX(SPLIT(F115, ""-""), 2)"),"VR")</f>
        <v>VR</v>
      </c>
      <c r="I115" s="6">
        <v>2.0</v>
      </c>
      <c r="J115" s="5">
        <v>7.0</v>
      </c>
      <c r="K115" s="5">
        <v>6.0</v>
      </c>
      <c r="L115" s="5" t="s">
        <v>199</v>
      </c>
      <c r="M115" s="5">
        <v>7.0</v>
      </c>
      <c r="N115" s="5">
        <v>6.0</v>
      </c>
      <c r="O115" s="5">
        <v>7.0</v>
      </c>
      <c r="P115" s="5">
        <v>6.0</v>
      </c>
      <c r="Q115" s="5">
        <v>7.0</v>
      </c>
      <c r="R115" s="5">
        <v>7.0</v>
      </c>
      <c r="S115" s="5">
        <v>6.0</v>
      </c>
      <c r="T115" s="5">
        <v>7.0</v>
      </c>
      <c r="U115" s="5">
        <v>6.0</v>
      </c>
      <c r="V115" s="5">
        <v>1.0</v>
      </c>
      <c r="W115" s="5">
        <v>7.0</v>
      </c>
      <c r="X115" s="5">
        <v>6.0</v>
      </c>
      <c r="Y115" s="5">
        <f t="shared" si="1"/>
        <v>2</v>
      </c>
      <c r="Z115" s="5" t="s">
        <v>685</v>
      </c>
      <c r="AA115" s="5" t="s">
        <v>206</v>
      </c>
      <c r="AB115" s="5">
        <v>6.0</v>
      </c>
      <c r="AC115" s="5">
        <v>6.0</v>
      </c>
      <c r="AD115" s="5">
        <v>6.0</v>
      </c>
      <c r="AE115" s="5">
        <v>7.0</v>
      </c>
      <c r="AF115" s="5">
        <v>7.0</v>
      </c>
      <c r="AG115" s="5">
        <v>6.0</v>
      </c>
      <c r="AH115" s="5" t="s">
        <v>686</v>
      </c>
      <c r="AI115" s="5" t="s">
        <v>206</v>
      </c>
      <c r="AJ115" s="5">
        <v>7.0</v>
      </c>
      <c r="AK115" s="5">
        <v>6.0</v>
      </c>
      <c r="AL115" s="5">
        <v>7.0</v>
      </c>
      <c r="AM115" s="5">
        <v>1.0</v>
      </c>
      <c r="AN115" s="5">
        <f t="shared" si="2"/>
        <v>7</v>
      </c>
      <c r="AO115" s="5">
        <v>1.0</v>
      </c>
      <c r="AP115" s="5">
        <f t="shared" si="3"/>
        <v>7</v>
      </c>
      <c r="AQ115" s="5">
        <v>1.0</v>
      </c>
      <c r="AR115" s="5">
        <f t="shared" si="4"/>
        <v>7</v>
      </c>
      <c r="AS115" s="5">
        <v>1.0</v>
      </c>
      <c r="AT115" s="5">
        <f t="shared" si="5"/>
        <v>7</v>
      </c>
      <c r="AU115" s="5" t="s">
        <v>687</v>
      </c>
    </row>
    <row r="116">
      <c r="A116" s="8">
        <f>IFERROR(__xludf.DUMMYFUNCTION("IF(E116="""", """", VALUE(REGEXREPLACE(E116, ""^[Pp]"", """")))"),30.0)</f>
        <v>30</v>
      </c>
      <c r="B116" s="8">
        <v>784.0</v>
      </c>
      <c r="C116" s="7">
        <v>45869.29722222222</v>
      </c>
      <c r="D116" s="5" t="s">
        <v>692</v>
      </c>
      <c r="E116" s="5" t="s">
        <v>669</v>
      </c>
      <c r="F116" s="5" t="s">
        <v>216</v>
      </c>
      <c r="G116" s="6" t="str">
        <f>IFERROR(__xludf.DUMMYFUNCTION("IF(SPLIT(F116,""-"")=""HR"",""High"",""Low"")"),"Low")</f>
        <v>Low</v>
      </c>
      <c r="H116" s="6" t="str">
        <f>IFERROR(__xludf.DUMMYFUNCTION("INDEX(SPLIT(F116, ""-""), 2)"),"Web")</f>
        <v>Web</v>
      </c>
      <c r="I116" s="6">
        <v>3.0</v>
      </c>
      <c r="J116" s="5">
        <v>2.0</v>
      </c>
      <c r="K116" s="5">
        <v>6.0</v>
      </c>
      <c r="L116" s="5" t="s">
        <v>199</v>
      </c>
      <c r="M116" s="5">
        <v>7.0</v>
      </c>
      <c r="N116" s="5">
        <v>6.0</v>
      </c>
      <c r="O116" s="5">
        <v>1.0</v>
      </c>
      <c r="P116" s="5">
        <v>7.0</v>
      </c>
      <c r="Q116" s="5">
        <v>6.0</v>
      </c>
      <c r="R116" s="5">
        <v>6.0</v>
      </c>
      <c r="S116" s="5">
        <v>6.0</v>
      </c>
      <c r="T116" s="5">
        <v>7.0</v>
      </c>
      <c r="U116" s="5">
        <v>5.0</v>
      </c>
      <c r="V116" s="5">
        <v>1.0</v>
      </c>
      <c r="W116" s="5">
        <v>6.0</v>
      </c>
      <c r="X116" s="5">
        <v>6.0</v>
      </c>
      <c r="Y116" s="5">
        <f t="shared" si="1"/>
        <v>2</v>
      </c>
      <c r="Z116" s="5" t="s">
        <v>693</v>
      </c>
      <c r="AA116" s="5" t="s">
        <v>206</v>
      </c>
      <c r="AB116" s="5">
        <v>7.0</v>
      </c>
      <c r="AC116" s="5">
        <v>6.0</v>
      </c>
      <c r="AD116" s="5">
        <v>7.0</v>
      </c>
      <c r="AE116" s="5">
        <v>7.0</v>
      </c>
      <c r="AF116" s="5">
        <v>7.0</v>
      </c>
      <c r="AG116" s="5">
        <v>6.0</v>
      </c>
      <c r="AH116" s="5" t="s">
        <v>694</v>
      </c>
      <c r="AI116" s="5" t="s">
        <v>206</v>
      </c>
      <c r="AJ116" s="5">
        <v>7.0</v>
      </c>
      <c r="AK116" s="5">
        <v>7.0</v>
      </c>
      <c r="AL116" s="5">
        <v>6.0</v>
      </c>
      <c r="AM116" s="5">
        <v>1.0</v>
      </c>
      <c r="AN116" s="5">
        <f t="shared" si="2"/>
        <v>7</v>
      </c>
      <c r="AO116" s="5">
        <v>1.0</v>
      </c>
      <c r="AP116" s="5">
        <f t="shared" si="3"/>
        <v>7</v>
      </c>
      <c r="AQ116" s="5">
        <v>1.0</v>
      </c>
      <c r="AR116" s="5">
        <f t="shared" si="4"/>
        <v>7</v>
      </c>
      <c r="AS116" s="5">
        <v>1.0</v>
      </c>
      <c r="AT116" s="5">
        <f t="shared" si="5"/>
        <v>7</v>
      </c>
      <c r="AU116" s="5" t="s">
        <v>695</v>
      </c>
    </row>
    <row r="117">
      <c r="A117" s="8">
        <f>IFERROR(__xludf.DUMMYFUNCTION("IF(E117="""", """", VALUE(REGEXREPLACE(E117, ""^[Pp]"", """")))"),30.0)</f>
        <v>30</v>
      </c>
      <c r="B117" s="8">
        <v>967.0</v>
      </c>
      <c r="C117" s="7">
        <v>45869.31805555556</v>
      </c>
      <c r="D117" s="5" t="s">
        <v>708</v>
      </c>
      <c r="E117" s="5" t="s">
        <v>669</v>
      </c>
      <c r="F117" s="5" t="s">
        <v>197</v>
      </c>
      <c r="G117" s="6" t="str">
        <f>IFERROR(__xludf.DUMMYFUNCTION("IF(SPLIT(F117,""-"")=""HR"",""High"",""Low"")"),"High")</f>
        <v>High</v>
      </c>
      <c r="H117" s="6" t="str">
        <f>IFERROR(__xludf.DUMMYFUNCTION("INDEX(SPLIT(F117, ""-""), 2)"),"VR")</f>
        <v>VR</v>
      </c>
      <c r="I117" s="6">
        <v>4.0</v>
      </c>
      <c r="J117" s="5">
        <v>7.0</v>
      </c>
      <c r="K117" s="5">
        <v>7.0</v>
      </c>
      <c r="L117" s="5" t="s">
        <v>199</v>
      </c>
      <c r="M117" s="5">
        <v>3.0</v>
      </c>
      <c r="N117" s="5">
        <v>6.0</v>
      </c>
      <c r="O117" s="5">
        <v>7.0</v>
      </c>
      <c r="P117" s="5">
        <v>7.0</v>
      </c>
      <c r="Q117" s="5">
        <v>6.0</v>
      </c>
      <c r="R117" s="5">
        <v>6.0</v>
      </c>
      <c r="S117" s="5">
        <v>6.0</v>
      </c>
      <c r="T117" s="5">
        <v>3.0</v>
      </c>
      <c r="U117" s="5">
        <v>6.0</v>
      </c>
      <c r="V117" s="5">
        <v>1.0</v>
      </c>
      <c r="W117" s="5">
        <v>6.0</v>
      </c>
      <c r="X117" s="5">
        <v>5.0</v>
      </c>
      <c r="Y117" s="5">
        <f t="shared" si="1"/>
        <v>3</v>
      </c>
      <c r="Z117" s="5" t="s">
        <v>709</v>
      </c>
      <c r="AA117" s="5" t="s">
        <v>206</v>
      </c>
      <c r="AB117" s="5">
        <v>6.0</v>
      </c>
      <c r="AC117" s="5">
        <v>6.0</v>
      </c>
      <c r="AD117" s="5">
        <v>3.0</v>
      </c>
      <c r="AE117" s="5">
        <v>7.0</v>
      </c>
      <c r="AF117" s="5">
        <v>7.0</v>
      </c>
      <c r="AG117" s="5">
        <v>7.0</v>
      </c>
      <c r="AH117" s="5" t="s">
        <v>710</v>
      </c>
      <c r="AI117" s="5" t="s">
        <v>206</v>
      </c>
      <c r="AJ117" s="5">
        <v>7.0</v>
      </c>
      <c r="AK117" s="5">
        <v>7.0</v>
      </c>
      <c r="AL117" s="5">
        <v>7.0</v>
      </c>
      <c r="AM117" s="5">
        <v>1.0</v>
      </c>
      <c r="AN117" s="5">
        <f t="shared" si="2"/>
        <v>7</v>
      </c>
      <c r="AO117" s="5">
        <v>1.0</v>
      </c>
      <c r="AP117" s="5">
        <f t="shared" si="3"/>
        <v>7</v>
      </c>
      <c r="AQ117" s="5">
        <v>1.0</v>
      </c>
      <c r="AR117" s="5">
        <f t="shared" si="4"/>
        <v>7</v>
      </c>
      <c r="AS117" s="5">
        <v>1.0</v>
      </c>
      <c r="AT117" s="5">
        <f t="shared" si="5"/>
        <v>7</v>
      </c>
      <c r="AU117" s="5" t="s">
        <v>711</v>
      </c>
    </row>
    <row r="118">
      <c r="A118" s="8">
        <f>IFERROR(__xludf.DUMMYFUNCTION("IF(E118="""", """", VALUE(REGEXREPLACE(E118, ""^[Pp]"", """")))"),31.0)</f>
        <v>31</v>
      </c>
      <c r="B118" s="8">
        <v>934.0</v>
      </c>
      <c r="C118" s="7">
        <v>45869.277083333334</v>
      </c>
      <c r="D118" s="5" t="s">
        <v>678</v>
      </c>
      <c r="E118" s="5" t="s">
        <v>679</v>
      </c>
      <c r="F118" s="5" t="s">
        <v>216</v>
      </c>
      <c r="G118" s="6" t="str">
        <f>IFERROR(__xludf.DUMMYFUNCTION("IF(SPLIT(F118,""-"")=""HR"",""High"",""Low"")"),"Low")</f>
        <v>Low</v>
      </c>
      <c r="H118" s="6" t="str">
        <f>IFERROR(__xludf.DUMMYFUNCTION("INDEX(SPLIT(F118, ""-""), 2)"),"Web")</f>
        <v>Web</v>
      </c>
      <c r="I118" s="6">
        <v>1.0</v>
      </c>
      <c r="J118" s="5">
        <v>2.0</v>
      </c>
      <c r="K118" s="5">
        <v>2.0</v>
      </c>
      <c r="L118" s="5" t="s">
        <v>199</v>
      </c>
      <c r="M118" s="5">
        <v>4.0</v>
      </c>
      <c r="N118" s="5">
        <v>3.0</v>
      </c>
      <c r="O118" s="5">
        <v>3.0</v>
      </c>
      <c r="P118" s="5">
        <v>1.0</v>
      </c>
      <c r="Q118" s="5">
        <v>5.0</v>
      </c>
      <c r="R118" s="5">
        <v>6.0</v>
      </c>
      <c r="S118" s="5">
        <v>6.0</v>
      </c>
      <c r="T118" s="5">
        <v>3.0</v>
      </c>
      <c r="U118" s="5">
        <v>1.0</v>
      </c>
      <c r="V118" s="5">
        <v>6.0</v>
      </c>
      <c r="W118" s="5">
        <v>5.0</v>
      </c>
      <c r="X118" s="5">
        <v>2.0</v>
      </c>
      <c r="Y118" s="5">
        <f t="shared" si="1"/>
        <v>6</v>
      </c>
      <c r="Z118" s="5" t="s">
        <v>680</v>
      </c>
      <c r="AA118" s="5" t="s">
        <v>206</v>
      </c>
      <c r="AB118" s="5">
        <v>2.0</v>
      </c>
      <c r="AC118" s="5">
        <v>2.0</v>
      </c>
      <c r="AD118" s="5">
        <v>3.0</v>
      </c>
      <c r="AE118" s="5">
        <v>2.0</v>
      </c>
      <c r="AF118" s="5">
        <v>1.0</v>
      </c>
      <c r="AG118" s="5">
        <v>5.0</v>
      </c>
      <c r="AH118" s="5" t="s">
        <v>681</v>
      </c>
      <c r="AI118" s="5" t="s">
        <v>206</v>
      </c>
      <c r="AJ118" s="5">
        <v>3.0</v>
      </c>
      <c r="AK118" s="5">
        <v>5.0</v>
      </c>
      <c r="AL118" s="5">
        <v>2.0</v>
      </c>
      <c r="AM118" s="5">
        <v>1.0</v>
      </c>
      <c r="AN118" s="5">
        <f t="shared" si="2"/>
        <v>7</v>
      </c>
      <c r="AO118" s="5">
        <v>2.0</v>
      </c>
      <c r="AP118" s="5">
        <f t="shared" si="3"/>
        <v>6</v>
      </c>
      <c r="AQ118" s="5">
        <v>1.0</v>
      </c>
      <c r="AR118" s="5">
        <f t="shared" si="4"/>
        <v>7</v>
      </c>
      <c r="AS118" s="5">
        <v>1.0</v>
      </c>
      <c r="AT118" s="5">
        <f t="shared" si="5"/>
        <v>7</v>
      </c>
      <c r="AU118" s="5" t="s">
        <v>682</v>
      </c>
    </row>
    <row r="119">
      <c r="A119" s="8">
        <f>IFERROR(__xludf.DUMMYFUNCTION("IF(E119="""", """", VALUE(REGEXREPLACE(E119, ""^[Pp]"", """")))"),31.0)</f>
        <v>31</v>
      </c>
      <c r="B119" s="8">
        <v>1071.0</v>
      </c>
      <c r="C119" s="7">
        <v>45869.30069444444</v>
      </c>
      <c r="D119" s="5" t="s">
        <v>696</v>
      </c>
      <c r="E119" s="5" t="s">
        <v>679</v>
      </c>
      <c r="F119" s="5" t="s">
        <v>197</v>
      </c>
      <c r="G119" s="6" t="str">
        <f>IFERROR(__xludf.DUMMYFUNCTION("IF(SPLIT(F119,""-"")=""HR"",""High"",""Low"")"),"High")</f>
        <v>High</v>
      </c>
      <c r="H119" s="6" t="str">
        <f>IFERROR(__xludf.DUMMYFUNCTION("INDEX(SPLIT(F119, ""-""), 2)"),"VR")</f>
        <v>VR</v>
      </c>
      <c r="I119" s="6">
        <v>2.0</v>
      </c>
      <c r="J119" s="5">
        <v>6.0</v>
      </c>
      <c r="K119" s="5">
        <v>2.0</v>
      </c>
      <c r="L119" s="5" t="s">
        <v>199</v>
      </c>
      <c r="M119" s="5">
        <v>6.0</v>
      </c>
      <c r="N119" s="5">
        <v>6.0</v>
      </c>
      <c r="O119" s="5">
        <v>4.0</v>
      </c>
      <c r="P119" s="5">
        <v>2.0</v>
      </c>
      <c r="Q119" s="5">
        <v>5.0</v>
      </c>
      <c r="R119" s="5">
        <v>6.0</v>
      </c>
      <c r="S119" s="5">
        <v>6.0</v>
      </c>
      <c r="T119" s="5">
        <v>3.0</v>
      </c>
      <c r="U119" s="5">
        <v>2.0</v>
      </c>
      <c r="V119" s="5">
        <v>4.0</v>
      </c>
      <c r="W119" s="5">
        <v>5.0</v>
      </c>
      <c r="X119" s="5">
        <v>5.0</v>
      </c>
      <c r="Y119" s="5">
        <f t="shared" si="1"/>
        <v>3</v>
      </c>
      <c r="Z119" s="5" t="s">
        <v>697</v>
      </c>
      <c r="AA119" s="5" t="s">
        <v>206</v>
      </c>
      <c r="AB119" s="5">
        <v>6.0</v>
      </c>
      <c r="AC119" s="5">
        <v>6.0</v>
      </c>
      <c r="AD119" s="5">
        <v>6.0</v>
      </c>
      <c r="AE119" s="5">
        <v>3.0</v>
      </c>
      <c r="AF119" s="5">
        <v>3.0</v>
      </c>
      <c r="AG119" s="5">
        <v>6.0</v>
      </c>
      <c r="AH119" s="5" t="s">
        <v>698</v>
      </c>
      <c r="AI119" s="5" t="s">
        <v>206</v>
      </c>
      <c r="AJ119" s="5">
        <v>6.0</v>
      </c>
      <c r="AK119" s="5">
        <v>6.0</v>
      </c>
      <c r="AL119" s="5">
        <v>6.0</v>
      </c>
      <c r="AM119" s="5">
        <v>5.0</v>
      </c>
      <c r="AN119" s="5">
        <f t="shared" si="2"/>
        <v>3</v>
      </c>
      <c r="AO119" s="5">
        <v>4.0</v>
      </c>
      <c r="AP119" s="5">
        <f t="shared" si="3"/>
        <v>4</v>
      </c>
      <c r="AQ119" s="5">
        <v>5.0</v>
      </c>
      <c r="AR119" s="5">
        <f t="shared" si="4"/>
        <v>3</v>
      </c>
      <c r="AS119" s="5">
        <v>3.0</v>
      </c>
      <c r="AT119" s="5">
        <f t="shared" si="5"/>
        <v>5</v>
      </c>
      <c r="AU119" s="5" t="s">
        <v>699</v>
      </c>
    </row>
    <row r="120">
      <c r="A120" s="8">
        <f>IFERROR(__xludf.DUMMYFUNCTION("IF(E120="""", """", VALUE(REGEXREPLACE(E120, ""^[Pp]"", """")))"),31.0)</f>
        <v>31</v>
      </c>
      <c r="B120" s="8">
        <v>500.0</v>
      </c>
      <c r="C120" s="7">
        <v>45869.30902777778</v>
      </c>
      <c r="D120" s="5" t="s">
        <v>700</v>
      </c>
      <c r="E120" s="5" t="s">
        <v>679</v>
      </c>
      <c r="F120" s="5" t="s">
        <v>263</v>
      </c>
      <c r="G120" s="6" t="str">
        <f>IFERROR(__xludf.DUMMYFUNCTION("IF(SPLIT(F120,""-"")=""HR"",""High"",""Low"")"),"Low")</f>
        <v>Low</v>
      </c>
      <c r="H120" s="6" t="str">
        <f>IFERROR(__xludf.DUMMYFUNCTION("INDEX(SPLIT(F120, ""-""), 2)"),"VR")</f>
        <v>VR</v>
      </c>
      <c r="I120" s="6">
        <v>3.0</v>
      </c>
      <c r="J120" s="5">
        <v>6.0</v>
      </c>
      <c r="K120" s="5">
        <v>3.0</v>
      </c>
      <c r="L120" s="5" t="s">
        <v>199</v>
      </c>
      <c r="M120" s="5">
        <v>6.0</v>
      </c>
      <c r="N120" s="5">
        <v>6.0</v>
      </c>
      <c r="O120" s="5">
        <v>4.0</v>
      </c>
      <c r="P120" s="5">
        <v>2.0</v>
      </c>
      <c r="Q120" s="5">
        <v>6.0</v>
      </c>
      <c r="R120" s="5">
        <v>6.0</v>
      </c>
      <c r="S120" s="5">
        <v>6.0</v>
      </c>
      <c r="T120" s="5">
        <v>6.0</v>
      </c>
      <c r="U120" s="5">
        <v>3.0</v>
      </c>
      <c r="V120" s="5">
        <v>6.0</v>
      </c>
      <c r="W120" s="5">
        <v>6.0</v>
      </c>
      <c r="X120" s="5">
        <v>6.0</v>
      </c>
      <c r="Y120" s="5">
        <f t="shared" si="1"/>
        <v>2</v>
      </c>
      <c r="Z120" s="5" t="s">
        <v>701</v>
      </c>
      <c r="AA120" s="5" t="s">
        <v>206</v>
      </c>
      <c r="AB120" s="5">
        <v>6.0</v>
      </c>
      <c r="AC120" s="5">
        <v>6.0</v>
      </c>
      <c r="AD120" s="5">
        <v>6.0</v>
      </c>
      <c r="AE120" s="5">
        <v>3.0</v>
      </c>
      <c r="AF120" s="5">
        <v>3.0</v>
      </c>
      <c r="AG120" s="5">
        <v>6.0</v>
      </c>
      <c r="AH120" s="5" t="s">
        <v>702</v>
      </c>
      <c r="AI120" s="5" t="s">
        <v>206</v>
      </c>
      <c r="AJ120" s="5">
        <v>6.0</v>
      </c>
      <c r="AK120" s="5">
        <v>6.0</v>
      </c>
      <c r="AL120" s="5">
        <v>6.0</v>
      </c>
      <c r="AM120" s="5">
        <v>5.0</v>
      </c>
      <c r="AN120" s="5">
        <f t="shared" si="2"/>
        <v>3</v>
      </c>
      <c r="AO120" s="5">
        <v>4.0</v>
      </c>
      <c r="AP120" s="5">
        <f t="shared" si="3"/>
        <v>4</v>
      </c>
      <c r="AQ120" s="5">
        <v>5.0</v>
      </c>
      <c r="AR120" s="5">
        <f t="shared" si="4"/>
        <v>3</v>
      </c>
      <c r="AS120" s="5">
        <v>3.0</v>
      </c>
      <c r="AT120" s="5">
        <f t="shared" si="5"/>
        <v>5</v>
      </c>
      <c r="AU120" s="5" t="s">
        <v>703</v>
      </c>
    </row>
    <row r="121">
      <c r="A121" s="8">
        <f>IFERROR(__xludf.DUMMYFUNCTION("IF(E121="""", """", VALUE(REGEXREPLACE(E121, ""^[Pp]"", """")))"),31.0)</f>
        <v>31</v>
      </c>
      <c r="B121" s="8">
        <v>813.0</v>
      </c>
      <c r="C121" s="7">
        <v>45869.31875</v>
      </c>
      <c r="D121" s="5" t="s">
        <v>712</v>
      </c>
      <c r="E121" s="5" t="s">
        <v>679</v>
      </c>
      <c r="F121" s="5" t="s">
        <v>211</v>
      </c>
      <c r="G121" s="6" t="str">
        <f>IFERROR(__xludf.DUMMYFUNCTION("IF(SPLIT(F121,""-"")=""HR"",""High"",""Low"")"),"High")</f>
        <v>High</v>
      </c>
      <c r="H121" s="6" t="str">
        <f>IFERROR(__xludf.DUMMYFUNCTION("INDEX(SPLIT(F121, ""-""), 2)"),"Web")</f>
        <v>Web</v>
      </c>
      <c r="I121" s="6">
        <v>4.0</v>
      </c>
      <c r="J121" s="5">
        <v>4.0</v>
      </c>
      <c r="K121" s="5">
        <v>2.0</v>
      </c>
      <c r="L121" s="5" t="s">
        <v>199</v>
      </c>
      <c r="M121" s="5">
        <v>5.0</v>
      </c>
      <c r="N121" s="5">
        <v>6.0</v>
      </c>
      <c r="O121" s="5">
        <v>4.0</v>
      </c>
      <c r="P121" s="5">
        <v>2.0</v>
      </c>
      <c r="Q121" s="5">
        <v>5.0</v>
      </c>
      <c r="R121" s="5">
        <v>6.0</v>
      </c>
      <c r="S121" s="5">
        <v>6.0</v>
      </c>
      <c r="T121" s="5">
        <v>5.0</v>
      </c>
      <c r="U121" s="5">
        <v>2.0</v>
      </c>
      <c r="V121" s="5">
        <v>3.0</v>
      </c>
      <c r="W121" s="5">
        <v>6.0</v>
      </c>
      <c r="X121" s="5">
        <v>6.0</v>
      </c>
      <c r="Y121" s="5">
        <f t="shared" si="1"/>
        <v>2</v>
      </c>
      <c r="Z121" s="5" t="s">
        <v>713</v>
      </c>
      <c r="AA121" s="5" t="s">
        <v>206</v>
      </c>
      <c r="AB121" s="5">
        <v>6.0</v>
      </c>
      <c r="AC121" s="5">
        <v>6.0</v>
      </c>
      <c r="AD121" s="5">
        <v>6.0</v>
      </c>
      <c r="AE121" s="5">
        <v>5.0</v>
      </c>
      <c r="AF121" s="5">
        <v>5.0</v>
      </c>
      <c r="AG121" s="5">
        <v>6.0</v>
      </c>
      <c r="AH121" s="5" t="s">
        <v>714</v>
      </c>
      <c r="AI121" s="5" t="s">
        <v>206</v>
      </c>
      <c r="AJ121" s="5">
        <v>6.0</v>
      </c>
      <c r="AK121" s="5">
        <v>6.0</v>
      </c>
      <c r="AL121" s="5">
        <v>5.0</v>
      </c>
      <c r="AM121" s="5">
        <v>1.0</v>
      </c>
      <c r="AN121" s="5">
        <f t="shared" si="2"/>
        <v>7</v>
      </c>
      <c r="AO121" s="5">
        <v>1.0</v>
      </c>
      <c r="AP121" s="5">
        <f t="shared" si="3"/>
        <v>7</v>
      </c>
      <c r="AQ121" s="5">
        <v>1.0</v>
      </c>
      <c r="AR121" s="5">
        <f t="shared" si="4"/>
        <v>7</v>
      </c>
      <c r="AS121" s="5">
        <v>1.0</v>
      </c>
      <c r="AT121" s="5">
        <f t="shared" si="5"/>
        <v>7</v>
      </c>
      <c r="AU121" s="5" t="s">
        <v>715</v>
      </c>
    </row>
  </sheetData>
  <mergeCells count="3">
    <mergeCell ref="AH14:AI14"/>
    <mergeCell ref="AH83:AI83"/>
    <mergeCell ref="AH84:AI8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12.88"/>
    <col customWidth="1" min="4" max="4" width="20.88"/>
    <col customWidth="1" min="7" max="11" width="22.75"/>
    <col customWidth="1" min="12" max="12" width="19.5"/>
  </cols>
  <sheetData>
    <row r="1">
      <c r="A1" s="12" t="s">
        <v>727</v>
      </c>
      <c r="B1" s="1" t="s">
        <v>728</v>
      </c>
      <c r="C1" s="1" t="s">
        <v>729</v>
      </c>
      <c r="D1" s="1" t="s">
        <v>730</v>
      </c>
      <c r="E1" s="13" t="s">
        <v>731</v>
      </c>
      <c r="F1" s="13" t="s">
        <v>732</v>
      </c>
      <c r="G1" s="13" t="s">
        <v>733</v>
      </c>
      <c r="H1" s="13" t="s">
        <v>734</v>
      </c>
      <c r="I1" s="1" t="s">
        <v>735</v>
      </c>
      <c r="J1" s="13" t="s">
        <v>736</v>
      </c>
      <c r="K1" s="13" t="s">
        <v>737</v>
      </c>
      <c r="L1" s="13" t="s">
        <v>738</v>
      </c>
      <c r="M1" s="13" t="s">
        <v>739</v>
      </c>
      <c r="N1" s="13" t="s">
        <v>740</v>
      </c>
      <c r="O1" s="13" t="s">
        <v>741</v>
      </c>
      <c r="P1" s="13" t="s">
        <v>742</v>
      </c>
      <c r="Q1" s="13" t="s">
        <v>743</v>
      </c>
      <c r="R1" s="13" t="s">
        <v>744</v>
      </c>
      <c r="S1" s="13" t="s">
        <v>745</v>
      </c>
      <c r="T1" s="13" t="s">
        <v>746</v>
      </c>
      <c r="U1" s="13" t="s">
        <v>747</v>
      </c>
      <c r="V1" s="13" t="s">
        <v>748</v>
      </c>
      <c r="W1" s="13" t="s">
        <v>749</v>
      </c>
      <c r="X1" s="13" t="s">
        <v>750</v>
      </c>
      <c r="Y1" s="13" t="s">
        <v>751</v>
      </c>
      <c r="Z1" s="13" t="s">
        <v>752</v>
      </c>
      <c r="AA1" s="13" t="s">
        <v>753</v>
      </c>
      <c r="AB1" s="13" t="s">
        <v>754</v>
      </c>
      <c r="AC1" s="13" t="s">
        <v>755</v>
      </c>
      <c r="AD1" s="13" t="s">
        <v>756</v>
      </c>
      <c r="AE1" s="13" t="s">
        <v>757</v>
      </c>
      <c r="AF1" s="13" t="s">
        <v>758</v>
      </c>
      <c r="AG1" s="13" t="s">
        <v>759</v>
      </c>
      <c r="AH1" s="13" t="s">
        <v>760</v>
      </c>
      <c r="AI1" s="13" t="s">
        <v>761</v>
      </c>
      <c r="AJ1" s="13" t="s">
        <v>762</v>
      </c>
      <c r="AK1" s="13" t="s">
        <v>763</v>
      </c>
      <c r="AL1" s="13" t="s">
        <v>764</v>
      </c>
      <c r="AM1" s="13" t="s">
        <v>765</v>
      </c>
      <c r="AN1" s="13" t="s">
        <v>766</v>
      </c>
      <c r="AO1" s="13" t="s">
        <v>767</v>
      </c>
      <c r="AP1" s="13" t="s">
        <v>768</v>
      </c>
      <c r="AQ1" s="13" t="s">
        <v>769</v>
      </c>
      <c r="AR1" s="13" t="s">
        <v>770</v>
      </c>
      <c r="AS1" s="13" t="s">
        <v>771</v>
      </c>
      <c r="AT1" s="13" t="s">
        <v>772</v>
      </c>
      <c r="AU1" s="13" t="s">
        <v>773</v>
      </c>
    </row>
    <row r="2">
      <c r="A2" s="14">
        <f>IFERROR(__xludf.DUMMYFUNCTION("IF(E2="""", """", VALUE(REGEXREPLACE(E2, ""^[Pp]"", """")))"),2.0)</f>
        <v>2</v>
      </c>
      <c r="B2" s="14">
        <v>913.0</v>
      </c>
      <c r="C2" s="15">
        <v>45866.260416666664</v>
      </c>
      <c r="D2" s="12" t="s">
        <v>220</v>
      </c>
      <c r="E2" s="12" t="s">
        <v>221</v>
      </c>
      <c r="F2" s="12" t="s">
        <v>211</v>
      </c>
      <c r="G2" s="12" t="str">
        <f>IFERROR(__xludf.DUMMYFUNCTION("IF(SPLIT(F2,""-"")=""HR"",""High"",""Low"")"),"High")</f>
        <v>High</v>
      </c>
      <c r="H2" s="12" t="str">
        <f>IFERROR(__xludf.DUMMYFUNCTION("INDEX(SPLIT(F2, ""-""), 2)"),"Web")</f>
        <v>Web</v>
      </c>
      <c r="I2" s="12">
        <v>1.0</v>
      </c>
      <c r="J2" s="12">
        <v>1.0</v>
      </c>
      <c r="K2" s="12">
        <v>1.0</v>
      </c>
      <c r="L2" s="12" t="s">
        <v>199</v>
      </c>
      <c r="M2" s="12">
        <v>7.0</v>
      </c>
      <c r="N2" s="12">
        <v>4.0</v>
      </c>
      <c r="O2" s="12">
        <v>1.0</v>
      </c>
      <c r="P2" s="12">
        <v>1.0</v>
      </c>
      <c r="Q2" s="12">
        <v>1.0</v>
      </c>
      <c r="R2" s="12">
        <v>2.0</v>
      </c>
      <c r="S2" s="12">
        <v>7.0</v>
      </c>
      <c r="T2" s="12">
        <v>6.0</v>
      </c>
      <c r="U2" s="12">
        <v>1.0</v>
      </c>
      <c r="V2" s="12">
        <v>1.0</v>
      </c>
      <c r="W2" s="12">
        <v>4.0</v>
      </c>
      <c r="X2" s="12">
        <v>7.0</v>
      </c>
      <c r="Y2" s="12">
        <f t="shared" ref="Y2:Y121" si="1">8-X2</f>
        <v>1</v>
      </c>
      <c r="Z2" s="12" t="s">
        <v>222</v>
      </c>
      <c r="AA2" s="12" t="s">
        <v>206</v>
      </c>
      <c r="AB2" s="12">
        <v>1.0</v>
      </c>
      <c r="AC2" s="12">
        <v>5.0</v>
      </c>
      <c r="AD2" s="12">
        <v>4.0</v>
      </c>
      <c r="AE2" s="12">
        <v>5.0</v>
      </c>
      <c r="AF2" s="12">
        <v>5.0</v>
      </c>
      <c r="AG2" s="12">
        <v>7.0</v>
      </c>
      <c r="AH2" s="12" t="s">
        <v>223</v>
      </c>
      <c r="AI2" s="12" t="s">
        <v>206</v>
      </c>
      <c r="AJ2" s="12">
        <v>1.0</v>
      </c>
      <c r="AK2" s="12">
        <v>7.0</v>
      </c>
      <c r="AL2" s="12">
        <v>4.0</v>
      </c>
      <c r="AM2" s="12">
        <v>1.0</v>
      </c>
      <c r="AN2" s="12">
        <f t="shared" ref="AN2:AN121" si="2">8-AM2</f>
        <v>7</v>
      </c>
      <c r="AO2" s="12">
        <v>1.0</v>
      </c>
      <c r="AP2" s="12">
        <f t="shared" ref="AP2:AP121" si="3">8-AO2</f>
        <v>7</v>
      </c>
      <c r="AQ2" s="12">
        <v>1.0</v>
      </c>
      <c r="AR2" s="12">
        <f t="shared" ref="AR2:AR121" si="4">8-AQ2</f>
        <v>7</v>
      </c>
      <c r="AS2" s="12">
        <v>1.0</v>
      </c>
      <c r="AT2" s="12">
        <f t="shared" ref="AT2:AT121" si="5">8-AS2</f>
        <v>7</v>
      </c>
      <c r="AU2" s="12" t="s">
        <v>224</v>
      </c>
    </row>
    <row r="3">
      <c r="A3" s="14">
        <f>IFERROR(__xludf.DUMMYFUNCTION("IF(E3="""", """", VALUE(REGEXREPLACE(E3, ""^[Pp]"", """")))"),2.0)</f>
        <v>2</v>
      </c>
      <c r="B3" s="14">
        <v>512.0</v>
      </c>
      <c r="C3" s="15">
        <v>45866.27291666667</v>
      </c>
      <c r="D3" s="12" t="s">
        <v>225</v>
      </c>
      <c r="E3" s="12" t="s">
        <v>221</v>
      </c>
      <c r="F3" s="12" t="s">
        <v>216</v>
      </c>
      <c r="G3" s="12" t="str">
        <f>IFERROR(__xludf.DUMMYFUNCTION("IF(SPLIT(F3,""-"")=""HR"",""High"",""Low"")"),"Low")</f>
        <v>Low</v>
      </c>
      <c r="H3" s="12" t="str">
        <f>IFERROR(__xludf.DUMMYFUNCTION("INDEX(SPLIT(F3, ""-""), 2)"),"Web")</f>
        <v>Web</v>
      </c>
      <c r="I3" s="12">
        <v>2.0</v>
      </c>
      <c r="J3" s="12">
        <v>5.0</v>
      </c>
      <c r="K3" s="12">
        <v>1.0</v>
      </c>
      <c r="L3" s="12" t="s">
        <v>199</v>
      </c>
      <c r="M3" s="12">
        <v>7.0</v>
      </c>
      <c r="N3" s="12">
        <v>4.0</v>
      </c>
      <c r="O3" s="12">
        <v>7.0</v>
      </c>
      <c r="P3" s="12">
        <v>1.0</v>
      </c>
      <c r="Q3" s="12">
        <v>1.0</v>
      </c>
      <c r="R3" s="12">
        <v>5.0</v>
      </c>
      <c r="S3" s="12">
        <v>7.0</v>
      </c>
      <c r="T3" s="12">
        <v>1.0</v>
      </c>
      <c r="U3" s="12">
        <v>1.0</v>
      </c>
      <c r="V3" s="12">
        <v>1.0</v>
      </c>
      <c r="W3" s="12">
        <v>4.0</v>
      </c>
      <c r="X3" s="12">
        <v>7.0</v>
      </c>
      <c r="Y3" s="12">
        <f t="shared" si="1"/>
        <v>1</v>
      </c>
      <c r="Z3" s="12" t="s">
        <v>226</v>
      </c>
      <c r="AA3" s="12" t="s">
        <v>206</v>
      </c>
      <c r="AB3" s="12">
        <v>1.0</v>
      </c>
      <c r="AC3" s="12">
        <v>7.0</v>
      </c>
      <c r="AD3" s="12">
        <v>5.0</v>
      </c>
      <c r="AE3" s="12">
        <v>7.0</v>
      </c>
      <c r="AF3" s="12">
        <v>7.0</v>
      </c>
      <c r="AG3" s="12">
        <v>7.0</v>
      </c>
      <c r="AH3" s="12" t="s">
        <v>227</v>
      </c>
      <c r="AI3" s="12" t="s">
        <v>206</v>
      </c>
      <c r="AJ3" s="12">
        <v>5.0</v>
      </c>
      <c r="AK3" s="12">
        <v>1.0</v>
      </c>
      <c r="AL3" s="12">
        <v>5.0</v>
      </c>
      <c r="AM3" s="12">
        <v>7.0</v>
      </c>
      <c r="AN3" s="12">
        <f t="shared" si="2"/>
        <v>1</v>
      </c>
      <c r="AO3" s="12">
        <v>4.0</v>
      </c>
      <c r="AP3" s="12">
        <f t="shared" si="3"/>
        <v>4</v>
      </c>
      <c r="AQ3" s="12">
        <v>5.0</v>
      </c>
      <c r="AR3" s="12">
        <f t="shared" si="4"/>
        <v>3</v>
      </c>
      <c r="AS3" s="12">
        <v>5.0</v>
      </c>
      <c r="AT3" s="12">
        <f t="shared" si="5"/>
        <v>3</v>
      </c>
      <c r="AU3" s="12" t="s">
        <v>228</v>
      </c>
    </row>
    <row r="4">
      <c r="A4" s="14">
        <f>IFERROR(__xludf.DUMMYFUNCTION("IF(E4="""", """", VALUE(REGEXREPLACE(E4, ""^[Pp]"", """")))"),2.0)</f>
        <v>2</v>
      </c>
      <c r="B4" s="14">
        <v>378.0</v>
      </c>
      <c r="C4" s="15">
        <v>45866.28472222222</v>
      </c>
      <c r="D4" s="12" t="s">
        <v>229</v>
      </c>
      <c r="E4" s="12" t="s">
        <v>221</v>
      </c>
      <c r="F4" s="12" t="s">
        <v>197</v>
      </c>
      <c r="G4" s="12" t="str">
        <f>IFERROR(__xludf.DUMMYFUNCTION("IF(SPLIT(F4,""-"")=""HR"",""High"",""Low"")"),"High")</f>
        <v>High</v>
      </c>
      <c r="H4" s="12" t="str">
        <f>IFERROR(__xludf.DUMMYFUNCTION("INDEX(SPLIT(F4, ""-""), 2)"),"VR")</f>
        <v>VR</v>
      </c>
      <c r="I4" s="12">
        <v>3.0</v>
      </c>
      <c r="J4" s="12">
        <v>1.0</v>
      </c>
      <c r="K4" s="12">
        <v>1.0</v>
      </c>
      <c r="L4" s="12" t="s">
        <v>199</v>
      </c>
      <c r="M4" s="12">
        <v>3.0</v>
      </c>
      <c r="N4" s="12">
        <v>4.0</v>
      </c>
      <c r="O4" s="12">
        <v>7.0</v>
      </c>
      <c r="P4" s="12">
        <v>1.0</v>
      </c>
      <c r="Q4" s="12">
        <v>1.0</v>
      </c>
      <c r="R4" s="12">
        <v>7.0</v>
      </c>
      <c r="S4" s="12">
        <v>4.0</v>
      </c>
      <c r="T4" s="12">
        <v>3.0</v>
      </c>
      <c r="U4" s="12">
        <v>1.0</v>
      </c>
      <c r="V4" s="12">
        <v>1.0</v>
      </c>
      <c r="W4" s="12">
        <v>7.0</v>
      </c>
      <c r="X4" s="12">
        <v>7.0</v>
      </c>
      <c r="Y4" s="12">
        <f t="shared" si="1"/>
        <v>1</v>
      </c>
      <c r="Z4" s="16" t="s">
        <v>230</v>
      </c>
      <c r="AA4" s="12" t="s">
        <v>206</v>
      </c>
      <c r="AB4" s="12">
        <v>1.0</v>
      </c>
      <c r="AC4" s="12">
        <v>4.0</v>
      </c>
      <c r="AD4" s="12">
        <v>1.0</v>
      </c>
      <c r="AE4" s="12">
        <v>5.0</v>
      </c>
      <c r="AF4" s="12">
        <v>1.0</v>
      </c>
      <c r="AG4" s="12">
        <v>2.0</v>
      </c>
      <c r="AH4" s="12" t="s">
        <v>231</v>
      </c>
      <c r="AI4" s="12" t="s">
        <v>206</v>
      </c>
      <c r="AJ4" s="12">
        <v>1.0</v>
      </c>
      <c r="AK4" s="12">
        <v>4.0</v>
      </c>
      <c r="AL4" s="12">
        <v>5.0</v>
      </c>
      <c r="AM4" s="12">
        <v>1.0</v>
      </c>
      <c r="AN4" s="12">
        <f t="shared" si="2"/>
        <v>7</v>
      </c>
      <c r="AO4" s="12">
        <v>1.0</v>
      </c>
      <c r="AP4" s="12">
        <f t="shared" si="3"/>
        <v>7</v>
      </c>
      <c r="AQ4" s="12">
        <v>4.0</v>
      </c>
      <c r="AR4" s="12">
        <f t="shared" si="4"/>
        <v>4</v>
      </c>
      <c r="AS4" s="12">
        <v>1.0</v>
      </c>
      <c r="AT4" s="12">
        <f t="shared" si="5"/>
        <v>7</v>
      </c>
      <c r="AU4" s="16" t="s">
        <v>232</v>
      </c>
    </row>
    <row r="5">
      <c r="A5" s="14">
        <f>IFERROR(__xludf.DUMMYFUNCTION("IF(E5="""", """", VALUE(REGEXREPLACE(E5, ""^[Pp]"", """")))"),2.0)</f>
        <v>2</v>
      </c>
      <c r="B5" s="14">
        <v>237.0</v>
      </c>
      <c r="C5" s="15">
        <v>45866.290972222225</v>
      </c>
      <c r="D5" s="12" t="s">
        <v>233</v>
      </c>
      <c r="E5" s="12" t="s">
        <v>221</v>
      </c>
      <c r="F5" s="12" t="s">
        <v>216</v>
      </c>
      <c r="G5" s="12" t="str">
        <f>IFERROR(__xludf.DUMMYFUNCTION("IF(SPLIT(F5,""-"")=""HR"",""High"",""Low"")"),"Low")</f>
        <v>Low</v>
      </c>
      <c r="H5" s="12" t="str">
        <f>IFERROR(__xludf.DUMMYFUNCTION("INDEX(SPLIT(F5, ""-""), 2)"),"Web")</f>
        <v>Web</v>
      </c>
      <c r="I5" s="12">
        <v>4.0</v>
      </c>
      <c r="J5" s="12">
        <v>1.0</v>
      </c>
      <c r="K5" s="12">
        <v>1.0</v>
      </c>
      <c r="L5" s="12" t="s">
        <v>199</v>
      </c>
      <c r="M5" s="12">
        <v>7.0</v>
      </c>
      <c r="N5" s="12">
        <v>1.0</v>
      </c>
      <c r="O5" s="12">
        <v>1.0</v>
      </c>
      <c r="P5" s="12">
        <v>1.0</v>
      </c>
      <c r="Q5" s="12">
        <v>1.0</v>
      </c>
      <c r="R5" s="12">
        <v>7.0</v>
      </c>
      <c r="S5" s="12">
        <v>7.0</v>
      </c>
      <c r="T5" s="12">
        <v>1.0</v>
      </c>
      <c r="U5" s="12">
        <v>1.0</v>
      </c>
      <c r="V5" s="12">
        <v>1.0</v>
      </c>
      <c r="W5" s="12">
        <v>7.0</v>
      </c>
      <c r="X5" s="12">
        <v>7.0</v>
      </c>
      <c r="Y5" s="12">
        <f t="shared" si="1"/>
        <v>1</v>
      </c>
      <c r="Z5" s="12" t="s">
        <v>234</v>
      </c>
      <c r="AA5" s="12" t="s">
        <v>206</v>
      </c>
      <c r="AB5" s="12">
        <v>1.0</v>
      </c>
      <c r="AC5" s="12">
        <v>7.0</v>
      </c>
      <c r="AD5" s="12">
        <v>1.0</v>
      </c>
      <c r="AE5" s="12">
        <v>1.0</v>
      </c>
      <c r="AF5" s="12">
        <v>1.0</v>
      </c>
      <c r="AG5" s="12">
        <v>2.0</v>
      </c>
      <c r="AH5" s="12" t="s">
        <v>235</v>
      </c>
      <c r="AI5" s="12" t="s">
        <v>206</v>
      </c>
      <c r="AJ5" s="12">
        <v>1.0</v>
      </c>
      <c r="AK5" s="12">
        <v>1.0</v>
      </c>
      <c r="AL5" s="12">
        <v>1.0</v>
      </c>
      <c r="AM5" s="12">
        <v>4.0</v>
      </c>
      <c r="AN5" s="12">
        <f t="shared" si="2"/>
        <v>4</v>
      </c>
      <c r="AO5" s="12">
        <v>4.0</v>
      </c>
      <c r="AP5" s="12">
        <f t="shared" si="3"/>
        <v>4</v>
      </c>
      <c r="AQ5" s="12">
        <v>4.0</v>
      </c>
      <c r="AR5" s="12">
        <f t="shared" si="4"/>
        <v>4</v>
      </c>
      <c r="AS5" s="12">
        <v>4.0</v>
      </c>
      <c r="AT5" s="12">
        <f t="shared" si="5"/>
        <v>4</v>
      </c>
      <c r="AU5" s="12" t="s">
        <v>236</v>
      </c>
    </row>
    <row r="6">
      <c r="A6" s="14">
        <f>IFERROR(__xludf.DUMMYFUNCTION("IF(E6="""", """", VALUE(REGEXREPLACE(E6, ""^[Pp]"", """")))"),3.0)</f>
        <v>3</v>
      </c>
      <c r="B6" s="14">
        <v>822.0</v>
      </c>
      <c r="C6" s="15">
        <v>45866.3125</v>
      </c>
      <c r="D6" s="12" t="s">
        <v>243</v>
      </c>
      <c r="E6" s="12" t="s">
        <v>244</v>
      </c>
      <c r="F6" s="12" t="s">
        <v>197</v>
      </c>
      <c r="G6" s="12" t="str">
        <f>IFERROR(__xludf.DUMMYFUNCTION("IF(SPLIT(F6,""-"")=""HR"",""High"",""Low"")"),"High")</f>
        <v>High</v>
      </c>
      <c r="H6" s="12" t="str">
        <f>IFERROR(__xludf.DUMMYFUNCTION("INDEX(SPLIT(F6, ""-""), 2)"),"VR")</f>
        <v>VR</v>
      </c>
      <c r="I6" s="12">
        <v>1.0</v>
      </c>
      <c r="J6" s="12">
        <v>2.0</v>
      </c>
      <c r="K6" s="12">
        <v>2.0</v>
      </c>
      <c r="L6" s="12" t="s">
        <v>199</v>
      </c>
      <c r="M6" s="12">
        <v>7.0</v>
      </c>
      <c r="N6" s="12">
        <v>3.0</v>
      </c>
      <c r="O6" s="12">
        <v>5.0</v>
      </c>
      <c r="P6" s="12">
        <v>3.0</v>
      </c>
      <c r="Q6" s="12">
        <v>1.0</v>
      </c>
      <c r="R6" s="12">
        <v>5.0</v>
      </c>
      <c r="S6" s="12">
        <v>6.0</v>
      </c>
      <c r="T6" s="12">
        <v>6.0</v>
      </c>
      <c r="U6" s="12">
        <v>1.0</v>
      </c>
      <c r="V6" s="12">
        <v>4.0</v>
      </c>
      <c r="W6" s="12">
        <v>7.0</v>
      </c>
      <c r="X6" s="12">
        <v>7.0</v>
      </c>
      <c r="Y6" s="12">
        <f t="shared" si="1"/>
        <v>1</v>
      </c>
      <c r="Z6" s="12" t="s">
        <v>245</v>
      </c>
      <c r="AA6" s="12" t="s">
        <v>206</v>
      </c>
      <c r="AB6" s="12">
        <v>5.0</v>
      </c>
      <c r="AC6" s="12">
        <v>6.0</v>
      </c>
      <c r="AD6" s="12">
        <v>6.0</v>
      </c>
      <c r="AE6" s="12">
        <v>5.0</v>
      </c>
      <c r="AF6" s="12">
        <v>5.0</v>
      </c>
      <c r="AG6" s="12">
        <v>4.0</v>
      </c>
      <c r="AH6" s="12" t="s">
        <v>246</v>
      </c>
      <c r="AI6" s="12" t="s">
        <v>206</v>
      </c>
      <c r="AJ6" s="12">
        <v>5.0</v>
      </c>
      <c r="AK6" s="12">
        <v>3.0</v>
      </c>
      <c r="AL6" s="12">
        <v>6.0</v>
      </c>
      <c r="AM6" s="12">
        <v>2.0</v>
      </c>
      <c r="AN6" s="12">
        <f t="shared" si="2"/>
        <v>6</v>
      </c>
      <c r="AO6" s="12">
        <v>1.0</v>
      </c>
      <c r="AP6" s="12">
        <f t="shared" si="3"/>
        <v>7</v>
      </c>
      <c r="AQ6" s="12">
        <v>5.0</v>
      </c>
      <c r="AR6" s="12">
        <f t="shared" si="4"/>
        <v>3</v>
      </c>
      <c r="AS6" s="12">
        <v>5.0</v>
      </c>
      <c r="AT6" s="12">
        <f t="shared" si="5"/>
        <v>3</v>
      </c>
      <c r="AU6" s="12" t="s">
        <v>247</v>
      </c>
    </row>
    <row r="7">
      <c r="A7" s="14">
        <f>IFERROR(__xludf.DUMMYFUNCTION("IF(E7="""", """", VALUE(REGEXREPLACE(E7, ""^[Pp]"", """")))"),3.0)</f>
        <v>3</v>
      </c>
      <c r="B7" s="14">
        <v>1106.0</v>
      </c>
      <c r="C7" s="15">
        <v>45866.32777777778</v>
      </c>
      <c r="D7" s="12" t="s">
        <v>248</v>
      </c>
      <c r="E7" s="12" t="s">
        <v>244</v>
      </c>
      <c r="F7" s="12" t="s">
        <v>211</v>
      </c>
      <c r="G7" s="12" t="str">
        <f>IFERROR(__xludf.DUMMYFUNCTION("IF(SPLIT(F7,""-"")=""HR"",""High"",""Low"")"),"High")</f>
        <v>High</v>
      </c>
      <c r="H7" s="12" t="str">
        <f>IFERROR(__xludf.DUMMYFUNCTION("INDEX(SPLIT(F7, ""-""), 2)"),"Web")</f>
        <v>Web</v>
      </c>
      <c r="I7" s="12">
        <v>2.0</v>
      </c>
      <c r="J7" s="12">
        <v>3.0</v>
      </c>
      <c r="K7" s="12">
        <v>1.0</v>
      </c>
      <c r="L7" s="12" t="s">
        <v>199</v>
      </c>
      <c r="M7" s="12">
        <v>5.0</v>
      </c>
      <c r="N7" s="12">
        <v>2.0</v>
      </c>
      <c r="O7" s="12">
        <v>1.0</v>
      </c>
      <c r="P7" s="12">
        <v>3.0</v>
      </c>
      <c r="Q7" s="12">
        <v>1.0</v>
      </c>
      <c r="R7" s="12">
        <v>5.0</v>
      </c>
      <c r="S7" s="12">
        <v>6.0</v>
      </c>
      <c r="T7" s="12">
        <v>2.0</v>
      </c>
      <c r="U7" s="12">
        <v>1.0</v>
      </c>
      <c r="V7" s="12">
        <v>2.0</v>
      </c>
      <c r="W7" s="12">
        <v>5.0</v>
      </c>
      <c r="X7" s="12">
        <v>7.0</v>
      </c>
      <c r="Y7" s="12">
        <f t="shared" si="1"/>
        <v>1</v>
      </c>
      <c r="Z7" s="12" t="s">
        <v>249</v>
      </c>
      <c r="AA7" s="12" t="s">
        <v>206</v>
      </c>
      <c r="AB7" s="12">
        <v>6.0</v>
      </c>
      <c r="AC7" s="12">
        <v>6.0</v>
      </c>
      <c r="AD7" s="12">
        <v>6.0</v>
      </c>
      <c r="AE7" s="12">
        <v>5.0</v>
      </c>
      <c r="AF7" s="12">
        <v>3.0</v>
      </c>
      <c r="AG7" s="12">
        <v>4.0</v>
      </c>
      <c r="AH7" s="12" t="s">
        <v>250</v>
      </c>
      <c r="AI7" s="12" t="s">
        <v>206</v>
      </c>
      <c r="AJ7" s="12">
        <v>6.0</v>
      </c>
      <c r="AK7" s="12">
        <v>6.0</v>
      </c>
      <c r="AL7" s="12">
        <v>2.0</v>
      </c>
      <c r="AM7" s="12">
        <v>1.0</v>
      </c>
      <c r="AN7" s="12">
        <f t="shared" si="2"/>
        <v>7</v>
      </c>
      <c r="AO7" s="12">
        <v>1.0</v>
      </c>
      <c r="AP7" s="12">
        <f t="shared" si="3"/>
        <v>7</v>
      </c>
      <c r="AQ7" s="12">
        <v>1.0</v>
      </c>
      <c r="AR7" s="12">
        <f t="shared" si="4"/>
        <v>7</v>
      </c>
      <c r="AS7" s="12">
        <v>1.0</v>
      </c>
      <c r="AT7" s="12">
        <f t="shared" si="5"/>
        <v>7</v>
      </c>
      <c r="AU7" s="12" t="s">
        <v>251</v>
      </c>
    </row>
    <row r="8">
      <c r="A8" s="14">
        <f>IFERROR(__xludf.DUMMYFUNCTION("IF(E8="""", """", VALUE(REGEXREPLACE(E8, ""^[Pp]"", """")))"),3.0)</f>
        <v>3</v>
      </c>
      <c r="B8" s="14">
        <v>794.0</v>
      </c>
      <c r="C8" s="15">
        <v>45869.0625</v>
      </c>
      <c r="D8" s="12" t="s">
        <v>552</v>
      </c>
      <c r="E8" s="12" t="s">
        <v>244</v>
      </c>
      <c r="F8" s="12" t="s">
        <v>197</v>
      </c>
      <c r="G8" s="12" t="str">
        <f>IFERROR(__xludf.DUMMYFUNCTION("IF(SPLIT(F8,""-"")=""HR"",""High"",""Low"")"),"High")</f>
        <v>High</v>
      </c>
      <c r="H8" s="12" t="str">
        <f>IFERROR(__xludf.DUMMYFUNCTION("INDEX(SPLIT(F8, ""-""), 2)"),"VR")</f>
        <v>VR</v>
      </c>
      <c r="I8" s="12">
        <v>3.0</v>
      </c>
      <c r="J8" s="12">
        <v>5.0</v>
      </c>
      <c r="K8" s="12">
        <v>2.0</v>
      </c>
      <c r="L8" s="12" t="s">
        <v>199</v>
      </c>
      <c r="M8" s="12">
        <v>6.0</v>
      </c>
      <c r="N8" s="12">
        <v>1.0</v>
      </c>
      <c r="O8" s="12">
        <v>7.0</v>
      </c>
      <c r="P8" s="12">
        <v>1.0</v>
      </c>
      <c r="Q8" s="12">
        <v>2.0</v>
      </c>
      <c r="R8" s="12">
        <v>5.0</v>
      </c>
      <c r="S8" s="12">
        <v>5.0</v>
      </c>
      <c r="T8" s="12">
        <v>2.0</v>
      </c>
      <c r="U8" s="12">
        <v>1.0</v>
      </c>
      <c r="V8" s="12">
        <v>5.0</v>
      </c>
      <c r="W8" s="12">
        <v>4.0</v>
      </c>
      <c r="X8" s="12">
        <v>7.0</v>
      </c>
      <c r="Y8" s="12">
        <f t="shared" si="1"/>
        <v>1</v>
      </c>
      <c r="Z8" s="12" t="s">
        <v>553</v>
      </c>
      <c r="AA8" s="12" t="s">
        <v>206</v>
      </c>
      <c r="AB8" s="12">
        <v>6.0</v>
      </c>
      <c r="AC8" s="12">
        <v>6.0</v>
      </c>
      <c r="AD8" s="12">
        <v>7.0</v>
      </c>
      <c r="AE8" s="12">
        <v>7.0</v>
      </c>
      <c r="AF8" s="12">
        <v>5.0</v>
      </c>
      <c r="AG8" s="12">
        <v>6.0</v>
      </c>
      <c r="AH8" s="12" t="s">
        <v>554</v>
      </c>
      <c r="AI8" s="12" t="s">
        <v>206</v>
      </c>
      <c r="AJ8" s="12">
        <v>7.0</v>
      </c>
      <c r="AK8" s="12">
        <v>6.0</v>
      </c>
      <c r="AL8" s="12">
        <v>7.0</v>
      </c>
      <c r="AM8" s="12">
        <v>1.0</v>
      </c>
      <c r="AN8" s="12">
        <f t="shared" si="2"/>
        <v>7</v>
      </c>
      <c r="AO8" s="12">
        <v>1.0</v>
      </c>
      <c r="AP8" s="12">
        <f t="shared" si="3"/>
        <v>7</v>
      </c>
      <c r="AQ8" s="12">
        <v>5.0</v>
      </c>
      <c r="AR8" s="12">
        <f t="shared" si="4"/>
        <v>3</v>
      </c>
      <c r="AS8" s="12">
        <v>1.0</v>
      </c>
      <c r="AT8" s="12">
        <f t="shared" si="5"/>
        <v>7</v>
      </c>
      <c r="AU8" s="12" t="s">
        <v>555</v>
      </c>
    </row>
    <row r="9">
      <c r="A9" s="14">
        <f>IFERROR(__xludf.DUMMYFUNCTION("IF(E9="""", """", VALUE(REGEXREPLACE(E9, ""^[Pp]"", """")))"),3.0)</f>
        <v>3</v>
      </c>
      <c r="B9" s="14">
        <v>1145.0</v>
      </c>
      <c r="C9" s="15">
        <v>45869.07986111111</v>
      </c>
      <c r="D9" s="12" t="s">
        <v>564</v>
      </c>
      <c r="E9" s="12" t="s">
        <v>244</v>
      </c>
      <c r="F9" s="12" t="s">
        <v>211</v>
      </c>
      <c r="G9" s="12" t="str">
        <f>IFERROR(__xludf.DUMMYFUNCTION("IF(SPLIT(F9,""-"")=""HR"",""High"",""Low"")"),"High")</f>
        <v>High</v>
      </c>
      <c r="H9" s="12" t="str">
        <f>IFERROR(__xludf.DUMMYFUNCTION("INDEX(SPLIT(F9, ""-""), 2)"),"Web")</f>
        <v>Web</v>
      </c>
      <c r="I9" s="12">
        <v>4.0</v>
      </c>
      <c r="J9" s="12">
        <v>4.0</v>
      </c>
      <c r="K9" s="12">
        <v>2.0</v>
      </c>
      <c r="L9" s="12" t="s">
        <v>199</v>
      </c>
      <c r="M9" s="12">
        <v>6.0</v>
      </c>
      <c r="N9" s="12">
        <v>2.0</v>
      </c>
      <c r="O9" s="12">
        <v>2.0</v>
      </c>
      <c r="P9" s="12">
        <v>2.0</v>
      </c>
      <c r="Q9" s="12">
        <v>1.0</v>
      </c>
      <c r="R9" s="12">
        <v>2.0</v>
      </c>
      <c r="S9" s="12">
        <v>2.0</v>
      </c>
      <c r="T9" s="12">
        <v>3.0</v>
      </c>
      <c r="U9" s="12">
        <v>1.0</v>
      </c>
      <c r="V9" s="12">
        <v>2.0</v>
      </c>
      <c r="W9" s="12">
        <v>2.0</v>
      </c>
      <c r="X9" s="12">
        <v>7.0</v>
      </c>
      <c r="Y9" s="12">
        <f t="shared" si="1"/>
        <v>1</v>
      </c>
      <c r="Z9" s="12" t="s">
        <v>565</v>
      </c>
      <c r="AA9" s="12" t="s">
        <v>206</v>
      </c>
      <c r="AB9" s="12">
        <v>5.0</v>
      </c>
      <c r="AC9" s="12">
        <v>2.0</v>
      </c>
      <c r="AD9" s="12">
        <v>2.0</v>
      </c>
      <c r="AE9" s="12">
        <v>2.0</v>
      </c>
      <c r="AF9" s="12">
        <v>2.0</v>
      </c>
      <c r="AG9" s="12">
        <v>4.0</v>
      </c>
      <c r="AH9" s="12" t="s">
        <v>566</v>
      </c>
      <c r="AI9" s="12" t="s">
        <v>206</v>
      </c>
      <c r="AJ9" s="12">
        <v>6.0</v>
      </c>
      <c r="AK9" s="12">
        <v>6.0</v>
      </c>
      <c r="AL9" s="12">
        <v>1.0</v>
      </c>
      <c r="AM9" s="12">
        <v>1.0</v>
      </c>
      <c r="AN9" s="12">
        <f t="shared" si="2"/>
        <v>7</v>
      </c>
      <c r="AO9" s="12">
        <v>1.0</v>
      </c>
      <c r="AP9" s="12">
        <f t="shared" si="3"/>
        <v>7</v>
      </c>
      <c r="AQ9" s="12">
        <v>1.0</v>
      </c>
      <c r="AR9" s="12">
        <f t="shared" si="4"/>
        <v>7</v>
      </c>
      <c r="AS9" s="12">
        <v>1.0</v>
      </c>
      <c r="AT9" s="12">
        <f t="shared" si="5"/>
        <v>7</v>
      </c>
      <c r="AU9" s="12" t="s">
        <v>567</v>
      </c>
    </row>
    <row r="10">
      <c r="A10" s="14">
        <f>IFERROR(__xludf.DUMMYFUNCTION("IF(E10="""", """", VALUE(REGEXREPLACE(E10, ""^[Pp]"", """")))"),4.0)</f>
        <v>4</v>
      </c>
      <c r="B10" s="14">
        <v>1957.0</v>
      </c>
      <c r="C10" s="15">
        <v>45866.3125</v>
      </c>
      <c r="D10" s="12" t="s">
        <v>238</v>
      </c>
      <c r="E10" s="12" t="s">
        <v>239</v>
      </c>
      <c r="F10" s="12" t="s">
        <v>216</v>
      </c>
      <c r="G10" s="12" t="str">
        <f>IFERROR(__xludf.DUMMYFUNCTION("IF(SPLIT(F10,""-"")=""HR"",""High"",""Low"")"),"Low")</f>
        <v>Low</v>
      </c>
      <c r="H10" s="12" t="str">
        <f>IFERROR(__xludf.DUMMYFUNCTION("INDEX(SPLIT(F10, ""-""), 2)"),"Web")</f>
        <v>Web</v>
      </c>
      <c r="I10" s="12">
        <v>1.0</v>
      </c>
      <c r="J10" s="12">
        <v>6.0</v>
      </c>
      <c r="K10" s="12">
        <v>5.0</v>
      </c>
      <c r="L10" s="12" t="s">
        <v>199</v>
      </c>
      <c r="M10" s="12">
        <v>7.0</v>
      </c>
      <c r="N10" s="12">
        <v>5.0</v>
      </c>
      <c r="O10" s="12">
        <v>7.0</v>
      </c>
      <c r="P10" s="12">
        <v>3.0</v>
      </c>
      <c r="Q10" s="12">
        <v>3.0</v>
      </c>
      <c r="R10" s="12">
        <v>5.0</v>
      </c>
      <c r="S10" s="12">
        <v>5.0</v>
      </c>
      <c r="T10" s="12">
        <v>7.0</v>
      </c>
      <c r="U10" s="12">
        <v>3.0</v>
      </c>
      <c r="V10" s="12">
        <v>7.0</v>
      </c>
      <c r="W10" s="12">
        <v>6.0</v>
      </c>
      <c r="X10" s="12">
        <v>3.0</v>
      </c>
      <c r="Y10" s="12">
        <f t="shared" si="1"/>
        <v>5</v>
      </c>
      <c r="Z10" s="12" t="s">
        <v>240</v>
      </c>
      <c r="AA10" s="12" t="s">
        <v>206</v>
      </c>
      <c r="AB10" s="12">
        <v>5.0</v>
      </c>
      <c r="AC10" s="12">
        <v>7.0</v>
      </c>
      <c r="AD10" s="12">
        <v>7.0</v>
      </c>
      <c r="AE10" s="12">
        <v>5.0</v>
      </c>
      <c r="AF10" s="12">
        <v>7.0</v>
      </c>
      <c r="AG10" s="12">
        <v>7.0</v>
      </c>
      <c r="AH10" s="12" t="s">
        <v>241</v>
      </c>
      <c r="AI10" s="12" t="s">
        <v>206</v>
      </c>
      <c r="AJ10" s="12">
        <v>6.0</v>
      </c>
      <c r="AK10" s="12">
        <v>7.0</v>
      </c>
      <c r="AL10" s="12">
        <v>7.0</v>
      </c>
      <c r="AM10" s="12">
        <v>1.0</v>
      </c>
      <c r="AN10" s="12">
        <f t="shared" si="2"/>
        <v>7</v>
      </c>
      <c r="AO10" s="12">
        <v>1.0</v>
      </c>
      <c r="AP10" s="12">
        <f t="shared" si="3"/>
        <v>7</v>
      </c>
      <c r="AQ10" s="12">
        <v>1.0</v>
      </c>
      <c r="AR10" s="12">
        <f t="shared" si="4"/>
        <v>7</v>
      </c>
      <c r="AS10" s="12">
        <v>1.0</v>
      </c>
      <c r="AT10" s="12">
        <f t="shared" si="5"/>
        <v>7</v>
      </c>
      <c r="AU10" s="12" t="s">
        <v>242</v>
      </c>
    </row>
    <row r="11">
      <c r="A11" s="14">
        <f>IFERROR(__xludf.DUMMYFUNCTION("IF(E11="""", """", VALUE(REGEXREPLACE(E11, ""^[Pp]"", """")))"),4.0)</f>
        <v>4</v>
      </c>
      <c r="B11" s="14">
        <v>1376.0</v>
      </c>
      <c r="C11" s="15">
        <v>45866.32847222222</v>
      </c>
      <c r="D11" s="12" t="s">
        <v>252</v>
      </c>
      <c r="E11" s="12" t="s">
        <v>239</v>
      </c>
      <c r="F11" s="12" t="s">
        <v>211</v>
      </c>
      <c r="G11" s="12" t="str">
        <f>IFERROR(__xludf.DUMMYFUNCTION("IF(SPLIT(F11,""-"")=""HR"",""High"",""Low"")"),"High")</f>
        <v>High</v>
      </c>
      <c r="H11" s="12" t="str">
        <f>IFERROR(__xludf.DUMMYFUNCTION("INDEX(SPLIT(F11, ""-""), 2)"),"Web")</f>
        <v>Web</v>
      </c>
      <c r="I11" s="12">
        <v>2.0</v>
      </c>
      <c r="J11" s="12">
        <v>7.0</v>
      </c>
      <c r="K11" s="12">
        <v>7.0</v>
      </c>
      <c r="L11" s="12" t="s">
        <v>199</v>
      </c>
      <c r="M11" s="12">
        <v>5.0</v>
      </c>
      <c r="N11" s="12">
        <v>5.0</v>
      </c>
      <c r="O11" s="12">
        <v>7.0</v>
      </c>
      <c r="P11" s="12">
        <v>4.0</v>
      </c>
      <c r="Q11" s="12">
        <v>4.0</v>
      </c>
      <c r="R11" s="12">
        <v>7.0</v>
      </c>
      <c r="S11" s="12">
        <v>7.0</v>
      </c>
      <c r="T11" s="12">
        <v>7.0</v>
      </c>
      <c r="U11" s="12">
        <v>4.0</v>
      </c>
      <c r="V11" s="12">
        <v>6.0</v>
      </c>
      <c r="W11" s="12">
        <v>7.0</v>
      </c>
      <c r="X11" s="12">
        <v>4.0</v>
      </c>
      <c r="Y11" s="12">
        <f t="shared" si="1"/>
        <v>4</v>
      </c>
      <c r="Z11" s="12" t="s">
        <v>253</v>
      </c>
      <c r="AA11" s="12" t="s">
        <v>206</v>
      </c>
      <c r="AB11" s="12">
        <v>5.0</v>
      </c>
      <c r="AC11" s="12">
        <v>7.0</v>
      </c>
      <c r="AD11" s="12">
        <v>6.0</v>
      </c>
      <c r="AE11" s="12">
        <v>6.0</v>
      </c>
      <c r="AF11" s="12">
        <v>6.0</v>
      </c>
      <c r="AG11" s="12">
        <v>6.0</v>
      </c>
      <c r="AH11" s="12" t="s">
        <v>254</v>
      </c>
      <c r="AI11" s="12" t="s">
        <v>206</v>
      </c>
      <c r="AJ11" s="12">
        <v>5.0</v>
      </c>
      <c r="AK11" s="12">
        <v>5.0</v>
      </c>
      <c r="AL11" s="12">
        <v>7.0</v>
      </c>
      <c r="AM11" s="12">
        <v>5.0</v>
      </c>
      <c r="AN11" s="12">
        <f t="shared" si="2"/>
        <v>3</v>
      </c>
      <c r="AO11" s="12">
        <v>1.0</v>
      </c>
      <c r="AP11" s="12">
        <f t="shared" si="3"/>
        <v>7</v>
      </c>
      <c r="AQ11" s="12">
        <v>5.0</v>
      </c>
      <c r="AR11" s="12">
        <f t="shared" si="4"/>
        <v>3</v>
      </c>
      <c r="AS11" s="12">
        <v>5.0</v>
      </c>
      <c r="AT11" s="12">
        <f t="shared" si="5"/>
        <v>3</v>
      </c>
      <c r="AU11" s="12" t="s">
        <v>255</v>
      </c>
    </row>
    <row r="12">
      <c r="A12" s="14">
        <f>IFERROR(__xludf.DUMMYFUNCTION("IF(E12="""", """", VALUE(REGEXREPLACE(E12, ""^[Pp]"", """")))"),4.0)</f>
        <v>4</v>
      </c>
      <c r="B12" s="14">
        <v>859.0</v>
      </c>
      <c r="C12" s="15">
        <v>45867.027083333334</v>
      </c>
      <c r="D12" s="12" t="s">
        <v>262</v>
      </c>
      <c r="E12" s="12" t="s">
        <v>239</v>
      </c>
      <c r="F12" s="12" t="s">
        <v>263</v>
      </c>
      <c r="G12" s="12" t="str">
        <f>IFERROR(__xludf.DUMMYFUNCTION("IF(SPLIT(F12,""-"")=""HR"",""High"",""Low"")"),"Low")</f>
        <v>Low</v>
      </c>
      <c r="H12" s="12" t="str">
        <f>IFERROR(__xludf.DUMMYFUNCTION("INDEX(SPLIT(F12, ""-""), 2)"),"VR")</f>
        <v>VR</v>
      </c>
      <c r="I12" s="12">
        <v>3.0</v>
      </c>
      <c r="J12" s="12">
        <v>6.0</v>
      </c>
      <c r="K12" s="12">
        <v>5.0</v>
      </c>
      <c r="L12" s="12" t="s">
        <v>199</v>
      </c>
      <c r="M12" s="12">
        <v>4.0</v>
      </c>
      <c r="N12" s="12">
        <v>5.0</v>
      </c>
      <c r="O12" s="12">
        <v>7.0</v>
      </c>
      <c r="P12" s="12">
        <v>3.0</v>
      </c>
      <c r="Q12" s="12">
        <v>4.0</v>
      </c>
      <c r="R12" s="12">
        <v>6.0</v>
      </c>
      <c r="S12" s="12">
        <v>7.0</v>
      </c>
      <c r="T12" s="12">
        <v>7.0</v>
      </c>
      <c r="U12" s="12">
        <v>5.0</v>
      </c>
      <c r="V12" s="12">
        <v>7.0</v>
      </c>
      <c r="W12" s="12">
        <v>7.0</v>
      </c>
      <c r="X12" s="12">
        <v>4.0</v>
      </c>
      <c r="Y12" s="12">
        <f t="shared" si="1"/>
        <v>4</v>
      </c>
      <c r="Z12" s="12" t="s">
        <v>264</v>
      </c>
      <c r="AA12" s="12" t="s">
        <v>206</v>
      </c>
      <c r="AB12" s="12">
        <v>5.0</v>
      </c>
      <c r="AC12" s="12">
        <v>6.0</v>
      </c>
      <c r="AD12" s="12">
        <v>5.0</v>
      </c>
      <c r="AE12" s="12">
        <v>6.0</v>
      </c>
      <c r="AF12" s="12">
        <v>6.0</v>
      </c>
      <c r="AG12" s="12">
        <v>7.0</v>
      </c>
      <c r="AH12" s="12" t="s">
        <v>265</v>
      </c>
      <c r="AI12" s="12" t="s">
        <v>206</v>
      </c>
      <c r="AJ12" s="12">
        <v>6.0</v>
      </c>
      <c r="AK12" s="12">
        <v>7.0</v>
      </c>
      <c r="AL12" s="12">
        <v>7.0</v>
      </c>
      <c r="AM12" s="12">
        <v>2.0</v>
      </c>
      <c r="AN12" s="12">
        <f t="shared" si="2"/>
        <v>6</v>
      </c>
      <c r="AO12" s="12">
        <v>1.0</v>
      </c>
      <c r="AP12" s="12">
        <f t="shared" si="3"/>
        <v>7</v>
      </c>
      <c r="AQ12" s="12">
        <v>1.0</v>
      </c>
      <c r="AR12" s="12">
        <f t="shared" si="4"/>
        <v>7</v>
      </c>
      <c r="AS12" s="12">
        <v>1.0</v>
      </c>
      <c r="AT12" s="12">
        <f t="shared" si="5"/>
        <v>7</v>
      </c>
      <c r="AU12" s="12" t="s">
        <v>266</v>
      </c>
    </row>
    <row r="13">
      <c r="A13" s="14">
        <f>IFERROR(__xludf.DUMMYFUNCTION("IF(E13="""", """", VALUE(REGEXREPLACE(E13, ""^[Pp]"", """")))"),4.0)</f>
        <v>4</v>
      </c>
      <c r="B13" s="14">
        <v>821.0</v>
      </c>
      <c r="C13" s="15">
        <v>45867.04583333333</v>
      </c>
      <c r="D13" s="12" t="s">
        <v>267</v>
      </c>
      <c r="E13" s="12" t="s">
        <v>239</v>
      </c>
      <c r="F13" s="12" t="s">
        <v>211</v>
      </c>
      <c r="G13" s="12" t="str">
        <f>IFERROR(__xludf.DUMMYFUNCTION("IF(SPLIT(F13,""-"")=""HR"",""High"",""Low"")"),"High")</f>
        <v>High</v>
      </c>
      <c r="H13" s="12" t="str">
        <f>IFERROR(__xludf.DUMMYFUNCTION("INDEX(SPLIT(F13, ""-""), 2)"),"Web")</f>
        <v>Web</v>
      </c>
      <c r="I13" s="12">
        <v>4.0</v>
      </c>
      <c r="J13" s="12">
        <v>6.0</v>
      </c>
      <c r="K13" s="12">
        <v>3.0</v>
      </c>
      <c r="L13" s="12" t="s">
        <v>199</v>
      </c>
      <c r="M13" s="12">
        <v>6.0</v>
      </c>
      <c r="N13" s="12">
        <v>7.0</v>
      </c>
      <c r="O13" s="12">
        <v>6.0</v>
      </c>
      <c r="P13" s="12">
        <v>4.0</v>
      </c>
      <c r="Q13" s="12">
        <v>3.0</v>
      </c>
      <c r="R13" s="12">
        <v>7.0</v>
      </c>
      <c r="S13" s="12">
        <v>6.0</v>
      </c>
      <c r="T13" s="12">
        <v>3.0</v>
      </c>
      <c r="U13" s="12">
        <v>4.0</v>
      </c>
      <c r="V13" s="12">
        <v>7.0</v>
      </c>
      <c r="W13" s="12">
        <v>6.0</v>
      </c>
      <c r="X13" s="12">
        <v>4.0</v>
      </c>
      <c r="Y13" s="12">
        <f t="shared" si="1"/>
        <v>4</v>
      </c>
      <c r="Z13" s="12" t="s">
        <v>268</v>
      </c>
      <c r="AA13" s="12" t="s">
        <v>206</v>
      </c>
      <c r="AB13" s="12">
        <v>4.0</v>
      </c>
      <c r="AC13" s="12">
        <v>5.0</v>
      </c>
      <c r="AD13" s="12">
        <v>4.0</v>
      </c>
      <c r="AE13" s="12">
        <v>3.0</v>
      </c>
      <c r="AF13" s="12">
        <v>4.0</v>
      </c>
      <c r="AG13" s="12">
        <v>3.0</v>
      </c>
      <c r="AH13" s="12" t="s">
        <v>269</v>
      </c>
      <c r="AI13" s="12" t="s">
        <v>206</v>
      </c>
      <c r="AJ13" s="12">
        <v>4.0</v>
      </c>
      <c r="AK13" s="12">
        <v>3.0</v>
      </c>
      <c r="AL13" s="12">
        <v>5.0</v>
      </c>
      <c r="AM13" s="12">
        <v>2.0</v>
      </c>
      <c r="AN13" s="12">
        <f t="shared" si="2"/>
        <v>6</v>
      </c>
      <c r="AO13" s="12">
        <v>2.0</v>
      </c>
      <c r="AP13" s="12">
        <f t="shared" si="3"/>
        <v>6</v>
      </c>
      <c r="AQ13" s="12">
        <v>6.0</v>
      </c>
      <c r="AR13" s="12">
        <f t="shared" si="4"/>
        <v>2</v>
      </c>
      <c r="AS13" s="12">
        <v>2.0</v>
      </c>
      <c r="AT13" s="12">
        <f t="shared" si="5"/>
        <v>6</v>
      </c>
      <c r="AU13" s="12" t="s">
        <v>270</v>
      </c>
    </row>
    <row r="14">
      <c r="A14" s="14">
        <f>IFERROR(__xludf.DUMMYFUNCTION("IF(E14="""", """", VALUE(REGEXREPLACE(E14, ""^[Pp]"", """")))"),5.0)</f>
        <v>5</v>
      </c>
      <c r="B14" s="14">
        <v>1118.0</v>
      </c>
      <c r="C14" s="15">
        <v>45869.02847222222</v>
      </c>
      <c r="D14" s="12" t="s">
        <v>535</v>
      </c>
      <c r="E14" s="12" t="s">
        <v>536</v>
      </c>
      <c r="F14" s="12" t="s">
        <v>197</v>
      </c>
      <c r="G14" s="12" t="str">
        <f>IFERROR(__xludf.DUMMYFUNCTION("IF(SPLIT(F14,""-"")=""HR"",""High"",""Low"")"),"High")</f>
        <v>High</v>
      </c>
      <c r="H14" s="12" t="str">
        <f>IFERROR(__xludf.DUMMYFUNCTION("INDEX(SPLIT(F14, ""-""), 2)"),"VR")</f>
        <v>VR</v>
      </c>
      <c r="I14" s="12">
        <v>1.0</v>
      </c>
      <c r="J14" s="12">
        <v>5.0</v>
      </c>
      <c r="K14" s="12">
        <v>3.0</v>
      </c>
      <c r="L14" s="12" t="s">
        <v>199</v>
      </c>
      <c r="M14" s="12">
        <v>7.0</v>
      </c>
      <c r="N14" s="12">
        <v>7.0</v>
      </c>
      <c r="O14" s="12">
        <v>5.0</v>
      </c>
      <c r="P14" s="12">
        <v>5.0</v>
      </c>
      <c r="Q14" s="12">
        <v>6.0</v>
      </c>
      <c r="R14" s="12">
        <v>6.0</v>
      </c>
      <c r="S14" s="12">
        <v>7.0</v>
      </c>
      <c r="T14" s="12">
        <v>7.0</v>
      </c>
      <c r="U14" s="12">
        <v>6.0</v>
      </c>
      <c r="V14" s="12">
        <v>2.0</v>
      </c>
      <c r="W14" s="12">
        <v>7.0</v>
      </c>
      <c r="X14" s="12">
        <v>6.0</v>
      </c>
      <c r="Y14" s="12">
        <f t="shared" si="1"/>
        <v>2</v>
      </c>
      <c r="Z14" s="12" t="s">
        <v>537</v>
      </c>
      <c r="AA14" s="12" t="s">
        <v>206</v>
      </c>
      <c r="AB14" s="12">
        <v>4.0</v>
      </c>
      <c r="AC14" s="12">
        <v>7.0</v>
      </c>
      <c r="AD14" s="12">
        <v>7.0</v>
      </c>
      <c r="AE14" s="12">
        <v>3.0</v>
      </c>
      <c r="AF14" s="12">
        <v>5.0</v>
      </c>
      <c r="AG14" s="12">
        <v>4.0</v>
      </c>
      <c r="AH14" s="12" t="s">
        <v>538</v>
      </c>
      <c r="AJ14" s="12">
        <v>7.0</v>
      </c>
      <c r="AK14" s="12">
        <v>7.0</v>
      </c>
      <c r="AL14" s="12">
        <v>7.0</v>
      </c>
      <c r="AM14" s="12">
        <v>1.0</v>
      </c>
      <c r="AN14" s="12">
        <f t="shared" si="2"/>
        <v>7</v>
      </c>
      <c r="AO14" s="12">
        <v>1.0</v>
      </c>
      <c r="AP14" s="12">
        <f t="shared" si="3"/>
        <v>7</v>
      </c>
      <c r="AQ14" s="12">
        <v>1.0</v>
      </c>
      <c r="AR14" s="12">
        <f t="shared" si="4"/>
        <v>7</v>
      </c>
      <c r="AS14" s="12">
        <v>1.0</v>
      </c>
      <c r="AT14" s="12">
        <f t="shared" si="5"/>
        <v>7</v>
      </c>
      <c r="AU14" s="16" t="s">
        <v>539</v>
      </c>
    </row>
    <row r="15">
      <c r="A15" s="14">
        <f>IFERROR(__xludf.DUMMYFUNCTION("IF(E15="""", """", VALUE(REGEXREPLACE(E15, ""^[Pp]"", """")))"),5.0)</f>
        <v>5</v>
      </c>
      <c r="B15" s="14">
        <v>1473.0</v>
      </c>
      <c r="C15" s="15">
        <v>45869.04722222222</v>
      </c>
      <c r="D15" s="12" t="s">
        <v>544</v>
      </c>
      <c r="E15" s="12" t="s">
        <v>536</v>
      </c>
      <c r="F15" s="12" t="s">
        <v>211</v>
      </c>
      <c r="G15" s="12" t="str">
        <f>IFERROR(__xludf.DUMMYFUNCTION("IF(SPLIT(F15,""-"")=""HR"",""High"",""Low"")"),"High")</f>
        <v>High</v>
      </c>
      <c r="H15" s="12" t="str">
        <f>IFERROR(__xludf.DUMMYFUNCTION("INDEX(SPLIT(F15, ""-""), 2)"),"Web")</f>
        <v>Web</v>
      </c>
      <c r="I15" s="12">
        <v>2.0</v>
      </c>
      <c r="J15" s="12">
        <v>5.0</v>
      </c>
      <c r="K15" s="12">
        <v>5.0</v>
      </c>
      <c r="L15" s="12" t="s">
        <v>199</v>
      </c>
      <c r="M15" s="12">
        <v>7.0</v>
      </c>
      <c r="N15" s="12">
        <v>7.0</v>
      </c>
      <c r="O15" s="12">
        <v>5.0</v>
      </c>
      <c r="P15" s="12">
        <v>5.0</v>
      </c>
      <c r="Q15" s="12">
        <v>6.0</v>
      </c>
      <c r="R15" s="12">
        <v>6.0</v>
      </c>
      <c r="S15" s="12">
        <v>7.0</v>
      </c>
      <c r="T15" s="12">
        <v>7.0</v>
      </c>
      <c r="U15" s="12">
        <v>6.0</v>
      </c>
      <c r="V15" s="12">
        <v>2.0</v>
      </c>
      <c r="W15" s="12">
        <v>6.0</v>
      </c>
      <c r="X15" s="12">
        <v>4.0</v>
      </c>
      <c r="Y15" s="12">
        <f t="shared" si="1"/>
        <v>4</v>
      </c>
      <c r="Z15" s="12" t="s">
        <v>545</v>
      </c>
      <c r="AA15" s="12" t="s">
        <v>206</v>
      </c>
      <c r="AB15" s="12">
        <v>4.0</v>
      </c>
      <c r="AC15" s="12">
        <v>3.0</v>
      </c>
      <c r="AD15" s="12">
        <v>6.0</v>
      </c>
      <c r="AE15" s="12">
        <v>6.0</v>
      </c>
      <c r="AF15" s="12">
        <v>5.0</v>
      </c>
      <c r="AG15" s="12">
        <v>4.0</v>
      </c>
      <c r="AH15" s="12" t="s">
        <v>546</v>
      </c>
      <c r="AI15" s="12" t="s">
        <v>206</v>
      </c>
      <c r="AJ15" s="12">
        <v>6.0</v>
      </c>
      <c r="AK15" s="12">
        <v>7.0</v>
      </c>
      <c r="AL15" s="12">
        <v>7.0</v>
      </c>
      <c r="AM15" s="12">
        <v>1.0</v>
      </c>
      <c r="AN15" s="12">
        <f t="shared" si="2"/>
        <v>7</v>
      </c>
      <c r="AO15" s="12">
        <v>1.0</v>
      </c>
      <c r="AP15" s="12">
        <f t="shared" si="3"/>
        <v>7</v>
      </c>
      <c r="AQ15" s="12">
        <v>1.0</v>
      </c>
      <c r="AR15" s="12">
        <f t="shared" si="4"/>
        <v>7</v>
      </c>
      <c r="AS15" s="12">
        <v>1.0</v>
      </c>
      <c r="AT15" s="12">
        <f t="shared" si="5"/>
        <v>7</v>
      </c>
      <c r="AU15" s="12" t="s">
        <v>547</v>
      </c>
    </row>
    <row r="16">
      <c r="A16" s="14">
        <f>IFERROR(__xludf.DUMMYFUNCTION("IF(E16="""", """", VALUE(REGEXREPLACE(E16, ""^[Pp]"", """")))"),5.0)</f>
        <v>5</v>
      </c>
      <c r="B16" s="14">
        <v>1077.0</v>
      </c>
      <c r="C16" s="15">
        <v>45869.06875</v>
      </c>
      <c r="D16" s="12" t="s">
        <v>560</v>
      </c>
      <c r="E16" s="12" t="s">
        <v>536</v>
      </c>
      <c r="F16" s="12" t="s">
        <v>216</v>
      </c>
      <c r="G16" s="12" t="str">
        <f>IFERROR(__xludf.DUMMYFUNCTION("IF(SPLIT(F16,""-"")=""HR"",""High"",""Low"")"),"Low")</f>
        <v>Low</v>
      </c>
      <c r="H16" s="12" t="str">
        <f>IFERROR(__xludf.DUMMYFUNCTION("INDEX(SPLIT(F16, ""-""), 2)"),"Web")</f>
        <v>Web</v>
      </c>
      <c r="I16" s="12">
        <v>3.0</v>
      </c>
      <c r="J16" s="12">
        <v>5.0</v>
      </c>
      <c r="K16" s="12">
        <v>5.0</v>
      </c>
      <c r="L16" s="12" t="s">
        <v>199</v>
      </c>
      <c r="M16" s="12">
        <v>7.0</v>
      </c>
      <c r="N16" s="12">
        <v>7.0</v>
      </c>
      <c r="O16" s="12">
        <v>5.0</v>
      </c>
      <c r="P16" s="12">
        <v>5.0</v>
      </c>
      <c r="Q16" s="12">
        <v>6.0</v>
      </c>
      <c r="R16" s="12">
        <v>6.0</v>
      </c>
      <c r="S16" s="12">
        <v>7.0</v>
      </c>
      <c r="T16" s="12">
        <v>7.0</v>
      </c>
      <c r="U16" s="12">
        <v>5.0</v>
      </c>
      <c r="V16" s="12">
        <v>3.0</v>
      </c>
      <c r="W16" s="12">
        <v>6.0</v>
      </c>
      <c r="X16" s="12">
        <v>3.0</v>
      </c>
      <c r="Y16" s="12">
        <f t="shared" si="1"/>
        <v>5</v>
      </c>
      <c r="Z16" s="12" t="s">
        <v>561</v>
      </c>
      <c r="AA16" s="12" t="s">
        <v>206</v>
      </c>
      <c r="AB16" s="12">
        <v>6.0</v>
      </c>
      <c r="AC16" s="12">
        <v>7.0</v>
      </c>
      <c r="AD16" s="12">
        <v>7.0</v>
      </c>
      <c r="AE16" s="12">
        <v>7.0</v>
      </c>
      <c r="AF16" s="12">
        <v>5.0</v>
      </c>
      <c r="AG16" s="12">
        <v>4.0</v>
      </c>
      <c r="AH16" s="12" t="s">
        <v>562</v>
      </c>
      <c r="AI16" s="12" t="s">
        <v>206</v>
      </c>
      <c r="AJ16" s="12">
        <v>6.0</v>
      </c>
      <c r="AK16" s="12">
        <v>7.0</v>
      </c>
      <c r="AL16" s="12">
        <v>7.0</v>
      </c>
      <c r="AM16" s="12">
        <v>1.0</v>
      </c>
      <c r="AN16" s="12">
        <f t="shared" si="2"/>
        <v>7</v>
      </c>
      <c r="AO16" s="12">
        <v>1.0</v>
      </c>
      <c r="AP16" s="12">
        <f t="shared" si="3"/>
        <v>7</v>
      </c>
      <c r="AQ16" s="12">
        <v>1.0</v>
      </c>
      <c r="AR16" s="12">
        <f t="shared" si="4"/>
        <v>7</v>
      </c>
      <c r="AS16" s="12">
        <v>1.0</v>
      </c>
      <c r="AT16" s="12">
        <f t="shared" si="5"/>
        <v>7</v>
      </c>
      <c r="AU16" s="12" t="s">
        <v>563</v>
      </c>
    </row>
    <row r="17">
      <c r="A17" s="14">
        <f>IFERROR(__xludf.DUMMYFUNCTION("IF(E17="""", """", VALUE(REGEXREPLACE(E17, ""^[Pp]"", """")))"),5.0)</f>
        <v>5</v>
      </c>
      <c r="B17" s="14">
        <v>1139.0</v>
      </c>
      <c r="C17" s="15">
        <v>45869.08611111111</v>
      </c>
      <c r="D17" s="12" t="s">
        <v>568</v>
      </c>
      <c r="E17" s="12" t="s">
        <v>536</v>
      </c>
      <c r="F17" s="12" t="s">
        <v>263</v>
      </c>
      <c r="G17" s="12" t="str">
        <f>IFERROR(__xludf.DUMMYFUNCTION("IF(SPLIT(F17,""-"")=""HR"",""High"",""Low"")"),"Low")</f>
        <v>Low</v>
      </c>
      <c r="H17" s="12" t="str">
        <f>IFERROR(__xludf.DUMMYFUNCTION("INDEX(SPLIT(F17, ""-""), 2)"),"VR")</f>
        <v>VR</v>
      </c>
      <c r="I17" s="12">
        <v>4.0</v>
      </c>
      <c r="J17" s="12">
        <v>6.0</v>
      </c>
      <c r="K17" s="12">
        <v>3.0</v>
      </c>
      <c r="L17" s="12" t="s">
        <v>199</v>
      </c>
      <c r="M17" s="12">
        <v>7.0</v>
      </c>
      <c r="N17" s="12">
        <v>7.0</v>
      </c>
      <c r="O17" s="12">
        <v>6.0</v>
      </c>
      <c r="P17" s="12">
        <v>5.0</v>
      </c>
      <c r="Q17" s="12">
        <v>6.0</v>
      </c>
      <c r="R17" s="12">
        <v>5.0</v>
      </c>
      <c r="S17" s="12">
        <v>5.0</v>
      </c>
      <c r="T17" s="12">
        <v>7.0</v>
      </c>
      <c r="U17" s="12">
        <v>5.0</v>
      </c>
      <c r="V17" s="12">
        <v>3.0</v>
      </c>
      <c r="W17" s="12">
        <v>5.0</v>
      </c>
      <c r="X17" s="12">
        <v>4.0</v>
      </c>
      <c r="Y17" s="12">
        <f t="shared" si="1"/>
        <v>4</v>
      </c>
      <c r="Z17" s="12" t="s">
        <v>569</v>
      </c>
      <c r="AA17" s="12" t="s">
        <v>206</v>
      </c>
      <c r="AB17" s="12">
        <v>6.0</v>
      </c>
      <c r="AC17" s="12">
        <v>6.0</v>
      </c>
      <c r="AD17" s="12">
        <v>7.0</v>
      </c>
      <c r="AE17" s="12">
        <v>7.0</v>
      </c>
      <c r="AF17" s="12">
        <v>6.0</v>
      </c>
      <c r="AG17" s="12">
        <v>4.0</v>
      </c>
      <c r="AH17" s="12" t="s">
        <v>570</v>
      </c>
      <c r="AI17" s="12" t="s">
        <v>206</v>
      </c>
      <c r="AJ17" s="12">
        <v>7.0</v>
      </c>
      <c r="AK17" s="12">
        <v>7.0</v>
      </c>
      <c r="AL17" s="12">
        <v>7.0</v>
      </c>
      <c r="AM17" s="12">
        <v>1.0</v>
      </c>
      <c r="AN17" s="12">
        <f t="shared" si="2"/>
        <v>7</v>
      </c>
      <c r="AO17" s="12">
        <v>1.0</v>
      </c>
      <c r="AP17" s="12">
        <f t="shared" si="3"/>
        <v>7</v>
      </c>
      <c r="AQ17" s="12">
        <v>1.0</v>
      </c>
      <c r="AR17" s="12">
        <f t="shared" si="4"/>
        <v>7</v>
      </c>
      <c r="AS17" s="12">
        <v>1.0</v>
      </c>
      <c r="AT17" s="12">
        <f t="shared" si="5"/>
        <v>7</v>
      </c>
      <c r="AU17" s="12" t="s">
        <v>571</v>
      </c>
    </row>
    <row r="18">
      <c r="A18" s="14">
        <f>IFERROR(__xludf.DUMMYFUNCTION("IF(E18="""", """", VALUE(REGEXREPLACE(E18, ""^[Pp]"", """")))"),6.0)</f>
        <v>6</v>
      </c>
      <c r="B18" s="14">
        <v>1275.0</v>
      </c>
      <c r="C18" s="15">
        <v>45867.02638888889</v>
      </c>
      <c r="D18" s="12" t="s">
        <v>257</v>
      </c>
      <c r="E18" s="12" t="s">
        <v>258</v>
      </c>
      <c r="F18" s="12" t="s">
        <v>211</v>
      </c>
      <c r="G18" s="12" t="str">
        <f>IFERROR(__xludf.DUMMYFUNCTION("IF(SPLIT(F18,""-"")=""HR"",""High"",""Low"")"),"High")</f>
        <v>High</v>
      </c>
      <c r="H18" s="12" t="str">
        <f>IFERROR(__xludf.DUMMYFUNCTION("INDEX(SPLIT(F18, ""-""), 2)"),"Web")</f>
        <v>Web</v>
      </c>
      <c r="I18" s="12">
        <v>1.0</v>
      </c>
      <c r="J18" s="12">
        <v>3.0</v>
      </c>
      <c r="K18" s="12">
        <v>3.0</v>
      </c>
      <c r="L18" s="12" t="s">
        <v>199</v>
      </c>
      <c r="M18" s="12">
        <v>6.0</v>
      </c>
      <c r="N18" s="12">
        <v>7.0</v>
      </c>
      <c r="O18" s="12">
        <v>4.0</v>
      </c>
      <c r="P18" s="12">
        <v>1.0</v>
      </c>
      <c r="Q18" s="12">
        <v>2.0</v>
      </c>
      <c r="R18" s="12">
        <v>7.0</v>
      </c>
      <c r="S18" s="12">
        <v>7.0</v>
      </c>
      <c r="T18" s="12">
        <v>6.0</v>
      </c>
      <c r="U18" s="12">
        <v>1.0</v>
      </c>
      <c r="V18" s="12">
        <v>4.0</v>
      </c>
      <c r="W18" s="12">
        <v>5.0</v>
      </c>
      <c r="X18" s="12">
        <v>7.0</v>
      </c>
      <c r="Y18" s="12">
        <f t="shared" si="1"/>
        <v>1</v>
      </c>
      <c r="Z18" s="12" t="s">
        <v>259</v>
      </c>
      <c r="AA18" s="12" t="s">
        <v>206</v>
      </c>
      <c r="AB18" s="12">
        <v>6.0</v>
      </c>
      <c r="AC18" s="12">
        <v>6.0</v>
      </c>
      <c r="AD18" s="12">
        <v>6.0</v>
      </c>
      <c r="AE18" s="12">
        <v>6.0</v>
      </c>
      <c r="AF18" s="12">
        <v>6.0</v>
      </c>
      <c r="AG18" s="12">
        <v>6.0</v>
      </c>
      <c r="AH18" s="12" t="s">
        <v>260</v>
      </c>
      <c r="AI18" s="12" t="s">
        <v>206</v>
      </c>
      <c r="AJ18" s="12">
        <v>5.0</v>
      </c>
      <c r="AK18" s="12">
        <v>7.0</v>
      </c>
      <c r="AL18" s="12">
        <v>7.0</v>
      </c>
      <c r="AM18" s="12">
        <v>1.0</v>
      </c>
      <c r="AN18" s="12">
        <f t="shared" si="2"/>
        <v>7</v>
      </c>
      <c r="AO18" s="12">
        <v>1.0</v>
      </c>
      <c r="AP18" s="12">
        <f t="shared" si="3"/>
        <v>7</v>
      </c>
      <c r="AQ18" s="12">
        <v>1.0</v>
      </c>
      <c r="AR18" s="12">
        <f t="shared" si="4"/>
        <v>7</v>
      </c>
      <c r="AS18" s="12">
        <v>1.0</v>
      </c>
      <c r="AT18" s="12">
        <f t="shared" si="5"/>
        <v>7</v>
      </c>
      <c r="AU18" s="12" t="s">
        <v>261</v>
      </c>
    </row>
    <row r="19">
      <c r="A19" s="14">
        <f>IFERROR(__xludf.DUMMYFUNCTION("IF(E19="""", """", VALUE(REGEXREPLACE(E19, ""^[Pp]"", """")))"),6.0)</f>
        <v>6</v>
      </c>
      <c r="B19" s="14">
        <v>741.0</v>
      </c>
      <c r="C19" s="15">
        <v>45867.06041666667</v>
      </c>
      <c r="D19" s="12" t="s">
        <v>271</v>
      </c>
      <c r="E19" s="12" t="s">
        <v>258</v>
      </c>
      <c r="F19" s="12" t="s">
        <v>197</v>
      </c>
      <c r="G19" s="12" t="str">
        <f>IFERROR(__xludf.DUMMYFUNCTION("IF(SPLIT(F19,""-"")=""HR"",""High"",""Low"")"),"High")</f>
        <v>High</v>
      </c>
      <c r="H19" s="12" t="str">
        <f>IFERROR(__xludf.DUMMYFUNCTION("INDEX(SPLIT(F19, ""-""), 2)"),"VR")</f>
        <v>VR</v>
      </c>
      <c r="I19" s="12">
        <v>2.0</v>
      </c>
      <c r="J19" s="12">
        <v>6.0</v>
      </c>
      <c r="K19" s="12">
        <v>2.0</v>
      </c>
      <c r="L19" s="12" t="s">
        <v>199</v>
      </c>
      <c r="M19" s="12">
        <v>7.0</v>
      </c>
      <c r="N19" s="12">
        <v>7.0</v>
      </c>
      <c r="O19" s="12">
        <v>7.0</v>
      </c>
      <c r="P19" s="12">
        <v>1.0</v>
      </c>
      <c r="Q19" s="12">
        <v>3.0</v>
      </c>
      <c r="R19" s="12">
        <v>7.0</v>
      </c>
      <c r="S19" s="12">
        <v>7.0</v>
      </c>
      <c r="T19" s="12">
        <v>7.0</v>
      </c>
      <c r="U19" s="12">
        <v>1.0</v>
      </c>
      <c r="V19" s="12">
        <v>1.0</v>
      </c>
      <c r="W19" s="12">
        <v>7.0</v>
      </c>
      <c r="X19" s="12">
        <v>7.0</v>
      </c>
      <c r="Y19" s="12">
        <f t="shared" si="1"/>
        <v>1</v>
      </c>
      <c r="Z19" s="12" t="s">
        <v>272</v>
      </c>
      <c r="AA19" s="12" t="s">
        <v>206</v>
      </c>
      <c r="AB19" s="12">
        <v>6.0</v>
      </c>
      <c r="AC19" s="12">
        <v>7.0</v>
      </c>
      <c r="AD19" s="12">
        <v>6.0</v>
      </c>
      <c r="AE19" s="12">
        <v>6.0</v>
      </c>
      <c r="AF19" s="12">
        <v>7.0</v>
      </c>
      <c r="AG19" s="12">
        <v>7.0</v>
      </c>
      <c r="AH19" s="12" t="s">
        <v>273</v>
      </c>
      <c r="AI19" s="12" t="s">
        <v>206</v>
      </c>
      <c r="AJ19" s="12">
        <v>7.0</v>
      </c>
      <c r="AK19" s="12">
        <v>6.0</v>
      </c>
      <c r="AL19" s="12">
        <v>7.0</v>
      </c>
      <c r="AM19" s="12">
        <v>3.0</v>
      </c>
      <c r="AN19" s="12">
        <f t="shared" si="2"/>
        <v>5</v>
      </c>
      <c r="AO19" s="12">
        <v>3.0</v>
      </c>
      <c r="AP19" s="12">
        <f t="shared" si="3"/>
        <v>5</v>
      </c>
      <c r="AQ19" s="12">
        <v>7.0</v>
      </c>
      <c r="AR19" s="12">
        <f t="shared" si="4"/>
        <v>1</v>
      </c>
      <c r="AS19" s="12">
        <v>2.0</v>
      </c>
      <c r="AT19" s="12">
        <f t="shared" si="5"/>
        <v>6</v>
      </c>
      <c r="AU19" s="12" t="s">
        <v>274</v>
      </c>
    </row>
    <row r="20">
      <c r="A20" s="14">
        <f>IFERROR(__xludf.DUMMYFUNCTION("IF(E20="""", """", VALUE(REGEXREPLACE(E20, ""^[Pp]"", """")))"),6.0)</f>
        <v>6</v>
      </c>
      <c r="B20" s="14">
        <v>538.0</v>
      </c>
      <c r="C20" s="15">
        <v>45867.06180555555</v>
      </c>
      <c r="D20" s="12" t="s">
        <v>275</v>
      </c>
      <c r="E20" s="12" t="s">
        <v>258</v>
      </c>
      <c r="F20" s="12" t="s">
        <v>263</v>
      </c>
      <c r="G20" s="12" t="str">
        <f>IFERROR(__xludf.DUMMYFUNCTION("IF(SPLIT(F20,""-"")=""HR"",""High"",""Low"")"),"Low")</f>
        <v>Low</v>
      </c>
      <c r="H20" s="12" t="str">
        <f>IFERROR(__xludf.DUMMYFUNCTION("INDEX(SPLIT(F20, ""-""), 2)"),"VR")</f>
        <v>VR</v>
      </c>
      <c r="I20" s="12">
        <v>3.0</v>
      </c>
      <c r="J20" s="12">
        <v>5.0</v>
      </c>
      <c r="K20" s="12">
        <v>1.0</v>
      </c>
      <c r="L20" s="12" t="s">
        <v>199</v>
      </c>
      <c r="M20" s="12">
        <v>6.0</v>
      </c>
      <c r="N20" s="12">
        <v>7.0</v>
      </c>
      <c r="O20" s="12">
        <v>6.0</v>
      </c>
      <c r="P20" s="12">
        <v>1.0</v>
      </c>
      <c r="Q20" s="12">
        <v>1.0</v>
      </c>
      <c r="R20" s="12">
        <v>7.0</v>
      </c>
      <c r="S20" s="12">
        <v>6.0</v>
      </c>
      <c r="T20" s="12">
        <v>7.0</v>
      </c>
      <c r="U20" s="12">
        <v>2.0</v>
      </c>
      <c r="V20" s="12">
        <v>1.0</v>
      </c>
      <c r="W20" s="12">
        <v>7.0</v>
      </c>
      <c r="X20" s="12">
        <v>1.0</v>
      </c>
      <c r="Y20" s="12">
        <f t="shared" si="1"/>
        <v>7</v>
      </c>
      <c r="Z20" s="12" t="s">
        <v>276</v>
      </c>
      <c r="AA20" s="12" t="s">
        <v>206</v>
      </c>
      <c r="AB20" s="12">
        <v>7.0</v>
      </c>
      <c r="AC20" s="12">
        <v>7.0</v>
      </c>
      <c r="AD20" s="12">
        <v>7.0</v>
      </c>
      <c r="AE20" s="12">
        <v>7.0</v>
      </c>
      <c r="AF20" s="12">
        <v>5.0</v>
      </c>
      <c r="AG20" s="12">
        <v>7.0</v>
      </c>
      <c r="AH20" s="12" t="s">
        <v>277</v>
      </c>
      <c r="AI20" s="12" t="s">
        <v>206</v>
      </c>
      <c r="AJ20" s="12">
        <v>7.0</v>
      </c>
      <c r="AK20" s="12">
        <v>7.0</v>
      </c>
      <c r="AL20" s="12">
        <v>6.0</v>
      </c>
      <c r="AM20" s="12">
        <v>2.0</v>
      </c>
      <c r="AN20" s="12">
        <f t="shared" si="2"/>
        <v>6</v>
      </c>
      <c r="AO20" s="12">
        <v>2.0</v>
      </c>
      <c r="AP20" s="12">
        <f t="shared" si="3"/>
        <v>6</v>
      </c>
      <c r="AQ20" s="12">
        <v>7.0</v>
      </c>
      <c r="AR20" s="12">
        <f t="shared" si="4"/>
        <v>1</v>
      </c>
      <c r="AS20" s="12">
        <v>2.0</v>
      </c>
      <c r="AT20" s="12">
        <f t="shared" si="5"/>
        <v>6</v>
      </c>
      <c r="AU20" s="12" t="s">
        <v>278</v>
      </c>
    </row>
    <row r="21">
      <c r="A21" s="14">
        <f>IFERROR(__xludf.DUMMYFUNCTION("IF(E21="""", """", VALUE(REGEXREPLACE(E21, ""^[Pp]"", """")))"),6.0)</f>
        <v>6</v>
      </c>
      <c r="B21" s="14">
        <v>1656.0</v>
      </c>
      <c r="C21" s="15">
        <v>45867.07361111111</v>
      </c>
      <c r="D21" s="12" t="s">
        <v>279</v>
      </c>
      <c r="E21" s="12" t="s">
        <v>258</v>
      </c>
      <c r="F21" s="12" t="s">
        <v>216</v>
      </c>
      <c r="G21" s="12" t="str">
        <f>IFERROR(__xludf.DUMMYFUNCTION("IF(SPLIT(F21,""-"")=""HR"",""High"",""Low"")"),"Low")</f>
        <v>Low</v>
      </c>
      <c r="H21" s="12" t="str">
        <f>IFERROR(__xludf.DUMMYFUNCTION("INDEX(SPLIT(F21, ""-""), 2)"),"Web")</f>
        <v>Web</v>
      </c>
      <c r="I21" s="12">
        <v>4.0</v>
      </c>
      <c r="J21" s="12">
        <v>7.0</v>
      </c>
      <c r="K21" s="12">
        <v>1.0</v>
      </c>
      <c r="L21" s="12" t="s">
        <v>199</v>
      </c>
      <c r="M21" s="12">
        <v>7.0</v>
      </c>
      <c r="N21" s="12">
        <v>7.0</v>
      </c>
      <c r="O21" s="12">
        <v>7.0</v>
      </c>
      <c r="P21" s="12">
        <v>1.0</v>
      </c>
      <c r="Q21" s="12">
        <v>1.0</v>
      </c>
      <c r="R21" s="12">
        <v>7.0</v>
      </c>
      <c r="S21" s="12">
        <v>7.0</v>
      </c>
      <c r="T21" s="12">
        <v>7.0</v>
      </c>
      <c r="U21" s="12">
        <v>1.0</v>
      </c>
      <c r="V21" s="12">
        <v>1.0</v>
      </c>
      <c r="W21" s="12">
        <v>7.0</v>
      </c>
      <c r="X21" s="12">
        <v>1.0</v>
      </c>
      <c r="Y21" s="12">
        <f t="shared" si="1"/>
        <v>7</v>
      </c>
      <c r="Z21" s="12" t="s">
        <v>280</v>
      </c>
      <c r="AA21" s="12" t="s">
        <v>206</v>
      </c>
      <c r="AB21" s="12">
        <v>7.0</v>
      </c>
      <c r="AC21" s="12">
        <v>6.0</v>
      </c>
      <c r="AD21" s="12">
        <v>7.0</v>
      </c>
      <c r="AE21" s="12">
        <v>7.0</v>
      </c>
      <c r="AF21" s="12">
        <v>6.0</v>
      </c>
      <c r="AG21" s="12">
        <v>7.0</v>
      </c>
      <c r="AH21" s="12" t="s">
        <v>281</v>
      </c>
      <c r="AI21" s="12" t="s">
        <v>206</v>
      </c>
      <c r="AJ21" s="12">
        <v>7.0</v>
      </c>
      <c r="AK21" s="12">
        <v>7.0</v>
      </c>
      <c r="AL21" s="12">
        <v>7.0</v>
      </c>
      <c r="AM21" s="12">
        <v>7.0</v>
      </c>
      <c r="AN21" s="12">
        <f t="shared" si="2"/>
        <v>1</v>
      </c>
      <c r="AO21" s="12">
        <v>7.0</v>
      </c>
      <c r="AP21" s="12">
        <f t="shared" si="3"/>
        <v>1</v>
      </c>
      <c r="AQ21" s="12">
        <v>1.0</v>
      </c>
      <c r="AR21" s="12">
        <f t="shared" si="4"/>
        <v>7</v>
      </c>
      <c r="AS21" s="12">
        <v>7.0</v>
      </c>
      <c r="AT21" s="12">
        <f t="shared" si="5"/>
        <v>1</v>
      </c>
      <c r="AU21" s="12" t="s">
        <v>282</v>
      </c>
    </row>
    <row r="22">
      <c r="A22" s="14">
        <f>IFERROR(__xludf.DUMMYFUNCTION("IF(E22="""", """", VALUE(REGEXREPLACE(E22, ""^[Pp]"", """")))"),7.0)</f>
        <v>7</v>
      </c>
      <c r="B22" s="14">
        <v>797.0</v>
      </c>
      <c r="C22" s="15">
        <v>45867.095138888886</v>
      </c>
      <c r="D22" s="12" t="s">
        <v>283</v>
      </c>
      <c r="E22" s="12" t="s">
        <v>284</v>
      </c>
      <c r="F22" s="12" t="s">
        <v>263</v>
      </c>
      <c r="G22" s="12" t="str">
        <f>IFERROR(__xludf.DUMMYFUNCTION("IF(SPLIT(F22,""-"")=""HR"",""High"",""Low"")"),"Low")</f>
        <v>Low</v>
      </c>
      <c r="H22" s="12" t="str">
        <f>IFERROR(__xludf.DUMMYFUNCTION("INDEX(SPLIT(F22, ""-""), 2)"),"VR")</f>
        <v>VR</v>
      </c>
      <c r="I22" s="12">
        <v>1.0</v>
      </c>
      <c r="J22" s="12">
        <v>5.0</v>
      </c>
      <c r="K22" s="12">
        <v>6.0</v>
      </c>
      <c r="L22" s="12" t="s">
        <v>199</v>
      </c>
      <c r="M22" s="12">
        <v>6.0</v>
      </c>
      <c r="N22" s="12">
        <v>2.0</v>
      </c>
      <c r="O22" s="12">
        <v>2.0</v>
      </c>
      <c r="P22" s="12">
        <v>6.0</v>
      </c>
      <c r="Q22" s="12">
        <v>3.0</v>
      </c>
      <c r="R22" s="12">
        <v>6.0</v>
      </c>
      <c r="S22" s="12">
        <v>6.0</v>
      </c>
      <c r="T22" s="12">
        <v>3.0</v>
      </c>
      <c r="U22" s="12">
        <v>2.0</v>
      </c>
      <c r="V22" s="12">
        <v>6.0</v>
      </c>
      <c r="W22" s="12">
        <v>6.0</v>
      </c>
      <c r="X22" s="12">
        <v>5.0</v>
      </c>
      <c r="Y22" s="12">
        <f t="shared" si="1"/>
        <v>3</v>
      </c>
      <c r="Z22" s="12" t="s">
        <v>285</v>
      </c>
      <c r="AA22" s="12" t="s">
        <v>206</v>
      </c>
      <c r="AB22" s="12">
        <v>4.0</v>
      </c>
      <c r="AC22" s="12">
        <v>6.0</v>
      </c>
      <c r="AD22" s="12">
        <v>6.0</v>
      </c>
      <c r="AE22" s="12">
        <v>6.0</v>
      </c>
      <c r="AF22" s="12">
        <v>5.0</v>
      </c>
      <c r="AG22" s="12">
        <v>2.0</v>
      </c>
      <c r="AH22" s="12" t="s">
        <v>286</v>
      </c>
      <c r="AI22" s="12" t="s">
        <v>206</v>
      </c>
      <c r="AJ22" s="12">
        <v>6.0</v>
      </c>
      <c r="AK22" s="12">
        <v>3.0</v>
      </c>
      <c r="AL22" s="12">
        <v>6.0</v>
      </c>
      <c r="AM22" s="12">
        <v>1.0</v>
      </c>
      <c r="AN22" s="12">
        <f t="shared" si="2"/>
        <v>7</v>
      </c>
      <c r="AO22" s="12">
        <v>2.0</v>
      </c>
      <c r="AP22" s="12">
        <f t="shared" si="3"/>
        <v>6</v>
      </c>
      <c r="AQ22" s="12">
        <v>5.0</v>
      </c>
      <c r="AR22" s="12">
        <f t="shared" si="4"/>
        <v>3</v>
      </c>
      <c r="AS22" s="12">
        <v>1.0</v>
      </c>
      <c r="AT22" s="12">
        <f t="shared" si="5"/>
        <v>7</v>
      </c>
      <c r="AU22" s="12" t="s">
        <v>287</v>
      </c>
    </row>
    <row r="23">
      <c r="A23" s="14">
        <f>IFERROR(__xludf.DUMMYFUNCTION("IF(E23="""", """", VALUE(REGEXREPLACE(E23, ""^[Pp]"", """")))"),7.0)</f>
        <v>7</v>
      </c>
      <c r="B23" s="14">
        <v>986.0</v>
      </c>
      <c r="C23" s="15">
        <v>45867.10902777778</v>
      </c>
      <c r="D23" s="12" t="s">
        <v>293</v>
      </c>
      <c r="E23" s="12" t="s">
        <v>284</v>
      </c>
      <c r="F23" s="12" t="s">
        <v>211</v>
      </c>
      <c r="G23" s="12" t="str">
        <f>IFERROR(__xludf.DUMMYFUNCTION("IF(SPLIT(F23,""-"")=""HR"",""High"",""Low"")"),"High")</f>
        <v>High</v>
      </c>
      <c r="H23" s="12" t="str">
        <f>IFERROR(__xludf.DUMMYFUNCTION("INDEX(SPLIT(F23, ""-""), 2)"),"Web")</f>
        <v>Web</v>
      </c>
      <c r="I23" s="12">
        <v>2.0</v>
      </c>
      <c r="J23" s="12">
        <v>3.0</v>
      </c>
      <c r="K23" s="12">
        <v>3.0</v>
      </c>
      <c r="L23" s="12" t="s">
        <v>199</v>
      </c>
      <c r="M23" s="12">
        <v>5.0</v>
      </c>
      <c r="N23" s="12">
        <v>5.0</v>
      </c>
      <c r="O23" s="12">
        <v>2.0</v>
      </c>
      <c r="P23" s="12">
        <v>3.0</v>
      </c>
      <c r="Q23" s="12">
        <v>3.0</v>
      </c>
      <c r="R23" s="12">
        <v>6.0</v>
      </c>
      <c r="S23" s="12">
        <v>5.0</v>
      </c>
      <c r="T23" s="12">
        <v>6.0</v>
      </c>
      <c r="U23" s="12">
        <v>2.0</v>
      </c>
      <c r="V23" s="12">
        <v>3.0</v>
      </c>
      <c r="W23" s="12">
        <v>6.0</v>
      </c>
      <c r="X23" s="12">
        <v>6.0</v>
      </c>
      <c r="Y23" s="12">
        <f t="shared" si="1"/>
        <v>2</v>
      </c>
      <c r="Z23" s="12" t="s">
        <v>294</v>
      </c>
      <c r="AA23" s="12" t="s">
        <v>206</v>
      </c>
      <c r="AB23" s="12">
        <v>3.0</v>
      </c>
      <c r="AC23" s="12">
        <v>5.0</v>
      </c>
      <c r="AD23" s="12">
        <v>5.0</v>
      </c>
      <c r="AE23" s="12">
        <v>5.0</v>
      </c>
      <c r="AF23" s="12">
        <v>5.0</v>
      </c>
      <c r="AG23" s="12">
        <v>5.0</v>
      </c>
      <c r="AH23" s="12" t="s">
        <v>295</v>
      </c>
      <c r="AI23" s="12" t="s">
        <v>206</v>
      </c>
      <c r="AJ23" s="12">
        <v>5.0</v>
      </c>
      <c r="AK23" s="12">
        <v>5.0</v>
      </c>
      <c r="AL23" s="12">
        <v>5.0</v>
      </c>
      <c r="AM23" s="12">
        <v>2.0</v>
      </c>
      <c r="AN23" s="12">
        <f t="shared" si="2"/>
        <v>6</v>
      </c>
      <c r="AO23" s="12">
        <v>2.0</v>
      </c>
      <c r="AP23" s="12">
        <f t="shared" si="3"/>
        <v>6</v>
      </c>
      <c r="AQ23" s="12">
        <v>2.0</v>
      </c>
      <c r="AR23" s="12">
        <f t="shared" si="4"/>
        <v>6</v>
      </c>
      <c r="AS23" s="12">
        <v>1.0</v>
      </c>
      <c r="AT23" s="12">
        <f t="shared" si="5"/>
        <v>7</v>
      </c>
      <c r="AU23" s="12" t="s">
        <v>296</v>
      </c>
    </row>
    <row r="24">
      <c r="A24" s="14">
        <f>IFERROR(__xludf.DUMMYFUNCTION("IF(E24="""", """", VALUE(REGEXREPLACE(E24, ""^[Pp]"", """")))"),7.0)</f>
        <v>7</v>
      </c>
      <c r="B24" s="14">
        <v>845.0</v>
      </c>
      <c r="C24" s="15">
        <v>45867.11944444444</v>
      </c>
      <c r="D24" s="12" t="s">
        <v>301</v>
      </c>
      <c r="E24" s="12" t="s">
        <v>284</v>
      </c>
      <c r="F24" s="12" t="s">
        <v>216</v>
      </c>
      <c r="G24" s="12" t="str">
        <f>IFERROR(__xludf.DUMMYFUNCTION("IF(SPLIT(F24,""-"")=""HR"",""High"",""Low"")"),"Low")</f>
        <v>Low</v>
      </c>
      <c r="H24" s="12" t="str">
        <f>IFERROR(__xludf.DUMMYFUNCTION("INDEX(SPLIT(F24, ""-""), 2)"),"Web")</f>
        <v>Web</v>
      </c>
      <c r="I24" s="12">
        <v>3.0</v>
      </c>
      <c r="J24" s="12">
        <v>3.0</v>
      </c>
      <c r="K24" s="12">
        <v>2.0</v>
      </c>
      <c r="L24" s="12" t="s">
        <v>199</v>
      </c>
      <c r="M24" s="12">
        <v>5.0</v>
      </c>
      <c r="N24" s="12">
        <v>3.0</v>
      </c>
      <c r="O24" s="12">
        <v>3.0</v>
      </c>
      <c r="P24" s="12">
        <v>3.0</v>
      </c>
      <c r="Q24" s="12">
        <v>3.0</v>
      </c>
      <c r="R24" s="12">
        <v>6.0</v>
      </c>
      <c r="S24" s="12">
        <v>6.0</v>
      </c>
      <c r="T24" s="12">
        <v>6.0</v>
      </c>
      <c r="U24" s="12">
        <v>2.0</v>
      </c>
      <c r="V24" s="12">
        <v>3.0</v>
      </c>
      <c r="W24" s="12">
        <v>6.0</v>
      </c>
      <c r="X24" s="12">
        <v>5.0</v>
      </c>
      <c r="Y24" s="12">
        <f t="shared" si="1"/>
        <v>3</v>
      </c>
      <c r="Z24" s="12" t="s">
        <v>302</v>
      </c>
      <c r="AA24" s="12" t="s">
        <v>206</v>
      </c>
      <c r="AB24" s="12">
        <v>5.0</v>
      </c>
      <c r="AC24" s="12">
        <v>6.0</v>
      </c>
      <c r="AD24" s="12">
        <v>6.0</v>
      </c>
      <c r="AE24" s="12">
        <v>6.0</v>
      </c>
      <c r="AF24" s="12">
        <v>5.0</v>
      </c>
      <c r="AG24" s="12">
        <v>5.0</v>
      </c>
      <c r="AH24" s="12" t="s">
        <v>303</v>
      </c>
      <c r="AI24" s="12" t="s">
        <v>206</v>
      </c>
      <c r="AJ24" s="12">
        <v>6.0</v>
      </c>
      <c r="AK24" s="12">
        <v>6.0</v>
      </c>
      <c r="AL24" s="12">
        <v>3.0</v>
      </c>
      <c r="AM24" s="12">
        <v>2.0</v>
      </c>
      <c r="AN24" s="12">
        <f t="shared" si="2"/>
        <v>6</v>
      </c>
      <c r="AO24" s="12">
        <v>2.0</v>
      </c>
      <c r="AP24" s="12">
        <f t="shared" si="3"/>
        <v>6</v>
      </c>
      <c r="AQ24" s="12">
        <v>2.0</v>
      </c>
      <c r="AR24" s="12">
        <f t="shared" si="4"/>
        <v>6</v>
      </c>
      <c r="AS24" s="12">
        <v>1.0</v>
      </c>
      <c r="AT24" s="12">
        <f t="shared" si="5"/>
        <v>7</v>
      </c>
      <c r="AU24" s="12" t="s">
        <v>304</v>
      </c>
    </row>
    <row r="25">
      <c r="A25" s="14">
        <f>IFERROR(__xludf.DUMMYFUNCTION("IF(E25="""", """", VALUE(REGEXREPLACE(E25, ""^[Pp]"", """")))"),7.0)</f>
        <v>7</v>
      </c>
      <c r="B25" s="14">
        <v>559.0</v>
      </c>
      <c r="C25" s="15">
        <v>45867.131944444445</v>
      </c>
      <c r="D25" s="12" t="s">
        <v>313</v>
      </c>
      <c r="E25" s="12" t="s">
        <v>284</v>
      </c>
      <c r="F25" s="12" t="s">
        <v>197</v>
      </c>
      <c r="G25" s="12" t="str">
        <f>IFERROR(__xludf.DUMMYFUNCTION("IF(SPLIT(F25,""-"")=""HR"",""High"",""Low"")"),"High")</f>
        <v>High</v>
      </c>
      <c r="H25" s="12" t="str">
        <f>IFERROR(__xludf.DUMMYFUNCTION("INDEX(SPLIT(F25, ""-""), 2)"),"VR")</f>
        <v>VR</v>
      </c>
      <c r="I25" s="12">
        <v>4.0</v>
      </c>
      <c r="J25" s="12">
        <v>6.0</v>
      </c>
      <c r="K25" s="12">
        <v>4.0</v>
      </c>
      <c r="L25" s="12" t="s">
        <v>199</v>
      </c>
      <c r="M25" s="12">
        <v>5.0</v>
      </c>
      <c r="N25" s="12">
        <v>6.0</v>
      </c>
      <c r="O25" s="12">
        <v>2.0</v>
      </c>
      <c r="P25" s="12">
        <v>3.0</v>
      </c>
      <c r="Q25" s="12">
        <v>2.0</v>
      </c>
      <c r="R25" s="12">
        <v>6.0</v>
      </c>
      <c r="S25" s="12">
        <v>6.0</v>
      </c>
      <c r="T25" s="12">
        <v>6.0</v>
      </c>
      <c r="U25" s="12">
        <v>2.0</v>
      </c>
      <c r="V25" s="12">
        <v>2.0</v>
      </c>
      <c r="W25" s="12">
        <v>2.0</v>
      </c>
      <c r="X25" s="12">
        <v>5.0</v>
      </c>
      <c r="Y25" s="12">
        <f t="shared" si="1"/>
        <v>3</v>
      </c>
      <c r="Z25" s="12" t="s">
        <v>314</v>
      </c>
      <c r="AA25" s="12" t="s">
        <v>206</v>
      </c>
      <c r="AB25" s="12">
        <v>6.0</v>
      </c>
      <c r="AC25" s="12">
        <v>6.0</v>
      </c>
      <c r="AD25" s="12">
        <v>6.0</v>
      </c>
      <c r="AE25" s="12">
        <v>6.0</v>
      </c>
      <c r="AF25" s="12">
        <v>6.0</v>
      </c>
      <c r="AG25" s="12">
        <v>5.0</v>
      </c>
      <c r="AH25" s="12" t="s">
        <v>315</v>
      </c>
      <c r="AI25" s="12" t="s">
        <v>206</v>
      </c>
      <c r="AJ25" s="12">
        <v>6.0</v>
      </c>
      <c r="AK25" s="12">
        <v>6.0</v>
      </c>
      <c r="AL25" s="12">
        <v>5.0</v>
      </c>
      <c r="AM25" s="12">
        <v>2.0</v>
      </c>
      <c r="AN25" s="12">
        <f t="shared" si="2"/>
        <v>6</v>
      </c>
      <c r="AO25" s="12">
        <v>4.0</v>
      </c>
      <c r="AP25" s="12">
        <f t="shared" si="3"/>
        <v>4</v>
      </c>
      <c r="AQ25" s="12">
        <v>5.0</v>
      </c>
      <c r="AR25" s="12">
        <f t="shared" si="4"/>
        <v>3</v>
      </c>
      <c r="AS25" s="12">
        <v>2.0</v>
      </c>
      <c r="AT25" s="12">
        <f t="shared" si="5"/>
        <v>6</v>
      </c>
      <c r="AU25" s="12" t="s">
        <v>316</v>
      </c>
    </row>
    <row r="26">
      <c r="A26" s="14">
        <f>IFERROR(__xludf.DUMMYFUNCTION("IF(E26="""", """", VALUE(REGEXREPLACE(E26, ""^[Pp]"", """")))"),8.0)</f>
        <v>8</v>
      </c>
      <c r="B26" s="14">
        <v>1356.0</v>
      </c>
      <c r="C26" s="15">
        <v>45867.09652777778</v>
      </c>
      <c r="D26" s="12" t="s">
        <v>288</v>
      </c>
      <c r="E26" s="12" t="s">
        <v>289</v>
      </c>
      <c r="F26" s="12" t="s">
        <v>216</v>
      </c>
      <c r="G26" s="12" t="str">
        <f>IFERROR(__xludf.DUMMYFUNCTION("IF(SPLIT(F26,""-"")=""HR"",""High"",""Low"")"),"Low")</f>
        <v>Low</v>
      </c>
      <c r="H26" s="12" t="str">
        <f>IFERROR(__xludf.DUMMYFUNCTION("INDEX(SPLIT(F26, ""-""), 2)"),"Web")</f>
        <v>Web</v>
      </c>
      <c r="I26" s="12">
        <v>1.0</v>
      </c>
      <c r="J26" s="12">
        <v>6.0</v>
      </c>
      <c r="K26" s="12">
        <v>5.0</v>
      </c>
      <c r="L26" s="12" t="s">
        <v>199</v>
      </c>
      <c r="M26" s="12">
        <v>6.0</v>
      </c>
      <c r="N26" s="12">
        <v>7.0</v>
      </c>
      <c r="O26" s="12">
        <v>6.0</v>
      </c>
      <c r="P26" s="12">
        <v>4.0</v>
      </c>
      <c r="Q26" s="12">
        <v>6.0</v>
      </c>
      <c r="R26" s="12">
        <v>6.0</v>
      </c>
      <c r="S26" s="12">
        <v>6.0</v>
      </c>
      <c r="T26" s="12">
        <v>7.0</v>
      </c>
      <c r="U26" s="12">
        <v>2.0</v>
      </c>
      <c r="V26" s="12">
        <v>2.0</v>
      </c>
      <c r="W26" s="12">
        <v>7.0</v>
      </c>
      <c r="X26" s="12">
        <v>4.0</v>
      </c>
      <c r="Y26" s="12">
        <f t="shared" si="1"/>
        <v>4</v>
      </c>
      <c r="Z26" s="12" t="s">
        <v>290</v>
      </c>
      <c r="AA26" s="12" t="s">
        <v>206</v>
      </c>
      <c r="AB26" s="12">
        <v>4.0</v>
      </c>
      <c r="AC26" s="12">
        <v>5.0</v>
      </c>
      <c r="AD26" s="12">
        <v>6.0</v>
      </c>
      <c r="AE26" s="12">
        <v>5.0</v>
      </c>
      <c r="AF26" s="12">
        <v>6.0</v>
      </c>
      <c r="AG26" s="12">
        <v>6.0</v>
      </c>
      <c r="AH26" s="12" t="s">
        <v>291</v>
      </c>
      <c r="AI26" s="12" t="s">
        <v>206</v>
      </c>
      <c r="AJ26" s="12">
        <v>6.0</v>
      </c>
      <c r="AK26" s="12">
        <v>7.0</v>
      </c>
      <c r="AL26" s="12">
        <v>7.0</v>
      </c>
      <c r="AM26" s="12">
        <v>1.0</v>
      </c>
      <c r="AN26" s="12">
        <f t="shared" si="2"/>
        <v>7</v>
      </c>
      <c r="AO26" s="12">
        <v>1.0</v>
      </c>
      <c r="AP26" s="12">
        <f t="shared" si="3"/>
        <v>7</v>
      </c>
      <c r="AQ26" s="12">
        <v>1.0</v>
      </c>
      <c r="AR26" s="12">
        <f t="shared" si="4"/>
        <v>7</v>
      </c>
      <c r="AS26" s="12">
        <v>1.0</v>
      </c>
      <c r="AT26" s="12">
        <f t="shared" si="5"/>
        <v>7</v>
      </c>
      <c r="AU26" s="12" t="s">
        <v>292</v>
      </c>
    </row>
    <row r="27">
      <c r="A27" s="14">
        <f>IFERROR(__xludf.DUMMYFUNCTION("IF(E27="""", """", VALUE(REGEXREPLACE(E27, ""^[Pp]"", """")))"),8.0)</f>
        <v>8</v>
      </c>
      <c r="B27" s="14">
        <v>401.0</v>
      </c>
      <c r="C27" s="15">
        <v>45867.11041666667</v>
      </c>
      <c r="D27" s="12" t="s">
        <v>297</v>
      </c>
      <c r="E27" s="12" t="s">
        <v>289</v>
      </c>
      <c r="F27" s="12" t="s">
        <v>197</v>
      </c>
      <c r="G27" s="12" t="str">
        <f>IFERROR(__xludf.DUMMYFUNCTION("IF(SPLIT(F27,""-"")=""HR"",""High"",""Low"")"),"High")</f>
        <v>High</v>
      </c>
      <c r="H27" s="12" t="str">
        <f>IFERROR(__xludf.DUMMYFUNCTION("INDEX(SPLIT(F27, ""-""), 2)"),"VR")</f>
        <v>VR</v>
      </c>
      <c r="I27" s="12">
        <v>2.0</v>
      </c>
      <c r="J27" s="12">
        <v>7.0</v>
      </c>
      <c r="K27" s="12">
        <v>6.0</v>
      </c>
      <c r="L27" s="12" t="s">
        <v>199</v>
      </c>
      <c r="M27" s="12">
        <v>6.0</v>
      </c>
      <c r="N27" s="12">
        <v>7.0</v>
      </c>
      <c r="O27" s="12">
        <v>5.0</v>
      </c>
      <c r="P27" s="12">
        <v>7.0</v>
      </c>
      <c r="Q27" s="12">
        <v>7.0</v>
      </c>
      <c r="R27" s="12">
        <v>7.0</v>
      </c>
      <c r="S27" s="12">
        <v>6.0</v>
      </c>
      <c r="T27" s="12">
        <v>6.0</v>
      </c>
      <c r="U27" s="12">
        <v>3.0</v>
      </c>
      <c r="V27" s="12">
        <v>4.0</v>
      </c>
      <c r="W27" s="12">
        <v>7.0</v>
      </c>
      <c r="X27" s="12">
        <v>6.0</v>
      </c>
      <c r="Y27" s="12">
        <f t="shared" si="1"/>
        <v>2</v>
      </c>
      <c r="Z27" s="12" t="s">
        <v>298</v>
      </c>
      <c r="AA27" s="12" t="s">
        <v>206</v>
      </c>
      <c r="AB27" s="12">
        <v>6.0</v>
      </c>
      <c r="AC27" s="12">
        <v>6.0</v>
      </c>
      <c r="AD27" s="12">
        <v>7.0</v>
      </c>
      <c r="AE27" s="12">
        <v>7.0</v>
      </c>
      <c r="AF27" s="12">
        <v>7.0</v>
      </c>
      <c r="AG27" s="12">
        <v>5.0</v>
      </c>
      <c r="AH27" s="12" t="s">
        <v>299</v>
      </c>
      <c r="AI27" s="12" t="s">
        <v>206</v>
      </c>
      <c r="AJ27" s="12">
        <v>6.0</v>
      </c>
      <c r="AK27" s="12">
        <v>5.0</v>
      </c>
      <c r="AL27" s="12">
        <v>7.0</v>
      </c>
      <c r="AM27" s="12">
        <v>2.0</v>
      </c>
      <c r="AN27" s="12">
        <f t="shared" si="2"/>
        <v>6</v>
      </c>
      <c r="AO27" s="12">
        <v>1.0</v>
      </c>
      <c r="AP27" s="12">
        <f t="shared" si="3"/>
        <v>7</v>
      </c>
      <c r="AQ27" s="12">
        <v>3.0</v>
      </c>
      <c r="AR27" s="12">
        <f t="shared" si="4"/>
        <v>5</v>
      </c>
      <c r="AS27" s="12">
        <v>2.0</v>
      </c>
      <c r="AT27" s="12">
        <f t="shared" si="5"/>
        <v>6</v>
      </c>
      <c r="AU27" s="12" t="s">
        <v>300</v>
      </c>
    </row>
    <row r="28">
      <c r="A28" s="14">
        <f>IFERROR(__xludf.DUMMYFUNCTION("IF(E28="""", """", VALUE(REGEXREPLACE(E28, ""^[Pp]"", """")))"),8.0)</f>
        <v>8</v>
      </c>
      <c r="B28" s="14">
        <v>341.0</v>
      </c>
      <c r="C28" s="15">
        <v>45867.12013888889</v>
      </c>
      <c r="D28" s="12" t="s">
        <v>305</v>
      </c>
      <c r="E28" s="12" t="s">
        <v>289</v>
      </c>
      <c r="F28" s="12" t="s">
        <v>263</v>
      </c>
      <c r="G28" s="12" t="str">
        <f>IFERROR(__xludf.DUMMYFUNCTION("IF(SPLIT(F28,""-"")=""HR"",""High"",""Low"")"),"Low")</f>
        <v>Low</v>
      </c>
      <c r="H28" s="12" t="str">
        <f>IFERROR(__xludf.DUMMYFUNCTION("INDEX(SPLIT(F28, ""-""), 2)"),"VR")</f>
        <v>VR</v>
      </c>
      <c r="I28" s="12">
        <v>3.0</v>
      </c>
      <c r="J28" s="12">
        <v>7.0</v>
      </c>
      <c r="K28" s="12">
        <v>5.0</v>
      </c>
      <c r="L28" s="12" t="s">
        <v>199</v>
      </c>
      <c r="M28" s="12">
        <v>7.0</v>
      </c>
      <c r="N28" s="12">
        <v>7.0</v>
      </c>
      <c r="O28" s="12">
        <v>7.0</v>
      </c>
      <c r="P28" s="12">
        <v>5.0</v>
      </c>
      <c r="Q28" s="12">
        <v>7.0</v>
      </c>
      <c r="R28" s="12">
        <v>6.0</v>
      </c>
      <c r="S28" s="12">
        <v>6.0</v>
      </c>
      <c r="T28" s="12">
        <v>5.0</v>
      </c>
      <c r="U28" s="12">
        <v>6.0</v>
      </c>
      <c r="V28" s="12">
        <v>4.0</v>
      </c>
      <c r="W28" s="12">
        <v>6.0</v>
      </c>
      <c r="X28" s="12">
        <v>2.0</v>
      </c>
      <c r="Y28" s="12">
        <f t="shared" si="1"/>
        <v>6</v>
      </c>
      <c r="Z28" s="12" t="s">
        <v>306</v>
      </c>
      <c r="AA28" s="12" t="s">
        <v>206</v>
      </c>
      <c r="AB28" s="12">
        <v>6.0</v>
      </c>
      <c r="AC28" s="12">
        <v>7.0</v>
      </c>
      <c r="AD28" s="12">
        <v>7.0</v>
      </c>
      <c r="AE28" s="12">
        <v>7.0</v>
      </c>
      <c r="AF28" s="12">
        <v>7.0</v>
      </c>
      <c r="AG28" s="12">
        <v>6.0</v>
      </c>
      <c r="AH28" s="12" t="s">
        <v>307</v>
      </c>
      <c r="AI28" s="12" t="s">
        <v>206</v>
      </c>
      <c r="AJ28" s="12">
        <v>7.0</v>
      </c>
      <c r="AK28" s="12">
        <v>6.0</v>
      </c>
      <c r="AL28" s="12">
        <v>7.0</v>
      </c>
      <c r="AM28" s="12">
        <v>2.0</v>
      </c>
      <c r="AN28" s="12">
        <f t="shared" si="2"/>
        <v>6</v>
      </c>
      <c r="AO28" s="12">
        <v>1.0</v>
      </c>
      <c r="AP28" s="12">
        <f t="shared" si="3"/>
        <v>7</v>
      </c>
      <c r="AQ28" s="12">
        <v>1.0</v>
      </c>
      <c r="AR28" s="12">
        <f t="shared" si="4"/>
        <v>7</v>
      </c>
      <c r="AS28" s="12">
        <v>1.0</v>
      </c>
      <c r="AT28" s="12">
        <f t="shared" si="5"/>
        <v>7</v>
      </c>
      <c r="AU28" s="12" t="s">
        <v>308</v>
      </c>
    </row>
    <row r="29">
      <c r="A29" s="14">
        <f>IFERROR(__xludf.DUMMYFUNCTION("IF(E29="""", """", VALUE(REGEXREPLACE(E29, ""^[Pp]"", """")))"),8.0)</f>
        <v>8</v>
      </c>
      <c r="B29" s="14">
        <v>465.0</v>
      </c>
      <c r="C29" s="15">
        <v>45867.12847222222</v>
      </c>
      <c r="D29" s="12" t="s">
        <v>309</v>
      </c>
      <c r="E29" s="12" t="s">
        <v>289</v>
      </c>
      <c r="F29" s="12" t="s">
        <v>216</v>
      </c>
      <c r="G29" s="12" t="str">
        <f>IFERROR(__xludf.DUMMYFUNCTION("IF(SPLIT(F29,""-"")=""HR"",""High"",""Low"")"),"Low")</f>
        <v>Low</v>
      </c>
      <c r="H29" s="12" t="str">
        <f>IFERROR(__xludf.DUMMYFUNCTION("INDEX(SPLIT(F29, ""-""), 2)"),"Web")</f>
        <v>Web</v>
      </c>
      <c r="I29" s="12">
        <v>4.0</v>
      </c>
      <c r="J29" s="12">
        <v>7.0</v>
      </c>
      <c r="K29" s="12">
        <v>6.0</v>
      </c>
      <c r="L29" s="12" t="s">
        <v>199</v>
      </c>
      <c r="M29" s="12">
        <v>7.0</v>
      </c>
      <c r="N29" s="12">
        <v>7.0</v>
      </c>
      <c r="O29" s="12">
        <v>6.0</v>
      </c>
      <c r="P29" s="12">
        <v>7.0</v>
      </c>
      <c r="Q29" s="12">
        <v>7.0</v>
      </c>
      <c r="R29" s="12">
        <v>7.0</v>
      </c>
      <c r="S29" s="12">
        <v>7.0</v>
      </c>
      <c r="T29" s="12">
        <v>7.0</v>
      </c>
      <c r="U29" s="12">
        <v>6.0</v>
      </c>
      <c r="V29" s="12">
        <v>4.0</v>
      </c>
      <c r="W29" s="12">
        <v>7.0</v>
      </c>
      <c r="X29" s="12">
        <v>6.0</v>
      </c>
      <c r="Y29" s="12">
        <f t="shared" si="1"/>
        <v>2</v>
      </c>
      <c r="Z29" s="12" t="s">
        <v>310</v>
      </c>
      <c r="AA29" s="12" t="s">
        <v>206</v>
      </c>
      <c r="AB29" s="12">
        <v>7.0</v>
      </c>
      <c r="AC29" s="12">
        <v>6.0</v>
      </c>
      <c r="AD29" s="12">
        <v>6.0</v>
      </c>
      <c r="AE29" s="12">
        <v>6.0</v>
      </c>
      <c r="AF29" s="12">
        <v>7.0</v>
      </c>
      <c r="AG29" s="12">
        <v>6.0</v>
      </c>
      <c r="AH29" s="12" t="s">
        <v>311</v>
      </c>
      <c r="AI29" s="12" t="s">
        <v>206</v>
      </c>
      <c r="AJ29" s="12">
        <v>6.0</v>
      </c>
      <c r="AK29" s="12">
        <v>7.0</v>
      </c>
      <c r="AL29" s="12">
        <v>7.0</v>
      </c>
      <c r="AM29" s="12">
        <v>1.0</v>
      </c>
      <c r="AN29" s="12">
        <f t="shared" si="2"/>
        <v>7</v>
      </c>
      <c r="AO29" s="12">
        <v>1.0</v>
      </c>
      <c r="AP29" s="12">
        <f t="shared" si="3"/>
        <v>7</v>
      </c>
      <c r="AQ29" s="12">
        <v>1.0</v>
      </c>
      <c r="AR29" s="12">
        <f t="shared" si="4"/>
        <v>7</v>
      </c>
      <c r="AS29" s="12">
        <v>1.0</v>
      </c>
      <c r="AT29" s="12">
        <f t="shared" si="5"/>
        <v>7</v>
      </c>
      <c r="AU29" s="12" t="s">
        <v>312</v>
      </c>
    </row>
    <row r="30">
      <c r="A30" s="14">
        <f>IFERROR(__xludf.DUMMYFUNCTION("IF(E30="""", """", VALUE(REGEXREPLACE(E30, ""^[Pp]"", """")))"),9.0)</f>
        <v>9</v>
      </c>
      <c r="B30" s="14">
        <v>845.0</v>
      </c>
      <c r="C30" s="15">
        <v>45867.2125</v>
      </c>
      <c r="D30" s="12" t="s">
        <v>317</v>
      </c>
      <c r="E30" s="12" t="s">
        <v>318</v>
      </c>
      <c r="F30" s="12" t="s">
        <v>197</v>
      </c>
      <c r="G30" s="12" t="str">
        <f>IFERROR(__xludf.DUMMYFUNCTION("IF(SPLIT(F30,""-"")=""HR"",""High"",""Low"")"),"High")</f>
        <v>High</v>
      </c>
      <c r="H30" s="12" t="str">
        <f>IFERROR(__xludf.DUMMYFUNCTION("INDEX(SPLIT(F30, ""-""), 2)"),"VR")</f>
        <v>VR</v>
      </c>
      <c r="I30" s="12">
        <v>1.0</v>
      </c>
      <c r="J30" s="12">
        <v>3.0</v>
      </c>
      <c r="K30" s="12">
        <v>2.0</v>
      </c>
      <c r="L30" s="12" t="s">
        <v>199</v>
      </c>
      <c r="M30" s="12">
        <v>3.0</v>
      </c>
      <c r="N30" s="12">
        <v>5.0</v>
      </c>
      <c r="O30" s="12">
        <v>3.0</v>
      </c>
      <c r="P30" s="12">
        <v>4.0</v>
      </c>
      <c r="Q30" s="12">
        <v>3.0</v>
      </c>
      <c r="R30" s="12">
        <v>5.0</v>
      </c>
      <c r="S30" s="12">
        <v>6.0</v>
      </c>
      <c r="T30" s="12">
        <v>4.0</v>
      </c>
      <c r="U30" s="12">
        <v>2.0</v>
      </c>
      <c r="V30" s="12">
        <v>1.0</v>
      </c>
      <c r="W30" s="12">
        <v>4.0</v>
      </c>
      <c r="X30" s="12">
        <v>6.0</v>
      </c>
      <c r="Y30" s="12">
        <f t="shared" si="1"/>
        <v>2</v>
      </c>
      <c r="Z30" s="12" t="s">
        <v>319</v>
      </c>
      <c r="AA30" s="12" t="s">
        <v>206</v>
      </c>
      <c r="AB30" s="12">
        <v>3.0</v>
      </c>
      <c r="AC30" s="12">
        <v>5.0</v>
      </c>
      <c r="AD30" s="12">
        <v>5.0</v>
      </c>
      <c r="AE30" s="12">
        <v>6.0</v>
      </c>
      <c r="AF30" s="12">
        <v>5.0</v>
      </c>
      <c r="AG30" s="12">
        <v>6.0</v>
      </c>
      <c r="AH30" s="12" t="s">
        <v>320</v>
      </c>
      <c r="AI30" s="12" t="s">
        <v>206</v>
      </c>
      <c r="AJ30" s="12">
        <v>5.0</v>
      </c>
      <c r="AK30" s="12">
        <v>6.0</v>
      </c>
      <c r="AL30" s="12">
        <v>6.0</v>
      </c>
      <c r="AM30" s="12">
        <v>1.0</v>
      </c>
      <c r="AN30" s="12">
        <f t="shared" si="2"/>
        <v>7</v>
      </c>
      <c r="AO30" s="12">
        <v>1.0</v>
      </c>
      <c r="AP30" s="12">
        <f t="shared" si="3"/>
        <v>7</v>
      </c>
      <c r="AQ30" s="12">
        <v>1.0</v>
      </c>
      <c r="AR30" s="12">
        <f t="shared" si="4"/>
        <v>7</v>
      </c>
      <c r="AS30" s="12">
        <v>1.0</v>
      </c>
      <c r="AT30" s="12">
        <f t="shared" si="5"/>
        <v>7</v>
      </c>
      <c r="AU30" s="12" t="s">
        <v>321</v>
      </c>
    </row>
    <row r="31">
      <c r="A31" s="14">
        <f>IFERROR(__xludf.DUMMYFUNCTION("IF(E31="""", """", VALUE(REGEXREPLACE(E31, ""^[Pp]"", """")))"),9.0)</f>
        <v>9</v>
      </c>
      <c r="B31" s="14">
        <v>353.0</v>
      </c>
      <c r="C31" s="15">
        <v>45867.22222222222</v>
      </c>
      <c r="D31" s="12" t="s">
        <v>322</v>
      </c>
      <c r="E31" s="12" t="s">
        <v>318</v>
      </c>
      <c r="F31" s="12" t="s">
        <v>211</v>
      </c>
      <c r="G31" s="12" t="str">
        <f>IFERROR(__xludf.DUMMYFUNCTION("IF(SPLIT(F31,""-"")=""HR"",""High"",""Low"")"),"High")</f>
        <v>High</v>
      </c>
      <c r="H31" s="12" t="str">
        <f>IFERROR(__xludf.DUMMYFUNCTION("INDEX(SPLIT(F31, ""-""), 2)"),"Web")</f>
        <v>Web</v>
      </c>
      <c r="I31" s="12">
        <v>2.0</v>
      </c>
      <c r="J31" s="12">
        <v>5.0</v>
      </c>
      <c r="K31" s="12">
        <v>4.0</v>
      </c>
      <c r="L31" s="12" t="s">
        <v>199</v>
      </c>
      <c r="M31" s="12">
        <v>6.0</v>
      </c>
      <c r="N31" s="12">
        <v>5.0</v>
      </c>
      <c r="O31" s="12">
        <v>3.0</v>
      </c>
      <c r="P31" s="12">
        <v>4.0</v>
      </c>
      <c r="Q31" s="12">
        <v>4.0</v>
      </c>
      <c r="R31" s="12">
        <v>6.0</v>
      </c>
      <c r="S31" s="12">
        <v>6.0</v>
      </c>
      <c r="T31" s="12">
        <v>6.0</v>
      </c>
      <c r="U31" s="12">
        <v>2.0</v>
      </c>
      <c r="V31" s="12">
        <v>3.0</v>
      </c>
      <c r="W31" s="12">
        <v>4.0</v>
      </c>
      <c r="X31" s="12">
        <v>5.0</v>
      </c>
      <c r="Y31" s="12">
        <f t="shared" si="1"/>
        <v>3</v>
      </c>
      <c r="Z31" s="12" t="s">
        <v>323</v>
      </c>
      <c r="AA31" s="12" t="s">
        <v>206</v>
      </c>
      <c r="AB31" s="12">
        <v>6.0</v>
      </c>
      <c r="AC31" s="12">
        <v>6.0</v>
      </c>
      <c r="AD31" s="12">
        <v>6.0</v>
      </c>
      <c r="AE31" s="12">
        <v>7.0</v>
      </c>
      <c r="AF31" s="12">
        <v>7.0</v>
      </c>
      <c r="AG31" s="12">
        <v>6.0</v>
      </c>
      <c r="AH31" s="12" t="s">
        <v>324</v>
      </c>
      <c r="AI31" s="12" t="s">
        <v>206</v>
      </c>
      <c r="AJ31" s="12">
        <v>6.0</v>
      </c>
      <c r="AK31" s="12">
        <v>6.0</v>
      </c>
      <c r="AL31" s="12">
        <v>6.0</v>
      </c>
      <c r="AM31" s="12">
        <v>1.0</v>
      </c>
      <c r="AN31" s="12">
        <f t="shared" si="2"/>
        <v>7</v>
      </c>
      <c r="AO31" s="12">
        <v>1.0</v>
      </c>
      <c r="AP31" s="12">
        <f t="shared" si="3"/>
        <v>7</v>
      </c>
      <c r="AQ31" s="12">
        <v>1.0</v>
      </c>
      <c r="AR31" s="12">
        <f t="shared" si="4"/>
        <v>7</v>
      </c>
      <c r="AS31" s="12">
        <v>1.0</v>
      </c>
      <c r="AT31" s="12">
        <f t="shared" si="5"/>
        <v>7</v>
      </c>
      <c r="AU31" s="12" t="s">
        <v>325</v>
      </c>
    </row>
    <row r="32">
      <c r="A32" s="14">
        <f>IFERROR(__xludf.DUMMYFUNCTION("IF(E32="""", """", VALUE(REGEXREPLACE(E32, ""^[Pp]"", """")))"),9.0)</f>
        <v>9</v>
      </c>
      <c r="B32" s="14">
        <v>560.0</v>
      </c>
      <c r="C32" s="15">
        <v>45867.23125</v>
      </c>
      <c r="D32" s="12" t="s">
        <v>326</v>
      </c>
      <c r="E32" s="12" t="s">
        <v>318</v>
      </c>
      <c r="F32" s="12" t="s">
        <v>216</v>
      </c>
      <c r="G32" s="12" t="str">
        <f>IFERROR(__xludf.DUMMYFUNCTION("IF(SPLIT(F32,""-"")=""HR"",""High"",""Low"")"),"Low")</f>
        <v>Low</v>
      </c>
      <c r="H32" s="12" t="str">
        <f>IFERROR(__xludf.DUMMYFUNCTION("INDEX(SPLIT(F32, ""-""), 2)"),"Web")</f>
        <v>Web</v>
      </c>
      <c r="I32" s="12">
        <v>3.0</v>
      </c>
      <c r="J32" s="12">
        <v>4.0</v>
      </c>
      <c r="K32" s="12">
        <v>3.0</v>
      </c>
      <c r="L32" s="12" t="s">
        <v>199</v>
      </c>
      <c r="M32" s="12">
        <v>6.0</v>
      </c>
      <c r="N32" s="12">
        <v>6.0</v>
      </c>
      <c r="O32" s="12">
        <v>3.0</v>
      </c>
      <c r="P32" s="12">
        <v>3.0</v>
      </c>
      <c r="Q32" s="12">
        <v>5.0</v>
      </c>
      <c r="R32" s="12">
        <v>6.0</v>
      </c>
      <c r="S32" s="12">
        <v>6.0</v>
      </c>
      <c r="T32" s="12">
        <v>5.0</v>
      </c>
      <c r="U32" s="12">
        <v>3.0</v>
      </c>
      <c r="V32" s="12">
        <v>4.0</v>
      </c>
      <c r="W32" s="12">
        <v>3.0</v>
      </c>
      <c r="X32" s="12">
        <v>5.0</v>
      </c>
      <c r="Y32" s="12">
        <f t="shared" si="1"/>
        <v>3</v>
      </c>
      <c r="Z32" s="12" t="s">
        <v>327</v>
      </c>
      <c r="AA32" s="12" t="s">
        <v>206</v>
      </c>
      <c r="AB32" s="12">
        <v>6.0</v>
      </c>
      <c r="AC32" s="12">
        <v>7.0</v>
      </c>
      <c r="AD32" s="12">
        <v>6.0</v>
      </c>
      <c r="AE32" s="12">
        <v>7.0</v>
      </c>
      <c r="AF32" s="12">
        <v>7.0</v>
      </c>
      <c r="AG32" s="12">
        <v>7.0</v>
      </c>
      <c r="AH32" s="12" t="s">
        <v>328</v>
      </c>
      <c r="AI32" s="12" t="s">
        <v>206</v>
      </c>
      <c r="AJ32" s="12">
        <v>6.0</v>
      </c>
      <c r="AK32" s="12">
        <v>7.0</v>
      </c>
      <c r="AL32" s="12">
        <v>5.0</v>
      </c>
      <c r="AM32" s="12">
        <v>1.0</v>
      </c>
      <c r="AN32" s="12">
        <f t="shared" si="2"/>
        <v>7</v>
      </c>
      <c r="AO32" s="12">
        <v>1.0</v>
      </c>
      <c r="AP32" s="12">
        <f t="shared" si="3"/>
        <v>7</v>
      </c>
      <c r="AQ32" s="12">
        <v>1.0</v>
      </c>
      <c r="AR32" s="12">
        <f t="shared" si="4"/>
        <v>7</v>
      </c>
      <c r="AS32" s="12">
        <v>1.0</v>
      </c>
      <c r="AT32" s="12">
        <f t="shared" si="5"/>
        <v>7</v>
      </c>
      <c r="AU32" s="12" t="s">
        <v>329</v>
      </c>
    </row>
    <row r="33">
      <c r="A33" s="14">
        <f>IFERROR(__xludf.DUMMYFUNCTION("IF(E33="""", """", VALUE(REGEXREPLACE(E33, ""^[Pp]"", """")))"),9.0)</f>
        <v>9</v>
      </c>
      <c r="B33" s="14">
        <v>468.0</v>
      </c>
      <c r="C33" s="15">
        <v>45867.25486111111</v>
      </c>
      <c r="D33" s="12" t="s">
        <v>339</v>
      </c>
      <c r="E33" s="12" t="s">
        <v>318</v>
      </c>
      <c r="F33" s="12" t="s">
        <v>263</v>
      </c>
      <c r="G33" s="12" t="str">
        <f>IFERROR(__xludf.DUMMYFUNCTION("IF(SPLIT(F33,""-"")=""HR"",""High"",""Low"")"),"Low")</f>
        <v>Low</v>
      </c>
      <c r="H33" s="12" t="str">
        <f>IFERROR(__xludf.DUMMYFUNCTION("INDEX(SPLIT(F33, ""-""), 2)"),"VR")</f>
        <v>VR</v>
      </c>
      <c r="I33" s="12">
        <v>4.0</v>
      </c>
      <c r="J33" s="12">
        <v>5.0</v>
      </c>
      <c r="K33" s="12">
        <v>4.0</v>
      </c>
      <c r="L33" s="12" t="s">
        <v>199</v>
      </c>
      <c r="M33" s="12">
        <v>5.0</v>
      </c>
      <c r="N33" s="12">
        <v>6.0</v>
      </c>
      <c r="O33" s="12">
        <v>4.0</v>
      </c>
      <c r="P33" s="12">
        <v>2.0</v>
      </c>
      <c r="Q33" s="12">
        <v>4.0</v>
      </c>
      <c r="R33" s="12">
        <v>6.0</v>
      </c>
      <c r="S33" s="12">
        <v>6.0</v>
      </c>
      <c r="T33" s="12">
        <v>5.0</v>
      </c>
      <c r="U33" s="12">
        <v>4.0</v>
      </c>
      <c r="V33" s="12">
        <v>3.0</v>
      </c>
      <c r="W33" s="12">
        <v>5.0</v>
      </c>
      <c r="X33" s="12">
        <v>5.0</v>
      </c>
      <c r="Y33" s="12">
        <f t="shared" si="1"/>
        <v>3</v>
      </c>
      <c r="Z33" s="12" t="s">
        <v>340</v>
      </c>
      <c r="AA33" s="12" t="s">
        <v>206</v>
      </c>
      <c r="AB33" s="12">
        <v>5.0</v>
      </c>
      <c r="AC33" s="12">
        <v>7.0</v>
      </c>
      <c r="AD33" s="12">
        <v>6.0</v>
      </c>
      <c r="AE33" s="12">
        <v>7.0</v>
      </c>
      <c r="AF33" s="12">
        <v>7.0</v>
      </c>
      <c r="AG33" s="12">
        <v>7.0</v>
      </c>
      <c r="AH33" s="12" t="s">
        <v>341</v>
      </c>
      <c r="AI33" s="12" t="s">
        <v>206</v>
      </c>
      <c r="AJ33" s="12">
        <v>6.0</v>
      </c>
      <c r="AK33" s="12">
        <v>3.0</v>
      </c>
      <c r="AL33" s="12">
        <v>5.0</v>
      </c>
      <c r="AM33" s="12">
        <v>4.0</v>
      </c>
      <c r="AN33" s="12">
        <f t="shared" si="2"/>
        <v>4</v>
      </c>
      <c r="AO33" s="12">
        <v>1.0</v>
      </c>
      <c r="AP33" s="12">
        <f t="shared" si="3"/>
        <v>7</v>
      </c>
      <c r="AQ33" s="12">
        <v>5.0</v>
      </c>
      <c r="AR33" s="12">
        <f t="shared" si="4"/>
        <v>3</v>
      </c>
      <c r="AS33" s="12">
        <v>3.0</v>
      </c>
      <c r="AT33" s="12">
        <f t="shared" si="5"/>
        <v>5</v>
      </c>
      <c r="AU33" s="12" t="s">
        <v>342</v>
      </c>
    </row>
    <row r="34">
      <c r="A34" s="14">
        <f>IFERROR(__xludf.DUMMYFUNCTION("IF(E34="""", """", VALUE(REGEXREPLACE(E34, ""^[Pp]"", """")))"),10.0)</f>
        <v>10</v>
      </c>
      <c r="B34" s="14">
        <v>990.0</v>
      </c>
      <c r="C34" s="15">
        <v>45867.240277777775</v>
      </c>
      <c r="D34" s="12" t="s">
        <v>330</v>
      </c>
      <c r="E34" s="12" t="s">
        <v>331</v>
      </c>
      <c r="F34" s="12" t="s">
        <v>197</v>
      </c>
      <c r="G34" s="12" t="str">
        <f>IFERROR(__xludf.DUMMYFUNCTION("IF(SPLIT(F34,""-"")=""HR"",""High"",""Low"")"),"High")</f>
        <v>High</v>
      </c>
      <c r="H34" s="12" t="str">
        <f>IFERROR(__xludf.DUMMYFUNCTION("INDEX(SPLIT(F34, ""-""), 2)"),"VR")</f>
        <v>VR</v>
      </c>
      <c r="I34" s="12">
        <v>1.0</v>
      </c>
      <c r="J34" s="12">
        <v>6.0</v>
      </c>
      <c r="K34" s="12">
        <v>6.0</v>
      </c>
      <c r="L34" s="12" t="s">
        <v>199</v>
      </c>
      <c r="M34" s="12">
        <v>6.0</v>
      </c>
      <c r="N34" s="12">
        <v>7.0</v>
      </c>
      <c r="O34" s="12">
        <v>5.0</v>
      </c>
      <c r="P34" s="12">
        <v>6.0</v>
      </c>
      <c r="Q34" s="12">
        <v>6.0</v>
      </c>
      <c r="R34" s="12">
        <v>5.0</v>
      </c>
      <c r="S34" s="12">
        <v>5.0</v>
      </c>
      <c r="T34" s="12">
        <v>7.0</v>
      </c>
      <c r="U34" s="12">
        <v>3.0</v>
      </c>
      <c r="V34" s="12">
        <v>5.0</v>
      </c>
      <c r="W34" s="12">
        <v>7.0</v>
      </c>
      <c r="X34" s="12">
        <v>2.0</v>
      </c>
      <c r="Y34" s="12">
        <f t="shared" si="1"/>
        <v>6</v>
      </c>
      <c r="Z34" s="12" t="s">
        <v>332</v>
      </c>
      <c r="AA34" s="12" t="s">
        <v>206</v>
      </c>
      <c r="AB34" s="12">
        <v>5.0</v>
      </c>
      <c r="AC34" s="12">
        <v>7.0</v>
      </c>
      <c r="AD34" s="12">
        <v>7.0</v>
      </c>
      <c r="AE34" s="12">
        <v>7.0</v>
      </c>
      <c r="AF34" s="12">
        <v>7.0</v>
      </c>
      <c r="AG34" s="12">
        <v>4.0</v>
      </c>
      <c r="AH34" s="12" t="s">
        <v>333</v>
      </c>
      <c r="AI34" s="12" t="s">
        <v>206</v>
      </c>
      <c r="AJ34" s="12">
        <v>7.0</v>
      </c>
      <c r="AK34" s="12">
        <v>6.0</v>
      </c>
      <c r="AL34" s="12">
        <v>7.0</v>
      </c>
      <c r="AM34" s="12">
        <v>2.0</v>
      </c>
      <c r="AN34" s="12">
        <f t="shared" si="2"/>
        <v>6</v>
      </c>
      <c r="AO34" s="12">
        <v>1.0</v>
      </c>
      <c r="AP34" s="12">
        <f t="shared" si="3"/>
        <v>7</v>
      </c>
      <c r="AQ34" s="12">
        <v>2.0</v>
      </c>
      <c r="AR34" s="12">
        <f t="shared" si="4"/>
        <v>6</v>
      </c>
      <c r="AS34" s="12">
        <v>1.0</v>
      </c>
      <c r="AT34" s="12">
        <f t="shared" si="5"/>
        <v>7</v>
      </c>
      <c r="AU34" s="12" t="s">
        <v>334</v>
      </c>
    </row>
    <row r="35">
      <c r="A35" s="14">
        <f>IFERROR(__xludf.DUMMYFUNCTION("IF(E35="""", """", VALUE(REGEXREPLACE(E35, ""^[Pp]"", """")))"),10.0)</f>
        <v>10</v>
      </c>
      <c r="B35" s="14">
        <v>934.0</v>
      </c>
      <c r="C35" s="15">
        <v>45867.25208333333</v>
      </c>
      <c r="D35" s="12" t="s">
        <v>335</v>
      </c>
      <c r="E35" s="12" t="s">
        <v>331</v>
      </c>
      <c r="F35" s="12" t="s">
        <v>211</v>
      </c>
      <c r="G35" s="12" t="str">
        <f>IFERROR(__xludf.DUMMYFUNCTION("IF(SPLIT(F35,""-"")=""HR"",""High"",""Low"")"),"High")</f>
        <v>High</v>
      </c>
      <c r="H35" s="12" t="str">
        <f>IFERROR(__xludf.DUMMYFUNCTION("INDEX(SPLIT(F35, ""-""), 2)"),"Web")</f>
        <v>Web</v>
      </c>
      <c r="I35" s="12">
        <v>2.0</v>
      </c>
      <c r="J35" s="12">
        <v>5.0</v>
      </c>
      <c r="K35" s="12">
        <v>6.0</v>
      </c>
      <c r="L35" s="12" t="s">
        <v>199</v>
      </c>
      <c r="M35" s="12">
        <v>6.0</v>
      </c>
      <c r="N35" s="12">
        <v>6.0</v>
      </c>
      <c r="O35" s="12">
        <v>6.0</v>
      </c>
      <c r="P35" s="12">
        <v>6.0</v>
      </c>
      <c r="Q35" s="12">
        <v>7.0</v>
      </c>
      <c r="R35" s="12">
        <v>6.0</v>
      </c>
      <c r="S35" s="12">
        <v>5.0</v>
      </c>
      <c r="T35" s="12">
        <v>7.0</v>
      </c>
      <c r="U35" s="12">
        <v>6.0</v>
      </c>
      <c r="V35" s="12">
        <v>3.0</v>
      </c>
      <c r="W35" s="12">
        <v>6.0</v>
      </c>
      <c r="X35" s="12">
        <v>2.0</v>
      </c>
      <c r="Y35" s="12">
        <f t="shared" si="1"/>
        <v>6</v>
      </c>
      <c r="Z35" s="12" t="s">
        <v>336</v>
      </c>
      <c r="AA35" s="12" t="s">
        <v>206</v>
      </c>
      <c r="AB35" s="12">
        <v>6.0</v>
      </c>
      <c r="AC35" s="12">
        <v>6.0</v>
      </c>
      <c r="AD35" s="12">
        <v>7.0</v>
      </c>
      <c r="AE35" s="12">
        <v>7.0</v>
      </c>
      <c r="AF35" s="12">
        <v>6.0</v>
      </c>
      <c r="AG35" s="12">
        <v>3.0</v>
      </c>
      <c r="AH35" s="12" t="s">
        <v>337</v>
      </c>
      <c r="AI35" s="12" t="s">
        <v>206</v>
      </c>
      <c r="AJ35" s="12">
        <v>7.0</v>
      </c>
      <c r="AK35" s="12">
        <v>7.0</v>
      </c>
      <c r="AL35" s="12">
        <v>7.0</v>
      </c>
      <c r="AM35" s="12">
        <v>1.0</v>
      </c>
      <c r="AN35" s="12">
        <f t="shared" si="2"/>
        <v>7</v>
      </c>
      <c r="AO35" s="12">
        <v>1.0</v>
      </c>
      <c r="AP35" s="12">
        <f t="shared" si="3"/>
        <v>7</v>
      </c>
      <c r="AQ35" s="12">
        <v>1.0</v>
      </c>
      <c r="AR35" s="12">
        <f t="shared" si="4"/>
        <v>7</v>
      </c>
      <c r="AS35" s="12">
        <v>1.0</v>
      </c>
      <c r="AT35" s="12">
        <f t="shared" si="5"/>
        <v>7</v>
      </c>
      <c r="AU35" s="12" t="s">
        <v>338</v>
      </c>
    </row>
    <row r="36">
      <c r="A36" s="14">
        <f>IFERROR(__xludf.DUMMYFUNCTION("IF(E36="""", """", VALUE(REGEXREPLACE(E36, ""^[Pp]"", """")))"),10.0)</f>
        <v>10</v>
      </c>
      <c r="B36" s="14">
        <v>4924.0</v>
      </c>
      <c r="C36" s="15">
        <v>45867.26388888889</v>
      </c>
      <c r="D36" s="12" t="s">
        <v>343</v>
      </c>
      <c r="E36" s="12" t="s">
        <v>331</v>
      </c>
      <c r="F36" s="12" t="s">
        <v>216</v>
      </c>
      <c r="G36" s="12" t="str">
        <f>IFERROR(__xludf.DUMMYFUNCTION("IF(SPLIT(F36,""-"")=""HR"",""High"",""Low"")"),"Low")</f>
        <v>Low</v>
      </c>
      <c r="H36" s="12" t="str">
        <f>IFERROR(__xludf.DUMMYFUNCTION("INDEX(SPLIT(F36, ""-""), 2)"),"Web")</f>
        <v>Web</v>
      </c>
      <c r="I36" s="12">
        <v>3.0</v>
      </c>
      <c r="J36" s="12">
        <v>6.0</v>
      </c>
      <c r="K36" s="12">
        <v>6.0</v>
      </c>
      <c r="L36" s="12" t="s">
        <v>199</v>
      </c>
      <c r="M36" s="12">
        <v>6.0</v>
      </c>
      <c r="N36" s="12">
        <v>7.0</v>
      </c>
      <c r="O36" s="12">
        <v>6.0</v>
      </c>
      <c r="P36" s="12">
        <v>6.0</v>
      </c>
      <c r="Q36" s="12">
        <v>6.0</v>
      </c>
      <c r="R36" s="12">
        <v>6.0</v>
      </c>
      <c r="S36" s="12">
        <v>5.0</v>
      </c>
      <c r="T36" s="12">
        <v>6.0</v>
      </c>
      <c r="U36" s="12">
        <v>6.0</v>
      </c>
      <c r="V36" s="12">
        <v>3.0</v>
      </c>
      <c r="W36" s="12">
        <v>6.0</v>
      </c>
      <c r="X36" s="12">
        <v>5.0</v>
      </c>
      <c r="Y36" s="12">
        <f t="shared" si="1"/>
        <v>3</v>
      </c>
      <c r="Z36" s="12" t="s">
        <v>344</v>
      </c>
      <c r="AA36" s="12" t="s">
        <v>206</v>
      </c>
      <c r="AB36" s="12">
        <v>6.0</v>
      </c>
      <c r="AC36" s="12">
        <v>6.0</v>
      </c>
      <c r="AD36" s="12">
        <v>6.0</v>
      </c>
      <c r="AE36" s="12">
        <v>6.0</v>
      </c>
      <c r="AF36" s="12">
        <v>6.0</v>
      </c>
      <c r="AG36" s="12">
        <v>6.0</v>
      </c>
      <c r="AH36" s="12" t="s">
        <v>345</v>
      </c>
      <c r="AI36" s="12" t="s">
        <v>206</v>
      </c>
      <c r="AJ36" s="12">
        <v>6.0</v>
      </c>
      <c r="AK36" s="12">
        <v>7.0</v>
      </c>
      <c r="AL36" s="12">
        <v>6.0</v>
      </c>
      <c r="AM36" s="12">
        <v>1.0</v>
      </c>
      <c r="AN36" s="12">
        <f t="shared" si="2"/>
        <v>7</v>
      </c>
      <c r="AO36" s="12">
        <v>1.0</v>
      </c>
      <c r="AP36" s="12">
        <f t="shared" si="3"/>
        <v>7</v>
      </c>
      <c r="AQ36" s="12">
        <v>1.0</v>
      </c>
      <c r="AR36" s="12">
        <f t="shared" si="4"/>
        <v>7</v>
      </c>
      <c r="AS36" s="12">
        <v>1.0</v>
      </c>
      <c r="AT36" s="12">
        <f t="shared" si="5"/>
        <v>7</v>
      </c>
      <c r="AU36" s="12" t="s">
        <v>346</v>
      </c>
    </row>
    <row r="37">
      <c r="A37" s="14">
        <f>IFERROR(__xludf.DUMMYFUNCTION("IF(E37="""", """", VALUE(REGEXREPLACE(E37, ""^[Pp]"", """")))"),10.0)</f>
        <v>10</v>
      </c>
      <c r="B37" s="14">
        <v>764.0</v>
      </c>
      <c r="C37" s="15">
        <v>45867.27569444444</v>
      </c>
      <c r="D37" s="12" t="s">
        <v>348</v>
      </c>
      <c r="E37" s="12" t="s">
        <v>331</v>
      </c>
      <c r="F37" s="12" t="s">
        <v>263</v>
      </c>
      <c r="G37" s="12" t="str">
        <f>IFERROR(__xludf.DUMMYFUNCTION("IF(SPLIT(F37,""-"")=""HR"",""High"",""Low"")"),"Low")</f>
        <v>Low</v>
      </c>
      <c r="H37" s="12" t="str">
        <f>IFERROR(__xludf.DUMMYFUNCTION("INDEX(SPLIT(F37, ""-""), 2)"),"VR")</f>
        <v>VR</v>
      </c>
      <c r="I37" s="12">
        <v>4.0</v>
      </c>
      <c r="J37" s="12">
        <v>7.0</v>
      </c>
      <c r="K37" s="12">
        <v>6.0</v>
      </c>
      <c r="L37" s="12" t="s">
        <v>199</v>
      </c>
      <c r="M37" s="12">
        <v>6.0</v>
      </c>
      <c r="N37" s="12">
        <v>6.0</v>
      </c>
      <c r="O37" s="12">
        <v>7.0</v>
      </c>
      <c r="P37" s="12">
        <v>6.0</v>
      </c>
      <c r="Q37" s="12">
        <v>7.0</v>
      </c>
      <c r="R37" s="12">
        <v>6.0</v>
      </c>
      <c r="S37" s="12">
        <v>6.0</v>
      </c>
      <c r="T37" s="12">
        <v>5.0</v>
      </c>
      <c r="U37" s="12">
        <v>6.0</v>
      </c>
      <c r="V37" s="12">
        <v>2.0</v>
      </c>
      <c r="W37" s="12">
        <v>6.0</v>
      </c>
      <c r="X37" s="12">
        <v>2.0</v>
      </c>
      <c r="Y37" s="12">
        <f t="shared" si="1"/>
        <v>6</v>
      </c>
      <c r="Z37" s="12" t="s">
        <v>349</v>
      </c>
      <c r="AA37" s="12" t="s">
        <v>206</v>
      </c>
      <c r="AB37" s="12">
        <v>5.0</v>
      </c>
      <c r="AC37" s="12">
        <v>7.0</v>
      </c>
      <c r="AD37" s="12">
        <v>6.0</v>
      </c>
      <c r="AE37" s="12">
        <v>5.0</v>
      </c>
      <c r="AF37" s="12">
        <v>6.0</v>
      </c>
      <c r="AG37" s="12">
        <v>6.0</v>
      </c>
      <c r="AH37" s="12" t="s">
        <v>350</v>
      </c>
      <c r="AI37" s="12" t="s">
        <v>206</v>
      </c>
      <c r="AJ37" s="12">
        <v>6.0</v>
      </c>
      <c r="AK37" s="12">
        <v>7.0</v>
      </c>
      <c r="AL37" s="12">
        <v>7.0</v>
      </c>
      <c r="AM37" s="12">
        <v>2.0</v>
      </c>
      <c r="AN37" s="12">
        <f t="shared" si="2"/>
        <v>6</v>
      </c>
      <c r="AO37" s="12">
        <v>3.0</v>
      </c>
      <c r="AP37" s="12">
        <f t="shared" si="3"/>
        <v>5</v>
      </c>
      <c r="AQ37" s="12">
        <v>2.0</v>
      </c>
      <c r="AR37" s="12">
        <f t="shared" si="4"/>
        <v>6</v>
      </c>
      <c r="AS37" s="12">
        <v>1.0</v>
      </c>
      <c r="AT37" s="12">
        <f t="shared" si="5"/>
        <v>7</v>
      </c>
      <c r="AU37" s="12" t="s">
        <v>351</v>
      </c>
    </row>
    <row r="38">
      <c r="A38" s="14">
        <f>IFERROR(__xludf.DUMMYFUNCTION("IF(E38="""", """", VALUE(REGEXREPLACE(E38, ""^[Pp]"", """")))"),11.0)</f>
        <v>11</v>
      </c>
      <c r="B38" s="14">
        <v>1716.0</v>
      </c>
      <c r="C38" s="15">
        <v>45867.29375</v>
      </c>
      <c r="D38" s="12" t="s">
        <v>361</v>
      </c>
      <c r="E38" s="12" t="s">
        <v>362</v>
      </c>
      <c r="F38" s="12" t="s">
        <v>216</v>
      </c>
      <c r="G38" s="12" t="str">
        <f>IFERROR(__xludf.DUMMYFUNCTION("IF(SPLIT(F38,""-"")=""HR"",""High"",""Low"")"),"Low")</f>
        <v>Low</v>
      </c>
      <c r="H38" s="12" t="str">
        <f>IFERROR(__xludf.DUMMYFUNCTION("INDEX(SPLIT(F38, ""-""), 2)"),"Web")</f>
        <v>Web</v>
      </c>
      <c r="I38" s="12">
        <v>1.0</v>
      </c>
      <c r="J38" s="12">
        <v>5.0</v>
      </c>
      <c r="K38" s="12">
        <v>7.0</v>
      </c>
      <c r="L38" s="12" t="s">
        <v>199</v>
      </c>
      <c r="M38" s="12">
        <v>6.0</v>
      </c>
      <c r="N38" s="12">
        <v>7.0</v>
      </c>
      <c r="O38" s="12">
        <v>3.0</v>
      </c>
      <c r="P38" s="12">
        <v>6.0</v>
      </c>
      <c r="Q38" s="12">
        <v>7.0</v>
      </c>
      <c r="R38" s="12">
        <v>7.0</v>
      </c>
      <c r="S38" s="12">
        <v>7.0</v>
      </c>
      <c r="T38" s="12">
        <v>7.0</v>
      </c>
      <c r="U38" s="12">
        <v>2.0</v>
      </c>
      <c r="V38" s="12">
        <v>5.0</v>
      </c>
      <c r="W38" s="12">
        <v>5.0</v>
      </c>
      <c r="X38" s="12">
        <v>4.0</v>
      </c>
      <c r="Y38" s="12">
        <f t="shared" si="1"/>
        <v>4</v>
      </c>
      <c r="Z38" s="16" t="s">
        <v>363</v>
      </c>
      <c r="AA38" s="12" t="s">
        <v>206</v>
      </c>
      <c r="AB38" s="12">
        <v>6.0</v>
      </c>
      <c r="AC38" s="12">
        <v>6.0</v>
      </c>
      <c r="AD38" s="12">
        <v>7.0</v>
      </c>
      <c r="AE38" s="12">
        <v>7.0</v>
      </c>
      <c r="AF38" s="12">
        <v>7.0</v>
      </c>
      <c r="AG38" s="12">
        <v>7.0</v>
      </c>
      <c r="AH38" s="12" t="s">
        <v>364</v>
      </c>
      <c r="AI38" s="12" t="s">
        <v>206</v>
      </c>
      <c r="AJ38" s="12">
        <v>7.0</v>
      </c>
      <c r="AK38" s="12">
        <v>6.0</v>
      </c>
      <c r="AL38" s="12">
        <v>7.0</v>
      </c>
      <c r="AM38" s="12">
        <v>1.0</v>
      </c>
      <c r="AN38" s="12">
        <f t="shared" si="2"/>
        <v>7</v>
      </c>
      <c r="AO38" s="12">
        <v>1.0</v>
      </c>
      <c r="AP38" s="12">
        <f t="shared" si="3"/>
        <v>7</v>
      </c>
      <c r="AQ38" s="12">
        <v>1.0</v>
      </c>
      <c r="AR38" s="12">
        <f t="shared" si="4"/>
        <v>7</v>
      </c>
      <c r="AS38" s="12">
        <v>1.0</v>
      </c>
      <c r="AT38" s="12">
        <f t="shared" si="5"/>
        <v>7</v>
      </c>
      <c r="AU38" s="16" t="s">
        <v>365</v>
      </c>
    </row>
    <row r="39">
      <c r="A39" s="14">
        <f>IFERROR(__xludf.DUMMYFUNCTION("IF(E39="""", """", VALUE(REGEXREPLACE(E39, ""^[Pp]"", """")))"),11.0)</f>
        <v>11</v>
      </c>
      <c r="B39" s="14">
        <v>1333.0</v>
      </c>
      <c r="C39" s="15">
        <v>45867.34583333333</v>
      </c>
      <c r="D39" s="12" t="s">
        <v>374</v>
      </c>
      <c r="E39" s="12" t="s">
        <v>362</v>
      </c>
      <c r="F39" s="12" t="s">
        <v>263</v>
      </c>
      <c r="G39" s="12" t="str">
        <f>IFERROR(__xludf.DUMMYFUNCTION("IF(SPLIT(F39,""-"")=""HR"",""High"",""Low"")"),"Low")</f>
        <v>Low</v>
      </c>
      <c r="H39" s="12" t="str">
        <f>IFERROR(__xludf.DUMMYFUNCTION("INDEX(SPLIT(F39, ""-""), 2)"),"VR")</f>
        <v>VR</v>
      </c>
      <c r="I39" s="12">
        <v>2.0</v>
      </c>
      <c r="J39" s="12">
        <v>6.0</v>
      </c>
      <c r="K39" s="12">
        <v>6.0</v>
      </c>
      <c r="L39" s="12" t="s">
        <v>199</v>
      </c>
      <c r="M39" s="12">
        <v>7.0</v>
      </c>
      <c r="N39" s="12">
        <v>3.0</v>
      </c>
      <c r="O39" s="12">
        <v>5.0</v>
      </c>
      <c r="P39" s="12">
        <v>6.0</v>
      </c>
      <c r="Q39" s="12">
        <v>7.0</v>
      </c>
      <c r="R39" s="12">
        <v>7.0</v>
      </c>
      <c r="S39" s="12">
        <v>7.0</v>
      </c>
      <c r="T39" s="12">
        <v>7.0</v>
      </c>
      <c r="U39" s="12">
        <v>5.0</v>
      </c>
      <c r="V39" s="12">
        <v>5.0</v>
      </c>
      <c r="W39" s="12">
        <v>7.0</v>
      </c>
      <c r="X39" s="12">
        <v>5.0</v>
      </c>
      <c r="Y39" s="12">
        <f t="shared" si="1"/>
        <v>3</v>
      </c>
      <c r="Z39" s="12" t="s">
        <v>375</v>
      </c>
      <c r="AA39" s="12" t="s">
        <v>206</v>
      </c>
      <c r="AB39" s="12">
        <v>6.0</v>
      </c>
      <c r="AC39" s="12">
        <v>7.0</v>
      </c>
      <c r="AD39" s="12">
        <v>7.0</v>
      </c>
      <c r="AE39" s="12">
        <v>3.0</v>
      </c>
      <c r="AF39" s="12">
        <v>4.0</v>
      </c>
      <c r="AG39" s="12">
        <v>4.0</v>
      </c>
      <c r="AH39" s="12" t="s">
        <v>376</v>
      </c>
      <c r="AI39" s="12" t="s">
        <v>206</v>
      </c>
      <c r="AJ39" s="12">
        <v>6.0</v>
      </c>
      <c r="AK39" s="12">
        <v>6.0</v>
      </c>
      <c r="AL39" s="12">
        <v>6.0</v>
      </c>
      <c r="AM39" s="12">
        <v>2.0</v>
      </c>
      <c r="AN39" s="12">
        <f t="shared" si="2"/>
        <v>6</v>
      </c>
      <c r="AO39" s="12">
        <v>6.0</v>
      </c>
      <c r="AP39" s="12">
        <f t="shared" si="3"/>
        <v>2</v>
      </c>
      <c r="AQ39" s="12">
        <v>2.0</v>
      </c>
      <c r="AR39" s="12">
        <f t="shared" si="4"/>
        <v>6</v>
      </c>
      <c r="AS39" s="12">
        <v>2.0</v>
      </c>
      <c r="AT39" s="12">
        <f t="shared" si="5"/>
        <v>6</v>
      </c>
      <c r="AU39" s="12" t="s">
        <v>377</v>
      </c>
    </row>
    <row r="40">
      <c r="A40" s="14">
        <f>IFERROR(__xludf.DUMMYFUNCTION("IF(E40="""", """", VALUE(REGEXREPLACE(E40, ""^[Pp]"", """")))"),11.0)</f>
        <v>11</v>
      </c>
      <c r="B40" s="14">
        <v>1578.0</v>
      </c>
      <c r="C40" s="15">
        <v>45869.29513888889</v>
      </c>
      <c r="D40" s="12" t="s">
        <v>688</v>
      </c>
      <c r="E40" s="12" t="s">
        <v>362</v>
      </c>
      <c r="F40" s="12" t="s">
        <v>211</v>
      </c>
      <c r="G40" s="12" t="str">
        <f>IFERROR(__xludf.DUMMYFUNCTION("IF(SPLIT(F40,""-"")=""HR"",""High"",""Low"")"),"High")</f>
        <v>High</v>
      </c>
      <c r="H40" s="12" t="str">
        <f>IFERROR(__xludf.DUMMYFUNCTION("INDEX(SPLIT(F40, ""-""), 2)"),"Web")</f>
        <v>Web</v>
      </c>
      <c r="I40" s="12">
        <v>3.0</v>
      </c>
      <c r="J40" s="12">
        <v>6.0</v>
      </c>
      <c r="K40" s="12">
        <v>7.0</v>
      </c>
      <c r="L40" s="12" t="s">
        <v>199</v>
      </c>
      <c r="M40" s="12">
        <v>6.0</v>
      </c>
      <c r="N40" s="12">
        <v>6.0</v>
      </c>
      <c r="O40" s="12">
        <v>4.0</v>
      </c>
      <c r="P40" s="12">
        <v>6.0</v>
      </c>
      <c r="Q40" s="12">
        <v>5.0</v>
      </c>
      <c r="R40" s="12">
        <v>6.0</v>
      </c>
      <c r="S40" s="12">
        <v>7.0</v>
      </c>
      <c r="T40" s="12">
        <v>3.0</v>
      </c>
      <c r="U40" s="12">
        <v>4.0</v>
      </c>
      <c r="V40" s="12">
        <v>4.0</v>
      </c>
      <c r="W40" s="12">
        <v>7.0</v>
      </c>
      <c r="X40" s="12">
        <v>5.0</v>
      </c>
      <c r="Y40" s="12">
        <f t="shared" si="1"/>
        <v>3</v>
      </c>
      <c r="Z40" s="12" t="s">
        <v>689</v>
      </c>
      <c r="AA40" s="12" t="s">
        <v>206</v>
      </c>
      <c r="AB40" s="12">
        <v>4.0</v>
      </c>
      <c r="AC40" s="12">
        <v>6.0</v>
      </c>
      <c r="AD40" s="12">
        <v>7.0</v>
      </c>
      <c r="AE40" s="12">
        <v>7.0</v>
      </c>
      <c r="AF40" s="12">
        <v>7.0</v>
      </c>
      <c r="AG40" s="12">
        <v>5.0</v>
      </c>
      <c r="AH40" s="12" t="s">
        <v>690</v>
      </c>
      <c r="AI40" s="12" t="s">
        <v>206</v>
      </c>
      <c r="AJ40" s="12">
        <v>7.0</v>
      </c>
      <c r="AK40" s="12">
        <v>7.0</v>
      </c>
      <c r="AL40" s="12">
        <v>7.0</v>
      </c>
      <c r="AM40" s="12">
        <v>1.0</v>
      </c>
      <c r="AN40" s="12">
        <f t="shared" si="2"/>
        <v>7</v>
      </c>
      <c r="AO40" s="12">
        <v>1.0</v>
      </c>
      <c r="AP40" s="12">
        <f t="shared" si="3"/>
        <v>7</v>
      </c>
      <c r="AQ40" s="12">
        <v>1.0</v>
      </c>
      <c r="AR40" s="12">
        <f t="shared" si="4"/>
        <v>7</v>
      </c>
      <c r="AS40" s="12">
        <v>1.0</v>
      </c>
      <c r="AT40" s="12">
        <f t="shared" si="5"/>
        <v>7</v>
      </c>
      <c r="AU40" s="12" t="s">
        <v>691</v>
      </c>
    </row>
    <row r="41">
      <c r="A41" s="14">
        <f>IFERROR(__xludf.DUMMYFUNCTION("IF(E41="""", """", VALUE(REGEXREPLACE(E41, ""^[Pp]"", """")))"),11.0)</f>
        <v>11</v>
      </c>
      <c r="B41" s="14">
        <v>1459.0</v>
      </c>
      <c r="C41" s="15">
        <v>45869.31805555556</v>
      </c>
      <c r="D41" s="12" t="s">
        <v>704</v>
      </c>
      <c r="E41" s="12" t="s">
        <v>362</v>
      </c>
      <c r="F41" s="12" t="s">
        <v>197</v>
      </c>
      <c r="G41" s="12" t="str">
        <f>IFERROR(__xludf.DUMMYFUNCTION("IF(SPLIT(F41,""-"")=""HR"",""High"",""Low"")"),"High")</f>
        <v>High</v>
      </c>
      <c r="H41" s="12" t="str">
        <f>IFERROR(__xludf.DUMMYFUNCTION("INDEX(SPLIT(F41, ""-""), 2)"),"VR")</f>
        <v>VR</v>
      </c>
      <c r="I41" s="12">
        <v>4.0</v>
      </c>
      <c r="J41" s="12">
        <v>6.0</v>
      </c>
      <c r="K41" s="12">
        <v>6.0</v>
      </c>
      <c r="L41" s="12" t="s">
        <v>199</v>
      </c>
      <c r="M41" s="12">
        <v>6.0</v>
      </c>
      <c r="N41" s="12">
        <v>5.0</v>
      </c>
      <c r="O41" s="12">
        <v>6.0</v>
      </c>
      <c r="P41" s="12">
        <v>6.0</v>
      </c>
      <c r="Q41" s="12">
        <v>6.0</v>
      </c>
      <c r="R41" s="12">
        <v>7.0</v>
      </c>
      <c r="S41" s="12">
        <v>7.0</v>
      </c>
      <c r="T41" s="12">
        <v>7.0</v>
      </c>
      <c r="U41" s="12">
        <v>4.0</v>
      </c>
      <c r="V41" s="12">
        <v>3.0</v>
      </c>
      <c r="W41" s="12">
        <v>7.0</v>
      </c>
      <c r="X41" s="12">
        <v>5.0</v>
      </c>
      <c r="Y41" s="12">
        <f t="shared" si="1"/>
        <v>3</v>
      </c>
      <c r="Z41" s="12" t="s">
        <v>705</v>
      </c>
      <c r="AA41" s="12" t="s">
        <v>206</v>
      </c>
      <c r="AB41" s="12">
        <v>6.0</v>
      </c>
      <c r="AC41" s="12">
        <v>6.0</v>
      </c>
      <c r="AD41" s="12">
        <v>7.0</v>
      </c>
      <c r="AE41" s="12">
        <v>6.0</v>
      </c>
      <c r="AF41" s="12">
        <v>6.0</v>
      </c>
      <c r="AG41" s="12">
        <v>4.0</v>
      </c>
      <c r="AH41" s="12" t="s">
        <v>706</v>
      </c>
      <c r="AI41" s="12" t="s">
        <v>206</v>
      </c>
      <c r="AJ41" s="12">
        <v>7.0</v>
      </c>
      <c r="AK41" s="12">
        <v>5.0</v>
      </c>
      <c r="AL41" s="12">
        <v>5.0</v>
      </c>
      <c r="AM41" s="12">
        <v>2.0</v>
      </c>
      <c r="AN41" s="12">
        <f t="shared" si="2"/>
        <v>6</v>
      </c>
      <c r="AO41" s="12">
        <v>1.0</v>
      </c>
      <c r="AP41" s="12">
        <f t="shared" si="3"/>
        <v>7</v>
      </c>
      <c r="AQ41" s="12">
        <v>1.0</v>
      </c>
      <c r="AR41" s="12">
        <f t="shared" si="4"/>
        <v>7</v>
      </c>
      <c r="AS41" s="12">
        <v>3.0</v>
      </c>
      <c r="AT41" s="12">
        <f t="shared" si="5"/>
        <v>5</v>
      </c>
      <c r="AU41" s="12" t="s">
        <v>707</v>
      </c>
    </row>
    <row r="42">
      <c r="A42" s="14">
        <f>IFERROR(__xludf.DUMMYFUNCTION("IF(E42="""", """", VALUE(REGEXREPLACE(E42, ""^[Pp]"", """")))"),12.0)</f>
        <v>12</v>
      </c>
      <c r="B42" s="14">
        <v>1145.0</v>
      </c>
      <c r="C42" s="15">
        <v>45867.282638888886</v>
      </c>
      <c r="D42" s="12" t="s">
        <v>352</v>
      </c>
      <c r="E42" s="12" t="s">
        <v>353</v>
      </c>
      <c r="F42" s="12" t="s">
        <v>197</v>
      </c>
      <c r="G42" s="12" t="str">
        <f>IFERROR(__xludf.DUMMYFUNCTION("IF(SPLIT(F42,""-"")=""HR"",""High"",""Low"")"),"High")</f>
        <v>High</v>
      </c>
      <c r="H42" s="12" t="str">
        <f>IFERROR(__xludf.DUMMYFUNCTION("INDEX(SPLIT(F42, ""-""), 2)"),"VR")</f>
        <v>VR</v>
      </c>
      <c r="I42" s="12">
        <v>1.0</v>
      </c>
      <c r="J42" s="12">
        <v>2.0</v>
      </c>
      <c r="K42" s="12">
        <v>1.0</v>
      </c>
      <c r="L42" s="12" t="s">
        <v>199</v>
      </c>
      <c r="M42" s="12">
        <v>2.0</v>
      </c>
      <c r="N42" s="12">
        <v>5.0</v>
      </c>
      <c r="O42" s="12">
        <v>1.0</v>
      </c>
      <c r="P42" s="12">
        <v>4.0</v>
      </c>
      <c r="Q42" s="12">
        <v>3.0</v>
      </c>
      <c r="R42" s="12">
        <v>2.0</v>
      </c>
      <c r="S42" s="12">
        <v>4.0</v>
      </c>
      <c r="T42" s="12">
        <v>3.0</v>
      </c>
      <c r="U42" s="12">
        <v>1.0</v>
      </c>
      <c r="V42" s="12">
        <v>1.0</v>
      </c>
      <c r="W42" s="12">
        <v>3.0</v>
      </c>
      <c r="X42" s="12">
        <v>7.0</v>
      </c>
      <c r="Y42" s="12">
        <f t="shared" si="1"/>
        <v>1</v>
      </c>
      <c r="Z42" s="12" t="s">
        <v>354</v>
      </c>
      <c r="AA42" s="12" t="s">
        <v>206</v>
      </c>
      <c r="AB42" s="12">
        <v>4.0</v>
      </c>
      <c r="AC42" s="12">
        <v>3.0</v>
      </c>
      <c r="AD42" s="12">
        <v>5.0</v>
      </c>
      <c r="AE42" s="12">
        <v>5.0</v>
      </c>
      <c r="AF42" s="12">
        <v>4.0</v>
      </c>
      <c r="AG42" s="12">
        <v>7.0</v>
      </c>
      <c r="AH42" s="12" t="s">
        <v>355</v>
      </c>
      <c r="AI42" s="12" t="s">
        <v>206</v>
      </c>
      <c r="AJ42" s="12">
        <v>4.0</v>
      </c>
      <c r="AK42" s="12">
        <v>5.0</v>
      </c>
      <c r="AL42" s="12">
        <v>5.0</v>
      </c>
      <c r="AM42" s="12">
        <v>3.0</v>
      </c>
      <c r="AN42" s="12">
        <f t="shared" si="2"/>
        <v>5</v>
      </c>
      <c r="AO42" s="12">
        <v>2.0</v>
      </c>
      <c r="AP42" s="12">
        <f t="shared" si="3"/>
        <v>6</v>
      </c>
      <c r="AQ42" s="12">
        <v>5.0</v>
      </c>
      <c r="AR42" s="12">
        <f t="shared" si="4"/>
        <v>3</v>
      </c>
      <c r="AS42" s="12">
        <v>1.0</v>
      </c>
      <c r="AT42" s="12">
        <f t="shared" si="5"/>
        <v>7</v>
      </c>
      <c r="AU42" s="12" t="s">
        <v>356</v>
      </c>
    </row>
    <row r="43">
      <c r="A43" s="14">
        <f>IFERROR(__xludf.DUMMYFUNCTION("IF(E43="""", """", VALUE(REGEXREPLACE(E43, ""^[Pp]"", """")))"),12.0)</f>
        <v>12</v>
      </c>
      <c r="B43" s="14">
        <v>418.0</v>
      </c>
      <c r="C43" s="15">
        <v>45867.29375</v>
      </c>
      <c r="D43" s="12" t="s">
        <v>357</v>
      </c>
      <c r="E43" s="12" t="s">
        <v>353</v>
      </c>
      <c r="F43" s="12" t="s">
        <v>263</v>
      </c>
      <c r="G43" s="12" t="str">
        <f>IFERROR(__xludf.DUMMYFUNCTION("IF(SPLIT(F43,""-"")=""HR"",""High"",""Low"")"),"Low")</f>
        <v>Low</v>
      </c>
      <c r="H43" s="12" t="str">
        <f>IFERROR(__xludf.DUMMYFUNCTION("INDEX(SPLIT(F43, ""-""), 2)"),"VR")</f>
        <v>VR</v>
      </c>
      <c r="I43" s="12">
        <v>2.0</v>
      </c>
      <c r="J43" s="12">
        <v>2.0</v>
      </c>
      <c r="K43" s="12">
        <v>4.0</v>
      </c>
      <c r="L43" s="12" t="s">
        <v>199</v>
      </c>
      <c r="M43" s="12">
        <v>3.0</v>
      </c>
      <c r="N43" s="12">
        <v>1.0</v>
      </c>
      <c r="O43" s="12">
        <v>1.0</v>
      </c>
      <c r="P43" s="12">
        <v>3.0</v>
      </c>
      <c r="Q43" s="12">
        <v>3.0</v>
      </c>
      <c r="R43" s="12">
        <v>6.0</v>
      </c>
      <c r="S43" s="12">
        <v>6.0</v>
      </c>
      <c r="T43" s="12">
        <v>6.0</v>
      </c>
      <c r="U43" s="12">
        <v>2.0</v>
      </c>
      <c r="V43" s="12">
        <v>1.0</v>
      </c>
      <c r="W43" s="12">
        <v>2.0</v>
      </c>
      <c r="X43" s="12">
        <v>7.0</v>
      </c>
      <c r="Y43" s="12">
        <f t="shared" si="1"/>
        <v>1</v>
      </c>
      <c r="Z43" s="16" t="s">
        <v>358</v>
      </c>
      <c r="AA43" s="12" t="s">
        <v>206</v>
      </c>
      <c r="AB43" s="12">
        <v>4.0</v>
      </c>
      <c r="AC43" s="12">
        <v>5.0</v>
      </c>
      <c r="AD43" s="12">
        <v>6.0</v>
      </c>
      <c r="AE43" s="12">
        <v>3.0</v>
      </c>
      <c r="AF43" s="12">
        <v>7.0</v>
      </c>
      <c r="AG43" s="12">
        <v>5.0</v>
      </c>
      <c r="AH43" s="12" t="s">
        <v>359</v>
      </c>
      <c r="AI43" s="12" t="s">
        <v>206</v>
      </c>
      <c r="AJ43" s="12">
        <v>5.0</v>
      </c>
      <c r="AK43" s="12">
        <v>6.0</v>
      </c>
      <c r="AL43" s="12">
        <v>3.0</v>
      </c>
      <c r="AM43" s="12">
        <v>3.0</v>
      </c>
      <c r="AN43" s="12">
        <f t="shared" si="2"/>
        <v>5</v>
      </c>
      <c r="AO43" s="12">
        <v>3.0</v>
      </c>
      <c r="AP43" s="12">
        <f t="shared" si="3"/>
        <v>5</v>
      </c>
      <c r="AQ43" s="12">
        <v>5.0</v>
      </c>
      <c r="AR43" s="12">
        <f t="shared" si="4"/>
        <v>3</v>
      </c>
      <c r="AS43" s="12">
        <v>3.0</v>
      </c>
      <c r="AT43" s="12">
        <f t="shared" si="5"/>
        <v>5</v>
      </c>
      <c r="AU43" s="12" t="s">
        <v>360</v>
      </c>
    </row>
    <row r="44">
      <c r="A44" s="14">
        <f>IFERROR(__xludf.DUMMYFUNCTION("IF(E44="""", """", VALUE(REGEXREPLACE(E44, ""^[Pp]"", """")))"),12.0)</f>
        <v>12</v>
      </c>
      <c r="B44" s="14">
        <v>1001.0</v>
      </c>
      <c r="C44" s="15">
        <v>45867.305555555555</v>
      </c>
      <c r="D44" s="12" t="s">
        <v>366</v>
      </c>
      <c r="E44" s="12" t="s">
        <v>353</v>
      </c>
      <c r="F44" s="12" t="s">
        <v>216</v>
      </c>
      <c r="G44" s="12" t="str">
        <f>IFERROR(__xludf.DUMMYFUNCTION("IF(SPLIT(F44,""-"")=""HR"",""High"",""Low"")"),"Low")</f>
        <v>Low</v>
      </c>
      <c r="H44" s="12" t="str">
        <f>IFERROR(__xludf.DUMMYFUNCTION("INDEX(SPLIT(F44, ""-""), 2)"),"Web")</f>
        <v>Web</v>
      </c>
      <c r="I44" s="12">
        <v>3.0</v>
      </c>
      <c r="J44" s="12">
        <v>4.0</v>
      </c>
      <c r="K44" s="12">
        <v>2.0</v>
      </c>
      <c r="L44" s="12" t="s">
        <v>199</v>
      </c>
      <c r="M44" s="12">
        <v>4.0</v>
      </c>
      <c r="N44" s="12">
        <v>2.0</v>
      </c>
      <c r="O44" s="12">
        <v>1.0</v>
      </c>
      <c r="P44" s="12">
        <v>3.0</v>
      </c>
      <c r="Q44" s="12">
        <v>6.0</v>
      </c>
      <c r="R44" s="12">
        <v>3.0</v>
      </c>
      <c r="S44" s="12">
        <v>6.0</v>
      </c>
      <c r="T44" s="12">
        <v>6.0</v>
      </c>
      <c r="U44" s="12">
        <v>1.0</v>
      </c>
      <c r="V44" s="12">
        <v>1.0</v>
      </c>
      <c r="W44" s="12">
        <v>5.0</v>
      </c>
      <c r="X44" s="12">
        <v>7.0</v>
      </c>
      <c r="Y44" s="12">
        <f t="shared" si="1"/>
        <v>1</v>
      </c>
      <c r="Z44" s="12" t="s">
        <v>367</v>
      </c>
      <c r="AA44" s="12" t="s">
        <v>206</v>
      </c>
      <c r="AB44" s="12">
        <v>6.0</v>
      </c>
      <c r="AC44" s="12">
        <v>4.0</v>
      </c>
      <c r="AD44" s="12">
        <v>5.0</v>
      </c>
      <c r="AE44" s="12">
        <v>6.0</v>
      </c>
      <c r="AF44" s="12">
        <v>6.0</v>
      </c>
      <c r="AG44" s="12">
        <v>4.0</v>
      </c>
      <c r="AH44" s="12" t="s">
        <v>368</v>
      </c>
      <c r="AI44" s="12" t="s">
        <v>206</v>
      </c>
      <c r="AJ44" s="12">
        <v>4.0</v>
      </c>
      <c r="AK44" s="12">
        <v>6.0</v>
      </c>
      <c r="AL44" s="12">
        <v>5.0</v>
      </c>
      <c r="AM44" s="12">
        <v>1.0</v>
      </c>
      <c r="AN44" s="12">
        <f t="shared" si="2"/>
        <v>7</v>
      </c>
      <c r="AO44" s="12">
        <v>1.0</v>
      </c>
      <c r="AP44" s="12">
        <f t="shared" si="3"/>
        <v>7</v>
      </c>
      <c r="AQ44" s="12">
        <v>1.0</v>
      </c>
      <c r="AR44" s="12">
        <f t="shared" si="4"/>
        <v>7</v>
      </c>
      <c r="AS44" s="12">
        <v>1.0</v>
      </c>
      <c r="AT44" s="12">
        <f t="shared" si="5"/>
        <v>7</v>
      </c>
      <c r="AU44" s="12" t="s">
        <v>369</v>
      </c>
    </row>
    <row r="45">
      <c r="A45" s="14">
        <f>IFERROR(__xludf.DUMMYFUNCTION("IF(E45="""", """", VALUE(REGEXREPLACE(E45, ""^[Pp]"", """")))"),12.0)</f>
        <v>12</v>
      </c>
      <c r="B45" s="14">
        <v>594.0</v>
      </c>
      <c r="C45" s="15">
        <v>45867.31458333333</v>
      </c>
      <c r="D45" s="12" t="s">
        <v>370</v>
      </c>
      <c r="E45" s="12" t="s">
        <v>353</v>
      </c>
      <c r="F45" s="12" t="s">
        <v>211</v>
      </c>
      <c r="G45" s="12" t="str">
        <f>IFERROR(__xludf.DUMMYFUNCTION("IF(SPLIT(F45,""-"")=""HR"",""High"",""Low"")"),"High")</f>
        <v>High</v>
      </c>
      <c r="H45" s="12" t="str">
        <f>IFERROR(__xludf.DUMMYFUNCTION("INDEX(SPLIT(F45, ""-""), 2)"),"Web")</f>
        <v>Web</v>
      </c>
      <c r="I45" s="12">
        <v>4.0</v>
      </c>
      <c r="J45" s="12">
        <v>5.0</v>
      </c>
      <c r="K45" s="12">
        <v>1.0</v>
      </c>
      <c r="L45" s="12" t="s">
        <v>199</v>
      </c>
      <c r="M45" s="12">
        <v>1.0</v>
      </c>
      <c r="N45" s="12">
        <v>5.0</v>
      </c>
      <c r="O45" s="12">
        <v>3.0</v>
      </c>
      <c r="P45" s="12">
        <v>2.0</v>
      </c>
      <c r="Q45" s="12">
        <v>6.0</v>
      </c>
      <c r="R45" s="12">
        <v>4.0</v>
      </c>
      <c r="S45" s="12">
        <v>5.0</v>
      </c>
      <c r="T45" s="12">
        <v>5.0</v>
      </c>
      <c r="U45" s="12">
        <v>6.0</v>
      </c>
      <c r="V45" s="12">
        <v>3.0</v>
      </c>
      <c r="W45" s="12">
        <v>5.0</v>
      </c>
      <c r="X45" s="12">
        <v>4.0</v>
      </c>
      <c r="Y45" s="12">
        <f t="shared" si="1"/>
        <v>4</v>
      </c>
      <c r="Z45" s="12" t="s">
        <v>371</v>
      </c>
      <c r="AA45" s="12" t="s">
        <v>206</v>
      </c>
      <c r="AB45" s="12">
        <v>6.0</v>
      </c>
      <c r="AC45" s="12">
        <v>5.0</v>
      </c>
      <c r="AD45" s="12">
        <v>5.0</v>
      </c>
      <c r="AE45" s="12">
        <v>2.0</v>
      </c>
      <c r="AF45" s="12">
        <v>4.0</v>
      </c>
      <c r="AG45" s="12">
        <v>1.0</v>
      </c>
      <c r="AH45" s="12" t="s">
        <v>372</v>
      </c>
      <c r="AI45" s="12" t="s">
        <v>206</v>
      </c>
      <c r="AJ45" s="12">
        <v>5.0</v>
      </c>
      <c r="AK45" s="12">
        <v>5.0</v>
      </c>
      <c r="AL45" s="12">
        <v>6.0</v>
      </c>
      <c r="AM45" s="12">
        <v>1.0</v>
      </c>
      <c r="AN45" s="12">
        <f t="shared" si="2"/>
        <v>7</v>
      </c>
      <c r="AO45" s="12">
        <v>1.0</v>
      </c>
      <c r="AP45" s="12">
        <f t="shared" si="3"/>
        <v>7</v>
      </c>
      <c r="AQ45" s="12">
        <v>1.0</v>
      </c>
      <c r="AR45" s="12">
        <f t="shared" si="4"/>
        <v>7</v>
      </c>
      <c r="AS45" s="12">
        <v>1.0</v>
      </c>
      <c r="AT45" s="12">
        <f t="shared" si="5"/>
        <v>7</v>
      </c>
      <c r="AU45" s="12" t="s">
        <v>373</v>
      </c>
    </row>
    <row r="46">
      <c r="A46" s="14">
        <f>IFERROR(__xludf.DUMMYFUNCTION("IF(E46="""", """", VALUE(REGEXREPLACE(E46, ""^[Pp]"", """")))"),13.0)</f>
        <v>13</v>
      </c>
      <c r="B46" s="14">
        <v>1140.0</v>
      </c>
      <c r="C46" s="15">
        <v>45868.02847222222</v>
      </c>
      <c r="D46" s="12" t="s">
        <v>378</v>
      </c>
      <c r="E46" s="12" t="s">
        <v>379</v>
      </c>
      <c r="F46" s="12" t="s">
        <v>197</v>
      </c>
      <c r="G46" s="12" t="str">
        <f>IFERROR(__xludf.DUMMYFUNCTION("IF(SPLIT(F46,""-"")=""HR"",""High"",""Low"")"),"High")</f>
        <v>High</v>
      </c>
      <c r="H46" s="12" t="str">
        <f>IFERROR(__xludf.DUMMYFUNCTION("INDEX(SPLIT(F46, ""-""), 2)"),"VR")</f>
        <v>VR</v>
      </c>
      <c r="I46" s="12">
        <v>1.0</v>
      </c>
      <c r="J46" s="12">
        <v>6.0</v>
      </c>
      <c r="K46" s="12">
        <v>6.0</v>
      </c>
      <c r="L46" s="12" t="s">
        <v>199</v>
      </c>
      <c r="M46" s="12">
        <v>6.0</v>
      </c>
      <c r="N46" s="12">
        <v>7.0</v>
      </c>
      <c r="O46" s="12">
        <v>7.0</v>
      </c>
      <c r="P46" s="12">
        <v>6.0</v>
      </c>
      <c r="Q46" s="12">
        <v>7.0</v>
      </c>
      <c r="R46" s="12">
        <v>7.0</v>
      </c>
      <c r="S46" s="12">
        <v>7.0</v>
      </c>
      <c r="T46" s="12">
        <v>6.0</v>
      </c>
      <c r="U46" s="12">
        <v>6.0</v>
      </c>
      <c r="V46" s="12">
        <v>5.0</v>
      </c>
      <c r="W46" s="12">
        <v>6.0</v>
      </c>
      <c r="X46" s="12">
        <v>5.0</v>
      </c>
      <c r="Y46" s="12">
        <f t="shared" si="1"/>
        <v>3</v>
      </c>
      <c r="Z46" s="12" t="s">
        <v>380</v>
      </c>
      <c r="AA46" s="12" t="s">
        <v>206</v>
      </c>
      <c r="AB46" s="12">
        <v>7.0</v>
      </c>
      <c r="AC46" s="12">
        <v>7.0</v>
      </c>
      <c r="AD46" s="12">
        <v>7.0</v>
      </c>
      <c r="AE46" s="12">
        <v>7.0</v>
      </c>
      <c r="AF46" s="12">
        <v>7.0</v>
      </c>
      <c r="AG46" s="12">
        <v>6.0</v>
      </c>
      <c r="AH46" s="12" t="s">
        <v>381</v>
      </c>
      <c r="AI46" s="12" t="s">
        <v>206</v>
      </c>
      <c r="AJ46" s="12">
        <v>6.0</v>
      </c>
      <c r="AK46" s="12">
        <v>6.0</v>
      </c>
      <c r="AL46" s="12">
        <v>7.0</v>
      </c>
      <c r="AM46" s="12">
        <v>2.0</v>
      </c>
      <c r="AN46" s="12">
        <f t="shared" si="2"/>
        <v>6</v>
      </c>
      <c r="AO46" s="12">
        <v>1.0</v>
      </c>
      <c r="AP46" s="12">
        <f t="shared" si="3"/>
        <v>7</v>
      </c>
      <c r="AQ46" s="12">
        <v>2.0</v>
      </c>
      <c r="AR46" s="12">
        <f t="shared" si="4"/>
        <v>6</v>
      </c>
      <c r="AS46" s="12">
        <v>1.0</v>
      </c>
      <c r="AT46" s="12">
        <f t="shared" si="5"/>
        <v>7</v>
      </c>
      <c r="AU46" s="12" t="s">
        <v>382</v>
      </c>
    </row>
    <row r="47">
      <c r="A47" s="14">
        <f>IFERROR(__xludf.DUMMYFUNCTION("IF(E47="""", """", VALUE(REGEXREPLACE(E47, ""^[Pp]"", """")))"),13.0)</f>
        <v>13</v>
      </c>
      <c r="B47" s="14">
        <v>1527.0</v>
      </c>
      <c r="C47" s="15">
        <v>45868.041666666664</v>
      </c>
      <c r="D47" s="12" t="s">
        <v>390</v>
      </c>
      <c r="E47" s="12" t="s">
        <v>379</v>
      </c>
      <c r="F47" s="12" t="s">
        <v>211</v>
      </c>
      <c r="G47" s="12" t="str">
        <f>IFERROR(__xludf.DUMMYFUNCTION("IF(SPLIT(F47,""-"")=""HR"",""High"",""Low"")"),"High")</f>
        <v>High</v>
      </c>
      <c r="H47" s="12" t="str">
        <f>IFERROR(__xludf.DUMMYFUNCTION("INDEX(SPLIT(F47, ""-""), 2)"),"Web")</f>
        <v>Web</v>
      </c>
      <c r="I47" s="12">
        <v>2.0</v>
      </c>
      <c r="J47" s="12">
        <v>6.0</v>
      </c>
      <c r="K47" s="12">
        <v>6.0</v>
      </c>
      <c r="L47" s="12" t="s">
        <v>199</v>
      </c>
      <c r="M47" s="12">
        <v>6.0</v>
      </c>
      <c r="N47" s="12">
        <v>7.0</v>
      </c>
      <c r="O47" s="12">
        <v>7.0</v>
      </c>
      <c r="P47" s="12">
        <v>6.0</v>
      </c>
      <c r="Q47" s="12">
        <v>7.0</v>
      </c>
      <c r="R47" s="12">
        <v>7.0</v>
      </c>
      <c r="S47" s="12">
        <v>7.0</v>
      </c>
      <c r="T47" s="12">
        <v>6.0</v>
      </c>
      <c r="U47" s="12">
        <v>6.0</v>
      </c>
      <c r="V47" s="12">
        <v>4.0</v>
      </c>
      <c r="W47" s="12">
        <v>6.0</v>
      </c>
      <c r="X47" s="12">
        <v>2.0</v>
      </c>
      <c r="Y47" s="12">
        <f t="shared" si="1"/>
        <v>6</v>
      </c>
      <c r="Z47" s="12" t="s">
        <v>391</v>
      </c>
      <c r="AA47" s="12" t="s">
        <v>206</v>
      </c>
      <c r="AB47" s="12">
        <v>6.0</v>
      </c>
      <c r="AC47" s="12">
        <v>6.0</v>
      </c>
      <c r="AD47" s="12">
        <v>6.0</v>
      </c>
      <c r="AE47" s="12">
        <v>7.0</v>
      </c>
      <c r="AF47" s="12">
        <v>6.0</v>
      </c>
      <c r="AG47" s="12">
        <v>7.0</v>
      </c>
      <c r="AH47" s="12" t="s">
        <v>392</v>
      </c>
      <c r="AI47" s="12" t="s">
        <v>206</v>
      </c>
      <c r="AJ47" s="12">
        <v>7.0</v>
      </c>
      <c r="AK47" s="12">
        <v>7.0</v>
      </c>
      <c r="AL47" s="12">
        <v>6.0</v>
      </c>
      <c r="AM47" s="12">
        <v>1.0</v>
      </c>
      <c r="AN47" s="12">
        <f t="shared" si="2"/>
        <v>7</v>
      </c>
      <c r="AO47" s="12">
        <v>1.0</v>
      </c>
      <c r="AP47" s="12">
        <f t="shared" si="3"/>
        <v>7</v>
      </c>
      <c r="AQ47" s="12">
        <v>1.0</v>
      </c>
      <c r="AR47" s="12">
        <f t="shared" si="4"/>
        <v>7</v>
      </c>
      <c r="AS47" s="12">
        <v>1.0</v>
      </c>
      <c r="AT47" s="12">
        <f t="shared" si="5"/>
        <v>7</v>
      </c>
      <c r="AU47" s="12" t="s">
        <v>393</v>
      </c>
    </row>
    <row r="48">
      <c r="A48" s="14">
        <f>IFERROR(__xludf.DUMMYFUNCTION("IF(E48="""", """", VALUE(REGEXREPLACE(E48, ""^[Pp]"", """")))"),13.0)</f>
        <v>13</v>
      </c>
      <c r="B48" s="14">
        <v>866.0</v>
      </c>
      <c r="C48" s="15">
        <v>45868.05416666667</v>
      </c>
      <c r="D48" s="12" t="s">
        <v>394</v>
      </c>
      <c r="E48" s="12" t="s">
        <v>379</v>
      </c>
      <c r="F48" s="12" t="s">
        <v>216</v>
      </c>
      <c r="G48" s="12" t="str">
        <f>IFERROR(__xludf.DUMMYFUNCTION("IF(SPLIT(F48,""-"")=""HR"",""High"",""Low"")"),"Low")</f>
        <v>Low</v>
      </c>
      <c r="H48" s="12" t="str">
        <f>IFERROR(__xludf.DUMMYFUNCTION("INDEX(SPLIT(F48, ""-""), 2)"),"Web")</f>
        <v>Web</v>
      </c>
      <c r="I48" s="12">
        <v>3.0</v>
      </c>
      <c r="J48" s="12">
        <v>6.0</v>
      </c>
      <c r="K48" s="12">
        <v>5.0</v>
      </c>
      <c r="L48" s="12" t="s">
        <v>199</v>
      </c>
      <c r="M48" s="12">
        <v>7.0</v>
      </c>
      <c r="N48" s="12">
        <v>7.0</v>
      </c>
      <c r="O48" s="12">
        <v>7.0</v>
      </c>
      <c r="P48" s="12">
        <v>6.0</v>
      </c>
      <c r="Q48" s="12">
        <v>6.0</v>
      </c>
      <c r="R48" s="12">
        <v>7.0</v>
      </c>
      <c r="S48" s="12">
        <v>7.0</v>
      </c>
      <c r="T48" s="12">
        <v>6.0</v>
      </c>
      <c r="U48" s="12">
        <v>5.0</v>
      </c>
      <c r="V48" s="12">
        <v>6.0</v>
      </c>
      <c r="W48" s="12">
        <v>6.0</v>
      </c>
      <c r="X48" s="12">
        <v>3.0</v>
      </c>
      <c r="Y48" s="12">
        <f t="shared" si="1"/>
        <v>5</v>
      </c>
      <c r="Z48" s="12" t="s">
        <v>395</v>
      </c>
      <c r="AA48" s="12" t="s">
        <v>206</v>
      </c>
      <c r="AB48" s="12">
        <v>6.0</v>
      </c>
      <c r="AC48" s="12">
        <v>6.0</v>
      </c>
      <c r="AD48" s="12">
        <v>7.0</v>
      </c>
      <c r="AE48" s="12">
        <v>7.0</v>
      </c>
      <c r="AF48" s="12">
        <v>7.0</v>
      </c>
      <c r="AG48" s="12">
        <v>7.0</v>
      </c>
      <c r="AH48" s="12" t="s">
        <v>396</v>
      </c>
      <c r="AI48" s="12" t="s">
        <v>206</v>
      </c>
      <c r="AJ48" s="12">
        <v>6.0</v>
      </c>
      <c r="AK48" s="12">
        <v>6.0</v>
      </c>
      <c r="AL48" s="12">
        <v>6.0</v>
      </c>
      <c r="AM48" s="12">
        <v>1.0</v>
      </c>
      <c r="AN48" s="12">
        <f t="shared" si="2"/>
        <v>7</v>
      </c>
      <c r="AO48" s="12">
        <v>1.0</v>
      </c>
      <c r="AP48" s="12">
        <f t="shared" si="3"/>
        <v>7</v>
      </c>
      <c r="AQ48" s="12">
        <v>1.0</v>
      </c>
      <c r="AR48" s="12">
        <f t="shared" si="4"/>
        <v>7</v>
      </c>
      <c r="AS48" s="12">
        <v>1.0</v>
      </c>
      <c r="AT48" s="12">
        <f t="shared" si="5"/>
        <v>7</v>
      </c>
      <c r="AU48" s="12" t="s">
        <v>397</v>
      </c>
    </row>
    <row r="49">
      <c r="A49" s="14">
        <f>IFERROR(__xludf.DUMMYFUNCTION("IF(E49="""", """", VALUE(REGEXREPLACE(E49, ""^[Pp]"", """")))"),13.0)</f>
        <v>13</v>
      </c>
      <c r="B49" s="14">
        <v>659.0</v>
      </c>
      <c r="C49" s="15">
        <v>45868.072916666664</v>
      </c>
      <c r="D49" s="12" t="s">
        <v>406</v>
      </c>
      <c r="E49" s="12" t="s">
        <v>379</v>
      </c>
      <c r="F49" s="12" t="s">
        <v>263</v>
      </c>
      <c r="G49" s="12" t="str">
        <f>IFERROR(__xludf.DUMMYFUNCTION("IF(SPLIT(F49,""-"")=""HR"",""High"",""Low"")"),"Low")</f>
        <v>Low</v>
      </c>
      <c r="H49" s="12" t="str">
        <f>IFERROR(__xludf.DUMMYFUNCTION("INDEX(SPLIT(F49, ""-""), 2)"),"VR")</f>
        <v>VR</v>
      </c>
      <c r="I49" s="12">
        <v>4.0</v>
      </c>
      <c r="J49" s="12">
        <v>6.0</v>
      </c>
      <c r="K49" s="12">
        <v>6.0</v>
      </c>
      <c r="L49" s="12" t="s">
        <v>199</v>
      </c>
      <c r="M49" s="12">
        <v>6.0</v>
      </c>
      <c r="N49" s="12">
        <v>6.0</v>
      </c>
      <c r="O49" s="12">
        <v>6.0</v>
      </c>
      <c r="P49" s="12">
        <v>6.0</v>
      </c>
      <c r="Q49" s="12">
        <v>7.0</v>
      </c>
      <c r="R49" s="12">
        <v>7.0</v>
      </c>
      <c r="S49" s="12">
        <v>7.0</v>
      </c>
      <c r="T49" s="12">
        <v>7.0</v>
      </c>
      <c r="U49" s="12">
        <v>5.0</v>
      </c>
      <c r="V49" s="12">
        <v>6.0</v>
      </c>
      <c r="W49" s="12">
        <v>6.0</v>
      </c>
      <c r="X49" s="12">
        <v>6.0</v>
      </c>
      <c r="Y49" s="12">
        <f t="shared" si="1"/>
        <v>2</v>
      </c>
      <c r="Z49" s="12" t="s">
        <v>407</v>
      </c>
      <c r="AA49" s="12" t="s">
        <v>206</v>
      </c>
      <c r="AB49" s="12">
        <v>6.0</v>
      </c>
      <c r="AC49" s="12">
        <v>7.0</v>
      </c>
      <c r="AD49" s="12">
        <v>7.0</v>
      </c>
      <c r="AE49" s="12">
        <v>7.0</v>
      </c>
      <c r="AF49" s="12">
        <v>7.0</v>
      </c>
      <c r="AG49" s="12">
        <v>7.0</v>
      </c>
      <c r="AH49" s="12" t="s">
        <v>408</v>
      </c>
      <c r="AI49" s="12" t="s">
        <v>206</v>
      </c>
      <c r="AJ49" s="12">
        <v>7.0</v>
      </c>
      <c r="AK49" s="12">
        <v>7.0</v>
      </c>
      <c r="AL49" s="12">
        <v>7.0</v>
      </c>
      <c r="AM49" s="12">
        <v>1.0</v>
      </c>
      <c r="AN49" s="12">
        <f t="shared" si="2"/>
        <v>7</v>
      </c>
      <c r="AO49" s="12">
        <v>1.0</v>
      </c>
      <c r="AP49" s="12">
        <f t="shared" si="3"/>
        <v>7</v>
      </c>
      <c r="AQ49" s="12">
        <v>1.0</v>
      </c>
      <c r="AR49" s="12">
        <f t="shared" si="4"/>
        <v>7</v>
      </c>
      <c r="AS49" s="12">
        <v>1.0</v>
      </c>
      <c r="AT49" s="12">
        <f t="shared" si="5"/>
        <v>7</v>
      </c>
      <c r="AU49" s="12" t="s">
        <v>409</v>
      </c>
    </row>
    <row r="50">
      <c r="A50" s="14">
        <f>IFERROR(__xludf.DUMMYFUNCTION("IF(E50="""", """", VALUE(REGEXREPLACE(E50, ""^[Pp]"", """")))"),14.0)</f>
        <v>14</v>
      </c>
      <c r="B50" s="14">
        <v>2166.0</v>
      </c>
      <c r="C50" s="15">
        <v>45868.040972222225</v>
      </c>
      <c r="D50" s="12" t="s">
        <v>384</v>
      </c>
      <c r="E50" s="12" t="s">
        <v>385</v>
      </c>
      <c r="F50" s="12" t="s">
        <v>211</v>
      </c>
      <c r="G50" s="12" t="str">
        <f>IFERROR(__xludf.DUMMYFUNCTION("IF(SPLIT(F50,""-"")=""HR"",""High"",""Low"")"),"High")</f>
        <v>High</v>
      </c>
      <c r="H50" s="12" t="str">
        <f>IFERROR(__xludf.DUMMYFUNCTION("INDEX(SPLIT(F50, ""-""), 2)"),"Web")</f>
        <v>Web</v>
      </c>
      <c r="I50" s="12">
        <v>1.0</v>
      </c>
      <c r="J50" s="12">
        <v>4.0</v>
      </c>
      <c r="K50" s="12">
        <v>5.0</v>
      </c>
      <c r="L50" s="12" t="s">
        <v>199</v>
      </c>
      <c r="M50" s="12">
        <v>6.0</v>
      </c>
      <c r="N50" s="12">
        <v>6.0</v>
      </c>
      <c r="O50" s="12">
        <v>3.0</v>
      </c>
      <c r="P50" s="12">
        <v>3.0</v>
      </c>
      <c r="Q50" s="12">
        <v>6.0</v>
      </c>
      <c r="R50" s="12">
        <v>5.0</v>
      </c>
      <c r="S50" s="12">
        <v>5.0</v>
      </c>
      <c r="T50" s="12">
        <v>6.0</v>
      </c>
      <c r="U50" s="12">
        <v>4.0</v>
      </c>
      <c r="V50" s="12">
        <v>4.0</v>
      </c>
      <c r="W50" s="12">
        <v>5.0</v>
      </c>
      <c r="X50" s="12">
        <v>4.0</v>
      </c>
      <c r="Y50" s="12">
        <f t="shared" si="1"/>
        <v>4</v>
      </c>
      <c r="Z50" s="12" t="s">
        <v>386</v>
      </c>
      <c r="AA50" s="12" t="s">
        <v>206</v>
      </c>
      <c r="AB50" s="12">
        <v>6.0</v>
      </c>
      <c r="AC50" s="12">
        <v>6.0</v>
      </c>
      <c r="AD50" s="12">
        <v>7.0</v>
      </c>
      <c r="AE50" s="12">
        <v>6.0</v>
      </c>
      <c r="AF50" s="12">
        <v>5.0</v>
      </c>
      <c r="AG50" s="12">
        <v>4.0</v>
      </c>
      <c r="AH50" s="12" t="s">
        <v>387</v>
      </c>
      <c r="AI50" s="12" t="s">
        <v>206</v>
      </c>
      <c r="AJ50" s="12">
        <v>7.0</v>
      </c>
      <c r="AK50" s="12">
        <v>6.0</v>
      </c>
      <c r="AL50" s="12">
        <v>6.0</v>
      </c>
      <c r="AM50" s="12">
        <v>1.0</v>
      </c>
      <c r="AN50" s="12">
        <f t="shared" si="2"/>
        <v>7</v>
      </c>
      <c r="AO50" s="12">
        <v>1.0</v>
      </c>
      <c r="AP50" s="12">
        <f t="shared" si="3"/>
        <v>7</v>
      </c>
      <c r="AQ50" s="12">
        <v>1.0</v>
      </c>
      <c r="AR50" s="12">
        <f t="shared" si="4"/>
        <v>7</v>
      </c>
      <c r="AS50" s="12">
        <v>1.0</v>
      </c>
      <c r="AT50" s="12">
        <f t="shared" si="5"/>
        <v>7</v>
      </c>
      <c r="AU50" s="12" t="s">
        <v>388</v>
      </c>
    </row>
    <row r="51">
      <c r="A51" s="14">
        <f>IFERROR(__xludf.DUMMYFUNCTION("IF(E51="""", """", VALUE(REGEXREPLACE(E51, ""^[Pp]"", """")))"),14.0)</f>
        <v>14</v>
      </c>
      <c r="B51" s="14">
        <v>863.0</v>
      </c>
      <c r="C51" s="15">
        <v>45868.055555555555</v>
      </c>
      <c r="D51" s="12" t="s">
        <v>398</v>
      </c>
      <c r="E51" s="12" t="s">
        <v>385</v>
      </c>
      <c r="F51" s="12" t="s">
        <v>197</v>
      </c>
      <c r="G51" s="12" t="str">
        <f>IFERROR(__xludf.DUMMYFUNCTION("IF(SPLIT(F51,""-"")=""HR"",""High"",""Low"")"),"High")</f>
        <v>High</v>
      </c>
      <c r="H51" s="12" t="str">
        <f>IFERROR(__xludf.DUMMYFUNCTION("INDEX(SPLIT(F51, ""-""), 2)"),"VR")</f>
        <v>VR</v>
      </c>
      <c r="I51" s="12">
        <v>2.0</v>
      </c>
      <c r="J51" s="12">
        <v>7.0</v>
      </c>
      <c r="K51" s="12">
        <v>6.0</v>
      </c>
      <c r="L51" s="12" t="s">
        <v>199</v>
      </c>
      <c r="M51" s="12">
        <v>6.0</v>
      </c>
      <c r="N51" s="12">
        <v>6.0</v>
      </c>
      <c r="O51" s="12">
        <v>7.0</v>
      </c>
      <c r="P51" s="12">
        <v>6.0</v>
      </c>
      <c r="Q51" s="12">
        <v>7.0</v>
      </c>
      <c r="R51" s="12">
        <v>6.0</v>
      </c>
      <c r="S51" s="12">
        <v>6.0</v>
      </c>
      <c r="T51" s="12">
        <v>6.0</v>
      </c>
      <c r="U51" s="12">
        <v>4.0</v>
      </c>
      <c r="V51" s="12">
        <v>4.0</v>
      </c>
      <c r="W51" s="12">
        <v>6.0</v>
      </c>
      <c r="X51" s="12">
        <v>5.0</v>
      </c>
      <c r="Y51" s="12">
        <f t="shared" si="1"/>
        <v>3</v>
      </c>
      <c r="Z51" s="12" t="s">
        <v>399</v>
      </c>
      <c r="AA51" s="12" t="s">
        <v>206</v>
      </c>
      <c r="AB51" s="12">
        <v>6.0</v>
      </c>
      <c r="AC51" s="12">
        <v>6.0</v>
      </c>
      <c r="AD51" s="12">
        <v>7.0</v>
      </c>
      <c r="AE51" s="12">
        <v>6.0</v>
      </c>
      <c r="AF51" s="12">
        <v>6.0</v>
      </c>
      <c r="AG51" s="12">
        <v>4.0</v>
      </c>
      <c r="AH51" s="12" t="s">
        <v>400</v>
      </c>
      <c r="AI51" s="12" t="s">
        <v>206</v>
      </c>
      <c r="AJ51" s="12">
        <v>6.0</v>
      </c>
      <c r="AK51" s="12">
        <v>6.0</v>
      </c>
      <c r="AL51" s="12">
        <v>6.0</v>
      </c>
      <c r="AM51" s="12">
        <v>2.0</v>
      </c>
      <c r="AN51" s="12">
        <f t="shared" si="2"/>
        <v>6</v>
      </c>
      <c r="AO51" s="12">
        <v>1.0</v>
      </c>
      <c r="AP51" s="12">
        <f t="shared" si="3"/>
        <v>7</v>
      </c>
      <c r="AQ51" s="12">
        <v>2.0</v>
      </c>
      <c r="AR51" s="12">
        <f t="shared" si="4"/>
        <v>6</v>
      </c>
      <c r="AS51" s="12">
        <v>1.0</v>
      </c>
      <c r="AT51" s="12">
        <f t="shared" si="5"/>
        <v>7</v>
      </c>
      <c r="AU51" s="12" t="s">
        <v>401</v>
      </c>
    </row>
    <row r="52">
      <c r="A52" s="14">
        <f>IFERROR(__xludf.DUMMYFUNCTION("IF(E52="""", """", VALUE(REGEXREPLACE(E52, ""^[Pp]"", """")))"),14.0)</f>
        <v>14</v>
      </c>
      <c r="B52" s="14">
        <v>942.0</v>
      </c>
      <c r="C52" s="15">
        <v>45868.07083333333</v>
      </c>
      <c r="D52" s="12" t="s">
        <v>402</v>
      </c>
      <c r="E52" s="12" t="s">
        <v>385</v>
      </c>
      <c r="F52" s="12" t="s">
        <v>263</v>
      </c>
      <c r="G52" s="12" t="str">
        <f>IFERROR(__xludf.DUMMYFUNCTION("IF(SPLIT(F52,""-"")=""HR"",""High"",""Low"")"),"Low")</f>
        <v>Low</v>
      </c>
      <c r="H52" s="12" t="str">
        <f>IFERROR(__xludf.DUMMYFUNCTION("INDEX(SPLIT(F52, ""-""), 2)"),"VR")</f>
        <v>VR</v>
      </c>
      <c r="I52" s="12">
        <v>3.0</v>
      </c>
      <c r="J52" s="12">
        <v>6.0</v>
      </c>
      <c r="K52" s="12">
        <v>5.0</v>
      </c>
      <c r="L52" s="12" t="s">
        <v>199</v>
      </c>
      <c r="M52" s="12">
        <v>6.0</v>
      </c>
      <c r="N52" s="12">
        <v>5.0</v>
      </c>
      <c r="O52" s="12">
        <v>7.0</v>
      </c>
      <c r="P52" s="12">
        <v>5.0</v>
      </c>
      <c r="Q52" s="12">
        <v>7.0</v>
      </c>
      <c r="R52" s="12">
        <v>6.0</v>
      </c>
      <c r="S52" s="12">
        <v>5.0</v>
      </c>
      <c r="T52" s="12">
        <v>6.0</v>
      </c>
      <c r="U52" s="12">
        <v>6.0</v>
      </c>
      <c r="V52" s="12">
        <v>2.0</v>
      </c>
      <c r="W52" s="12">
        <v>6.0</v>
      </c>
      <c r="X52" s="12">
        <v>5.0</v>
      </c>
      <c r="Y52" s="12">
        <f t="shared" si="1"/>
        <v>3</v>
      </c>
      <c r="Z52" s="12" t="s">
        <v>403</v>
      </c>
      <c r="AA52" s="12" t="s">
        <v>206</v>
      </c>
      <c r="AB52" s="12">
        <v>6.0</v>
      </c>
      <c r="AC52" s="12">
        <v>6.0</v>
      </c>
      <c r="AD52" s="12">
        <v>6.0</v>
      </c>
      <c r="AE52" s="12">
        <v>6.0</v>
      </c>
      <c r="AF52" s="12">
        <v>6.0</v>
      </c>
      <c r="AG52" s="12">
        <v>4.0</v>
      </c>
      <c r="AH52" s="12" t="s">
        <v>404</v>
      </c>
      <c r="AI52" s="12" t="s">
        <v>206</v>
      </c>
      <c r="AJ52" s="12">
        <v>6.0</v>
      </c>
      <c r="AK52" s="12">
        <v>5.0</v>
      </c>
      <c r="AL52" s="12">
        <v>5.0</v>
      </c>
      <c r="AM52" s="12">
        <v>2.0</v>
      </c>
      <c r="AN52" s="12">
        <f t="shared" si="2"/>
        <v>6</v>
      </c>
      <c r="AO52" s="12">
        <v>2.0</v>
      </c>
      <c r="AP52" s="12">
        <f t="shared" si="3"/>
        <v>6</v>
      </c>
      <c r="AQ52" s="12">
        <v>5.0</v>
      </c>
      <c r="AR52" s="12">
        <f t="shared" si="4"/>
        <v>3</v>
      </c>
      <c r="AS52" s="12">
        <v>2.0</v>
      </c>
      <c r="AT52" s="12">
        <f t="shared" si="5"/>
        <v>6</v>
      </c>
      <c r="AU52" s="12" t="s">
        <v>405</v>
      </c>
    </row>
    <row r="53">
      <c r="A53" s="14">
        <f>IFERROR(__xludf.DUMMYFUNCTION("IF(E53="""", """", VALUE(REGEXREPLACE(E53, ""^[Pp]"", """")))"),14.0)</f>
        <v>14</v>
      </c>
      <c r="B53" s="14">
        <v>1190.0</v>
      </c>
      <c r="C53" s="15">
        <v>45868.08541666667</v>
      </c>
      <c r="D53" s="12" t="s">
        <v>415</v>
      </c>
      <c r="E53" s="12" t="s">
        <v>385</v>
      </c>
      <c r="F53" s="12" t="s">
        <v>216</v>
      </c>
      <c r="G53" s="12" t="str">
        <f>IFERROR(__xludf.DUMMYFUNCTION("IF(SPLIT(F53,""-"")=""HR"",""High"",""Low"")"),"Low")</f>
        <v>Low</v>
      </c>
      <c r="H53" s="12" t="str">
        <f>IFERROR(__xludf.DUMMYFUNCTION("INDEX(SPLIT(F53, ""-""), 2)"),"Web")</f>
        <v>Web</v>
      </c>
      <c r="I53" s="12">
        <v>4.0</v>
      </c>
      <c r="J53" s="12">
        <v>3.0</v>
      </c>
      <c r="K53" s="12">
        <v>5.0</v>
      </c>
      <c r="L53" s="12" t="s">
        <v>199</v>
      </c>
      <c r="M53" s="12">
        <v>4.0</v>
      </c>
      <c r="N53" s="12">
        <v>3.0</v>
      </c>
      <c r="O53" s="12">
        <v>3.0</v>
      </c>
      <c r="P53" s="12">
        <v>5.0</v>
      </c>
      <c r="Q53" s="12">
        <v>6.0</v>
      </c>
      <c r="R53" s="12">
        <v>6.0</v>
      </c>
      <c r="S53" s="12">
        <v>6.0</v>
      </c>
      <c r="T53" s="12">
        <v>5.0</v>
      </c>
      <c r="U53" s="12">
        <v>3.0</v>
      </c>
      <c r="V53" s="12">
        <v>3.0</v>
      </c>
      <c r="W53" s="12">
        <v>6.0</v>
      </c>
      <c r="X53" s="12">
        <v>5.0</v>
      </c>
      <c r="Y53" s="12">
        <f t="shared" si="1"/>
        <v>3</v>
      </c>
      <c r="Z53" s="12" t="s">
        <v>416</v>
      </c>
      <c r="AA53" s="12" t="s">
        <v>206</v>
      </c>
      <c r="AB53" s="12">
        <v>6.0</v>
      </c>
      <c r="AC53" s="12">
        <v>5.0</v>
      </c>
      <c r="AD53" s="12">
        <v>6.0</v>
      </c>
      <c r="AE53" s="12">
        <v>5.0</v>
      </c>
      <c r="AF53" s="12">
        <v>3.0</v>
      </c>
      <c r="AG53" s="12">
        <v>4.0</v>
      </c>
      <c r="AH53" s="12" t="s">
        <v>417</v>
      </c>
      <c r="AI53" s="12" t="s">
        <v>206</v>
      </c>
      <c r="AJ53" s="12">
        <v>6.0</v>
      </c>
      <c r="AK53" s="12">
        <v>5.0</v>
      </c>
      <c r="AL53" s="12">
        <v>3.0</v>
      </c>
      <c r="AM53" s="12">
        <v>1.0</v>
      </c>
      <c r="AN53" s="12">
        <f t="shared" si="2"/>
        <v>7</v>
      </c>
      <c r="AO53" s="12">
        <v>1.0</v>
      </c>
      <c r="AP53" s="12">
        <f t="shared" si="3"/>
        <v>7</v>
      </c>
      <c r="AQ53" s="12">
        <v>2.0</v>
      </c>
      <c r="AR53" s="12">
        <f t="shared" si="4"/>
        <v>6</v>
      </c>
      <c r="AS53" s="12">
        <v>1.0</v>
      </c>
      <c r="AT53" s="12">
        <f t="shared" si="5"/>
        <v>7</v>
      </c>
      <c r="AU53" s="12" t="s">
        <v>418</v>
      </c>
    </row>
    <row r="54">
      <c r="A54" s="14">
        <f>IFERROR(__xludf.DUMMYFUNCTION("IF(E54="""", """", VALUE(REGEXREPLACE(E54, ""^[Pp]"", """")))"),15.0)</f>
        <v>15</v>
      </c>
      <c r="B54" s="14">
        <v>380.0</v>
      </c>
      <c r="C54" s="15">
        <v>45868.08541666667</v>
      </c>
      <c r="D54" s="12" t="s">
        <v>410</v>
      </c>
      <c r="E54" s="12" t="s">
        <v>411</v>
      </c>
      <c r="F54" s="12" t="s">
        <v>263</v>
      </c>
      <c r="G54" s="12" t="str">
        <f>IFERROR(__xludf.DUMMYFUNCTION("IF(SPLIT(F54,""-"")=""HR"",""High"",""Low"")"),"Low")</f>
        <v>Low</v>
      </c>
      <c r="H54" s="12" t="str">
        <f>IFERROR(__xludf.DUMMYFUNCTION("INDEX(SPLIT(F54, ""-""), 2)"),"VR")</f>
        <v>VR</v>
      </c>
      <c r="I54" s="12">
        <v>1.0</v>
      </c>
      <c r="J54" s="12">
        <v>3.0</v>
      </c>
      <c r="K54" s="12">
        <v>3.0</v>
      </c>
      <c r="L54" s="12" t="s">
        <v>199</v>
      </c>
      <c r="M54" s="12">
        <v>6.0</v>
      </c>
      <c r="N54" s="12">
        <v>6.0</v>
      </c>
      <c r="O54" s="12">
        <v>3.0</v>
      </c>
      <c r="P54" s="12">
        <v>3.0</v>
      </c>
      <c r="Q54" s="12">
        <v>5.0</v>
      </c>
      <c r="R54" s="12">
        <v>6.0</v>
      </c>
      <c r="S54" s="12">
        <v>6.0</v>
      </c>
      <c r="T54" s="12">
        <v>6.0</v>
      </c>
      <c r="U54" s="12">
        <v>3.0</v>
      </c>
      <c r="V54" s="12">
        <v>4.0</v>
      </c>
      <c r="W54" s="12">
        <v>6.0</v>
      </c>
      <c r="X54" s="12">
        <v>2.0</v>
      </c>
      <c r="Y54" s="12">
        <f t="shared" si="1"/>
        <v>6</v>
      </c>
      <c r="Z54" s="16" t="s">
        <v>412</v>
      </c>
      <c r="AA54" s="12" t="s">
        <v>206</v>
      </c>
      <c r="AB54" s="12">
        <v>5.0</v>
      </c>
      <c r="AC54" s="12">
        <v>5.0</v>
      </c>
      <c r="AD54" s="12">
        <v>5.0</v>
      </c>
      <c r="AE54" s="12">
        <v>5.0</v>
      </c>
      <c r="AF54" s="12">
        <v>5.0</v>
      </c>
      <c r="AG54" s="12">
        <v>6.0</v>
      </c>
      <c r="AH54" s="12" t="s">
        <v>413</v>
      </c>
      <c r="AI54" s="12" t="s">
        <v>206</v>
      </c>
      <c r="AJ54" s="12">
        <v>6.0</v>
      </c>
      <c r="AK54" s="12">
        <v>7.0</v>
      </c>
      <c r="AL54" s="12">
        <v>6.0</v>
      </c>
      <c r="AM54" s="12">
        <v>2.0</v>
      </c>
      <c r="AN54" s="12">
        <f t="shared" si="2"/>
        <v>6</v>
      </c>
      <c r="AO54" s="12">
        <v>2.0</v>
      </c>
      <c r="AP54" s="12">
        <f t="shared" si="3"/>
        <v>6</v>
      </c>
      <c r="AQ54" s="12">
        <v>1.0</v>
      </c>
      <c r="AR54" s="12">
        <f t="shared" si="4"/>
        <v>7</v>
      </c>
      <c r="AS54" s="12">
        <v>2.0</v>
      </c>
      <c r="AT54" s="12">
        <f t="shared" si="5"/>
        <v>6</v>
      </c>
      <c r="AU54" s="12" t="s">
        <v>414</v>
      </c>
    </row>
    <row r="55">
      <c r="A55" s="14">
        <f>IFERROR(__xludf.DUMMYFUNCTION("IF(E55="""", """", VALUE(REGEXREPLACE(E55, ""^[Pp]"", """")))"),15.0)</f>
        <v>15</v>
      </c>
      <c r="B55" s="14">
        <v>627.0</v>
      </c>
      <c r="C55" s="15">
        <v>45868.089583333334</v>
      </c>
      <c r="D55" s="12" t="s">
        <v>419</v>
      </c>
      <c r="E55" s="12" t="s">
        <v>411</v>
      </c>
      <c r="F55" s="12" t="s">
        <v>211</v>
      </c>
      <c r="G55" s="12" t="str">
        <f>IFERROR(__xludf.DUMMYFUNCTION("IF(SPLIT(F55,""-"")=""HR"",""High"",""Low"")"),"High")</f>
        <v>High</v>
      </c>
      <c r="H55" s="12" t="str">
        <f>IFERROR(__xludf.DUMMYFUNCTION("INDEX(SPLIT(F55, ""-""), 2)"),"Web")</f>
        <v>Web</v>
      </c>
      <c r="I55" s="12">
        <v>2.0</v>
      </c>
      <c r="J55" s="12">
        <v>2.0</v>
      </c>
      <c r="K55" s="12">
        <v>2.0</v>
      </c>
      <c r="L55" s="12" t="s">
        <v>199</v>
      </c>
      <c r="M55" s="12">
        <v>2.0</v>
      </c>
      <c r="N55" s="12">
        <v>1.0</v>
      </c>
      <c r="O55" s="12">
        <v>1.0</v>
      </c>
      <c r="P55" s="12">
        <v>2.0</v>
      </c>
      <c r="Q55" s="12">
        <v>6.0</v>
      </c>
      <c r="R55" s="12">
        <v>4.0</v>
      </c>
      <c r="S55" s="12">
        <v>5.0</v>
      </c>
      <c r="T55" s="12">
        <v>5.0</v>
      </c>
      <c r="U55" s="12">
        <v>1.0</v>
      </c>
      <c r="V55" s="12">
        <v>4.0</v>
      </c>
      <c r="W55" s="12">
        <v>2.0</v>
      </c>
      <c r="X55" s="12">
        <v>6.0</v>
      </c>
      <c r="Y55" s="12">
        <f t="shared" si="1"/>
        <v>2</v>
      </c>
      <c r="Z55" s="12" t="s">
        <v>420</v>
      </c>
      <c r="AA55" s="12" t="s">
        <v>206</v>
      </c>
      <c r="AB55" s="12">
        <v>1.0</v>
      </c>
      <c r="AC55" s="12">
        <v>3.0</v>
      </c>
      <c r="AD55" s="12">
        <v>1.0</v>
      </c>
      <c r="AE55" s="12">
        <v>4.0</v>
      </c>
      <c r="AF55" s="12">
        <v>5.0</v>
      </c>
      <c r="AG55" s="12">
        <v>6.0</v>
      </c>
      <c r="AH55" s="12" t="s">
        <v>421</v>
      </c>
      <c r="AI55" s="12" t="s">
        <v>206</v>
      </c>
      <c r="AJ55" s="12">
        <v>5.0</v>
      </c>
      <c r="AK55" s="12">
        <v>4.0</v>
      </c>
      <c r="AL55" s="12">
        <v>4.0</v>
      </c>
      <c r="AM55" s="12">
        <v>1.0</v>
      </c>
      <c r="AN55" s="12">
        <f t="shared" si="2"/>
        <v>7</v>
      </c>
      <c r="AO55" s="12">
        <v>1.0</v>
      </c>
      <c r="AP55" s="12">
        <f t="shared" si="3"/>
        <v>7</v>
      </c>
      <c r="AQ55" s="12">
        <v>1.0</v>
      </c>
      <c r="AR55" s="12">
        <f t="shared" si="4"/>
        <v>7</v>
      </c>
      <c r="AS55" s="12">
        <v>1.0</v>
      </c>
      <c r="AT55" s="12">
        <f t="shared" si="5"/>
        <v>7</v>
      </c>
      <c r="AU55" s="12" t="s">
        <v>422</v>
      </c>
    </row>
    <row r="56">
      <c r="A56" s="14">
        <f>IFERROR(__xludf.DUMMYFUNCTION("IF(E56="""", """", VALUE(REGEXREPLACE(E56, ""^[Pp]"", """")))"),15.0)</f>
        <v>15</v>
      </c>
      <c r="B56" s="14">
        <v>323.0</v>
      </c>
      <c r="C56" s="15">
        <v>45868.09583333333</v>
      </c>
      <c r="D56" s="12" t="s">
        <v>423</v>
      </c>
      <c r="E56" s="12" t="s">
        <v>411</v>
      </c>
      <c r="F56" s="12" t="s">
        <v>197</v>
      </c>
      <c r="G56" s="12" t="str">
        <f>IFERROR(__xludf.DUMMYFUNCTION("IF(SPLIT(F56,""-"")=""HR"",""High"",""Low"")"),"High")</f>
        <v>High</v>
      </c>
      <c r="H56" s="12" t="str">
        <f>IFERROR(__xludf.DUMMYFUNCTION("INDEX(SPLIT(F56, ""-""), 2)"),"VR")</f>
        <v>VR</v>
      </c>
      <c r="I56" s="12">
        <v>3.0</v>
      </c>
      <c r="J56" s="12">
        <v>4.0</v>
      </c>
      <c r="K56" s="12">
        <v>3.0</v>
      </c>
      <c r="L56" s="12" t="s">
        <v>199</v>
      </c>
      <c r="M56" s="12">
        <v>5.0</v>
      </c>
      <c r="N56" s="12">
        <v>6.0</v>
      </c>
      <c r="O56" s="12">
        <v>4.0</v>
      </c>
      <c r="P56" s="12">
        <v>4.0</v>
      </c>
      <c r="Q56" s="12">
        <v>6.0</v>
      </c>
      <c r="R56" s="12">
        <v>6.0</v>
      </c>
      <c r="S56" s="12">
        <v>6.0</v>
      </c>
      <c r="T56" s="12">
        <v>6.0</v>
      </c>
      <c r="U56" s="12">
        <v>5.0</v>
      </c>
      <c r="V56" s="12">
        <v>4.0</v>
      </c>
      <c r="W56" s="12">
        <v>6.0</v>
      </c>
      <c r="X56" s="12">
        <v>4.0</v>
      </c>
      <c r="Y56" s="12">
        <f t="shared" si="1"/>
        <v>4</v>
      </c>
      <c r="Z56" s="16" t="s">
        <v>424</v>
      </c>
      <c r="AA56" s="12" t="s">
        <v>206</v>
      </c>
      <c r="AB56" s="12">
        <v>4.0</v>
      </c>
      <c r="AC56" s="12">
        <v>5.0</v>
      </c>
      <c r="AD56" s="12">
        <v>6.0</v>
      </c>
      <c r="AE56" s="12">
        <v>4.0</v>
      </c>
      <c r="AF56" s="12">
        <v>6.0</v>
      </c>
      <c r="AG56" s="12">
        <v>6.0</v>
      </c>
      <c r="AH56" s="16" t="s">
        <v>425</v>
      </c>
      <c r="AI56" s="17"/>
      <c r="AJ56" s="12">
        <v>6.0</v>
      </c>
      <c r="AK56" s="12">
        <v>6.0</v>
      </c>
      <c r="AL56" s="12">
        <v>6.0</v>
      </c>
      <c r="AM56" s="12">
        <v>1.0</v>
      </c>
      <c r="AN56" s="12">
        <f t="shared" si="2"/>
        <v>7</v>
      </c>
      <c r="AO56" s="12">
        <v>1.0</v>
      </c>
      <c r="AP56" s="12">
        <f t="shared" si="3"/>
        <v>7</v>
      </c>
      <c r="AQ56" s="12">
        <v>1.0</v>
      </c>
      <c r="AR56" s="12">
        <f t="shared" si="4"/>
        <v>7</v>
      </c>
      <c r="AS56" s="12">
        <v>1.0</v>
      </c>
      <c r="AT56" s="12">
        <f t="shared" si="5"/>
        <v>7</v>
      </c>
      <c r="AU56" s="12" t="s">
        <v>426</v>
      </c>
    </row>
    <row r="57">
      <c r="A57" s="14">
        <f>IFERROR(__xludf.DUMMYFUNCTION("IF(E57="""", """", VALUE(REGEXREPLACE(E57, ""^[Pp]"", """")))"),15.0)</f>
        <v>15</v>
      </c>
      <c r="B57" s="14">
        <v>459.0</v>
      </c>
      <c r="C57" s="15">
        <v>45868.222916666666</v>
      </c>
      <c r="D57" s="12" t="s">
        <v>466</v>
      </c>
      <c r="E57" s="12" t="s">
        <v>411</v>
      </c>
      <c r="F57" s="12" t="s">
        <v>211</v>
      </c>
      <c r="G57" s="12" t="str">
        <f>IFERROR(__xludf.DUMMYFUNCTION("IF(SPLIT(F57,""-"")=""HR"",""High"",""Low"")"),"High")</f>
        <v>High</v>
      </c>
      <c r="H57" s="12" t="str">
        <f>IFERROR(__xludf.DUMMYFUNCTION("INDEX(SPLIT(F57, ""-""), 2)"),"Web")</f>
        <v>Web</v>
      </c>
      <c r="I57" s="12">
        <v>4.0</v>
      </c>
      <c r="J57" s="12">
        <v>3.0</v>
      </c>
      <c r="K57" s="12">
        <v>3.0</v>
      </c>
      <c r="L57" s="12" t="s">
        <v>199</v>
      </c>
      <c r="M57" s="12">
        <v>5.0</v>
      </c>
      <c r="N57" s="12">
        <v>5.0</v>
      </c>
      <c r="O57" s="12">
        <v>4.0</v>
      </c>
      <c r="P57" s="12">
        <v>5.0</v>
      </c>
      <c r="Q57" s="12">
        <v>5.0</v>
      </c>
      <c r="R57" s="12">
        <v>6.0</v>
      </c>
      <c r="S57" s="12">
        <v>5.0</v>
      </c>
      <c r="T57" s="12">
        <v>5.0</v>
      </c>
      <c r="U57" s="12">
        <v>4.0</v>
      </c>
      <c r="V57" s="12">
        <v>4.0</v>
      </c>
      <c r="W57" s="12">
        <v>5.0</v>
      </c>
      <c r="X57" s="12">
        <v>7.0</v>
      </c>
      <c r="Y57" s="12">
        <f t="shared" si="1"/>
        <v>1</v>
      </c>
      <c r="Z57" s="12" t="s">
        <v>467</v>
      </c>
      <c r="AA57" s="12" t="s">
        <v>206</v>
      </c>
      <c r="AB57" s="12">
        <v>5.0</v>
      </c>
      <c r="AC57" s="12">
        <v>6.0</v>
      </c>
      <c r="AD57" s="12">
        <v>6.0</v>
      </c>
      <c r="AE57" s="12">
        <v>5.0</v>
      </c>
      <c r="AF57" s="12">
        <v>4.0</v>
      </c>
      <c r="AG57" s="12">
        <v>5.0</v>
      </c>
      <c r="AH57" s="12" t="s">
        <v>413</v>
      </c>
      <c r="AI57" s="12" t="s">
        <v>206</v>
      </c>
      <c r="AJ57" s="12">
        <v>5.0</v>
      </c>
      <c r="AK57" s="12">
        <v>5.0</v>
      </c>
      <c r="AL57" s="12">
        <v>6.0</v>
      </c>
      <c r="AM57" s="12">
        <v>1.0</v>
      </c>
      <c r="AN57" s="12">
        <f t="shared" si="2"/>
        <v>7</v>
      </c>
      <c r="AO57" s="12">
        <v>1.0</v>
      </c>
      <c r="AP57" s="12">
        <f t="shared" si="3"/>
        <v>7</v>
      </c>
      <c r="AQ57" s="12">
        <v>1.0</v>
      </c>
      <c r="AR57" s="12">
        <f t="shared" si="4"/>
        <v>7</v>
      </c>
      <c r="AS57" s="12">
        <v>1.0</v>
      </c>
      <c r="AT57" s="12">
        <f t="shared" si="5"/>
        <v>7</v>
      </c>
      <c r="AU57" s="12" t="s">
        <v>413</v>
      </c>
    </row>
    <row r="58">
      <c r="A58" s="14">
        <f>IFERROR(__xludf.DUMMYFUNCTION("IF(E58="""", """", VALUE(REGEXREPLACE(E58, ""^[Pp]"", """")))"),15.0)</f>
        <v>15</v>
      </c>
      <c r="B58" s="14">
        <v>309.0</v>
      </c>
      <c r="C58" s="15">
        <v>45868.22986111111</v>
      </c>
      <c r="D58" s="12" t="s">
        <v>468</v>
      </c>
      <c r="E58" s="12" t="s">
        <v>411</v>
      </c>
      <c r="F58" s="12" t="s">
        <v>216</v>
      </c>
      <c r="G58" s="12" t="str">
        <f>IFERROR(__xludf.DUMMYFUNCTION("IF(SPLIT(F58,""-"")=""HR"",""High"",""Low"")"),"Low")</f>
        <v>Low</v>
      </c>
      <c r="H58" s="12" t="str">
        <f>IFERROR(__xludf.DUMMYFUNCTION("INDEX(SPLIT(F58, ""-""), 2)"),"Web")</f>
        <v>Web</v>
      </c>
      <c r="I58" s="12">
        <v>1.0</v>
      </c>
      <c r="J58" s="12">
        <v>4.0</v>
      </c>
      <c r="K58" s="12">
        <v>2.0</v>
      </c>
      <c r="L58" s="12" t="s">
        <v>199</v>
      </c>
      <c r="M58" s="12">
        <v>5.0</v>
      </c>
      <c r="N58" s="12">
        <v>6.0</v>
      </c>
      <c r="O58" s="12">
        <v>3.0</v>
      </c>
      <c r="P58" s="12">
        <v>2.0</v>
      </c>
      <c r="Q58" s="12">
        <v>5.0</v>
      </c>
      <c r="R58" s="12">
        <v>5.0</v>
      </c>
      <c r="S58" s="12">
        <v>5.0</v>
      </c>
      <c r="T58" s="12">
        <v>5.0</v>
      </c>
      <c r="U58" s="12">
        <v>3.0</v>
      </c>
      <c r="V58" s="12">
        <v>4.0</v>
      </c>
      <c r="W58" s="12">
        <v>5.0</v>
      </c>
      <c r="X58" s="12">
        <v>3.0</v>
      </c>
      <c r="Y58" s="12">
        <f t="shared" si="1"/>
        <v>5</v>
      </c>
      <c r="Z58" s="12" t="s">
        <v>413</v>
      </c>
      <c r="AA58" s="12" t="s">
        <v>206</v>
      </c>
      <c r="AB58" s="12">
        <v>5.0</v>
      </c>
      <c r="AC58" s="12">
        <v>5.0</v>
      </c>
      <c r="AD58" s="12">
        <v>4.0</v>
      </c>
      <c r="AE58" s="12">
        <v>5.0</v>
      </c>
      <c r="AF58" s="12">
        <v>5.0</v>
      </c>
      <c r="AG58" s="12">
        <v>5.0</v>
      </c>
      <c r="AH58" s="12" t="s">
        <v>413</v>
      </c>
      <c r="AI58" s="12" t="s">
        <v>206</v>
      </c>
      <c r="AJ58" s="12">
        <v>6.0</v>
      </c>
      <c r="AK58" s="12">
        <v>5.0</v>
      </c>
      <c r="AL58" s="12">
        <v>5.0</v>
      </c>
      <c r="AM58" s="12">
        <v>1.0</v>
      </c>
      <c r="AN58" s="12">
        <f t="shared" si="2"/>
        <v>7</v>
      </c>
      <c r="AO58" s="12">
        <v>1.0</v>
      </c>
      <c r="AP58" s="12">
        <f t="shared" si="3"/>
        <v>7</v>
      </c>
      <c r="AQ58" s="12">
        <v>1.0</v>
      </c>
      <c r="AR58" s="12">
        <f t="shared" si="4"/>
        <v>7</v>
      </c>
      <c r="AS58" s="12">
        <v>1.0</v>
      </c>
      <c r="AT58" s="12">
        <f t="shared" si="5"/>
        <v>7</v>
      </c>
      <c r="AU58" s="12" t="s">
        <v>413</v>
      </c>
    </row>
    <row r="59">
      <c r="A59" s="14">
        <f>IFERROR(__xludf.DUMMYFUNCTION("IF(E59="""", """", VALUE(REGEXREPLACE(E59, ""^[Pp]"", """")))"),16.0)</f>
        <v>16</v>
      </c>
      <c r="B59" s="14">
        <v>885.0</v>
      </c>
      <c r="C59" s="15">
        <v>45868.10208333333</v>
      </c>
      <c r="D59" s="12" t="s">
        <v>427</v>
      </c>
      <c r="E59" s="12" t="s">
        <v>428</v>
      </c>
      <c r="F59" s="12" t="s">
        <v>216</v>
      </c>
      <c r="G59" s="12" t="str">
        <f>IFERROR(__xludf.DUMMYFUNCTION("IF(SPLIT(F59,""-"")=""HR"",""High"",""Low"")"),"Low")</f>
        <v>Low</v>
      </c>
      <c r="H59" s="12" t="str">
        <f>IFERROR(__xludf.DUMMYFUNCTION("INDEX(SPLIT(F59, ""-""), 2)"),"Web")</f>
        <v>Web</v>
      </c>
      <c r="I59" s="12">
        <v>2.0</v>
      </c>
      <c r="J59" s="12">
        <v>4.0</v>
      </c>
      <c r="K59" s="12">
        <v>6.0</v>
      </c>
      <c r="L59" s="12" t="s">
        <v>199</v>
      </c>
      <c r="M59" s="12">
        <v>6.0</v>
      </c>
      <c r="N59" s="12">
        <v>6.0</v>
      </c>
      <c r="O59" s="12">
        <v>6.0</v>
      </c>
      <c r="P59" s="12">
        <v>3.0</v>
      </c>
      <c r="Q59" s="12">
        <v>6.0</v>
      </c>
      <c r="R59" s="12">
        <v>6.0</v>
      </c>
      <c r="S59" s="12">
        <v>6.0</v>
      </c>
      <c r="T59" s="12">
        <v>6.0</v>
      </c>
      <c r="U59" s="12">
        <v>3.0</v>
      </c>
      <c r="V59" s="12">
        <v>4.0</v>
      </c>
      <c r="W59" s="12">
        <v>6.0</v>
      </c>
      <c r="X59" s="12">
        <v>6.0</v>
      </c>
      <c r="Y59" s="12">
        <f t="shared" si="1"/>
        <v>2</v>
      </c>
      <c r="Z59" s="12" t="s">
        <v>429</v>
      </c>
      <c r="AA59" s="12" t="s">
        <v>206</v>
      </c>
      <c r="AB59" s="12">
        <v>5.0</v>
      </c>
      <c r="AC59" s="12">
        <v>5.0</v>
      </c>
      <c r="AD59" s="12">
        <v>5.0</v>
      </c>
      <c r="AE59" s="12">
        <v>6.0</v>
      </c>
      <c r="AF59" s="12">
        <v>4.0</v>
      </c>
      <c r="AG59" s="12">
        <v>5.0</v>
      </c>
      <c r="AH59" s="12" t="s">
        <v>430</v>
      </c>
      <c r="AI59" s="12" t="s">
        <v>206</v>
      </c>
      <c r="AJ59" s="12">
        <v>6.0</v>
      </c>
      <c r="AK59" s="12">
        <v>5.0</v>
      </c>
      <c r="AL59" s="12">
        <v>4.0</v>
      </c>
      <c r="AM59" s="12">
        <v>1.0</v>
      </c>
      <c r="AN59" s="12">
        <f t="shared" si="2"/>
        <v>7</v>
      </c>
      <c r="AO59" s="12">
        <v>1.0</v>
      </c>
      <c r="AP59" s="12">
        <f t="shared" si="3"/>
        <v>7</v>
      </c>
      <c r="AQ59" s="12">
        <v>1.0</v>
      </c>
      <c r="AR59" s="12">
        <f t="shared" si="4"/>
        <v>7</v>
      </c>
      <c r="AS59" s="12">
        <v>1.0</v>
      </c>
      <c r="AT59" s="12">
        <f t="shared" si="5"/>
        <v>7</v>
      </c>
      <c r="AU59" s="12" t="s">
        <v>431</v>
      </c>
    </row>
    <row r="60">
      <c r="A60" s="14">
        <f>IFERROR(__xludf.DUMMYFUNCTION("IF(E60="""", """", VALUE(REGEXREPLACE(E60, ""^[Pp]"", """")))"),16.0)</f>
        <v>16</v>
      </c>
      <c r="B60" s="14">
        <v>675.0</v>
      </c>
      <c r="C60" s="15">
        <v>45868.256944444445</v>
      </c>
      <c r="D60" s="12" t="s">
        <v>478</v>
      </c>
      <c r="E60" s="12" t="s">
        <v>428</v>
      </c>
      <c r="F60" s="12" t="s">
        <v>197</v>
      </c>
      <c r="G60" s="12" t="str">
        <f>IFERROR(__xludf.DUMMYFUNCTION("IF(SPLIT(F60,""-"")=""HR"",""High"",""Low"")"),"High")</f>
        <v>High</v>
      </c>
      <c r="H60" s="12" t="str">
        <f>IFERROR(__xludf.DUMMYFUNCTION("INDEX(SPLIT(F60, ""-""), 2)"),"VR")</f>
        <v>VR</v>
      </c>
      <c r="I60" s="12">
        <v>3.0</v>
      </c>
      <c r="J60" s="12">
        <v>3.0</v>
      </c>
      <c r="K60" s="12">
        <v>2.0</v>
      </c>
      <c r="L60" s="12" t="s">
        <v>199</v>
      </c>
      <c r="M60" s="12">
        <v>5.0</v>
      </c>
      <c r="N60" s="12">
        <v>5.0</v>
      </c>
      <c r="O60" s="12">
        <v>2.0</v>
      </c>
      <c r="P60" s="12">
        <v>2.0</v>
      </c>
      <c r="Q60" s="12">
        <v>2.0</v>
      </c>
      <c r="R60" s="12">
        <v>5.0</v>
      </c>
      <c r="S60" s="12">
        <v>5.0</v>
      </c>
      <c r="T60" s="12">
        <v>5.0</v>
      </c>
      <c r="U60" s="12">
        <v>2.0</v>
      </c>
      <c r="V60" s="12">
        <v>4.0</v>
      </c>
      <c r="W60" s="12">
        <v>5.0</v>
      </c>
      <c r="X60" s="12">
        <v>2.0</v>
      </c>
      <c r="Y60" s="12">
        <f t="shared" si="1"/>
        <v>6</v>
      </c>
      <c r="Z60" s="12" t="s">
        <v>479</v>
      </c>
      <c r="AA60" s="12" t="s">
        <v>206</v>
      </c>
      <c r="AB60" s="12">
        <v>5.0</v>
      </c>
      <c r="AC60" s="12">
        <v>5.0</v>
      </c>
      <c r="AD60" s="12">
        <v>5.0</v>
      </c>
      <c r="AE60" s="12">
        <v>3.0</v>
      </c>
      <c r="AF60" s="12">
        <v>3.0</v>
      </c>
      <c r="AG60" s="12">
        <v>5.0</v>
      </c>
      <c r="AH60" s="12" t="s">
        <v>480</v>
      </c>
      <c r="AI60" s="12" t="s">
        <v>206</v>
      </c>
      <c r="AJ60" s="12">
        <v>5.0</v>
      </c>
      <c r="AK60" s="12">
        <v>5.0</v>
      </c>
      <c r="AL60" s="12">
        <v>4.0</v>
      </c>
      <c r="AM60" s="12">
        <v>5.0</v>
      </c>
      <c r="AN60" s="12">
        <f t="shared" si="2"/>
        <v>3</v>
      </c>
      <c r="AO60" s="12">
        <v>5.0</v>
      </c>
      <c r="AP60" s="12">
        <f t="shared" si="3"/>
        <v>3</v>
      </c>
      <c r="AQ60" s="12">
        <v>5.0</v>
      </c>
      <c r="AR60" s="12">
        <f t="shared" si="4"/>
        <v>3</v>
      </c>
      <c r="AS60" s="12">
        <v>3.0</v>
      </c>
      <c r="AT60" s="12">
        <f t="shared" si="5"/>
        <v>5</v>
      </c>
      <c r="AU60" s="12" t="s">
        <v>481</v>
      </c>
    </row>
    <row r="61">
      <c r="A61" s="14">
        <f>IFERROR(__xludf.DUMMYFUNCTION("IF(E61="""", """", VALUE(REGEXREPLACE(E61, ""^[Pp]"", """")))"),16.0)</f>
        <v>16</v>
      </c>
      <c r="B61" s="14">
        <v>616.0</v>
      </c>
      <c r="C61" s="15">
        <v>45868.27222222222</v>
      </c>
      <c r="D61" s="12" t="s">
        <v>491</v>
      </c>
      <c r="E61" s="12" t="s">
        <v>428</v>
      </c>
      <c r="F61" s="12" t="s">
        <v>263</v>
      </c>
      <c r="G61" s="12" t="str">
        <f>IFERROR(__xludf.DUMMYFUNCTION("IF(SPLIT(F61,""-"")=""HR"",""High"",""Low"")"),"Low")</f>
        <v>Low</v>
      </c>
      <c r="H61" s="12" t="str">
        <f>IFERROR(__xludf.DUMMYFUNCTION("INDEX(SPLIT(F61, ""-""), 2)"),"VR")</f>
        <v>VR</v>
      </c>
      <c r="I61" s="12">
        <v>4.0</v>
      </c>
      <c r="J61" s="12">
        <v>2.0</v>
      </c>
      <c r="K61" s="12">
        <v>1.0</v>
      </c>
      <c r="L61" s="12" t="s">
        <v>199</v>
      </c>
      <c r="M61" s="12">
        <v>5.0</v>
      </c>
      <c r="N61" s="12">
        <v>4.0</v>
      </c>
      <c r="O61" s="12">
        <v>2.0</v>
      </c>
      <c r="P61" s="12">
        <v>2.0</v>
      </c>
      <c r="Q61" s="12">
        <v>6.0</v>
      </c>
      <c r="R61" s="12">
        <v>5.0</v>
      </c>
      <c r="S61" s="12">
        <v>6.0</v>
      </c>
      <c r="T61" s="12">
        <v>6.0</v>
      </c>
      <c r="U61" s="12">
        <v>2.0</v>
      </c>
      <c r="V61" s="12">
        <v>6.0</v>
      </c>
      <c r="W61" s="12">
        <v>5.0</v>
      </c>
      <c r="X61" s="12">
        <v>5.0</v>
      </c>
      <c r="Y61" s="12">
        <f t="shared" si="1"/>
        <v>3</v>
      </c>
      <c r="Z61" s="12" t="s">
        <v>492</v>
      </c>
      <c r="AA61" s="12" t="s">
        <v>206</v>
      </c>
      <c r="AB61" s="12">
        <v>2.0</v>
      </c>
      <c r="AC61" s="12">
        <v>2.0</v>
      </c>
      <c r="AD61" s="12">
        <v>2.0</v>
      </c>
      <c r="AE61" s="12">
        <v>2.0</v>
      </c>
      <c r="AF61" s="12">
        <v>7.0</v>
      </c>
      <c r="AG61" s="12">
        <v>1.0</v>
      </c>
      <c r="AH61" s="12" t="s">
        <v>493</v>
      </c>
      <c r="AI61" s="12" t="s">
        <v>206</v>
      </c>
      <c r="AJ61" s="12">
        <v>6.0</v>
      </c>
      <c r="AK61" s="12">
        <v>2.0</v>
      </c>
      <c r="AL61" s="12">
        <v>3.0</v>
      </c>
      <c r="AM61" s="12">
        <v>7.0</v>
      </c>
      <c r="AN61" s="12">
        <f t="shared" si="2"/>
        <v>1</v>
      </c>
      <c r="AO61" s="12">
        <v>7.0</v>
      </c>
      <c r="AP61" s="12">
        <f t="shared" si="3"/>
        <v>1</v>
      </c>
      <c r="AQ61" s="12">
        <v>7.0</v>
      </c>
      <c r="AR61" s="12">
        <f t="shared" si="4"/>
        <v>1</v>
      </c>
      <c r="AS61" s="12">
        <v>6.0</v>
      </c>
      <c r="AT61" s="12">
        <f t="shared" si="5"/>
        <v>2</v>
      </c>
      <c r="AU61" s="12" t="s">
        <v>494</v>
      </c>
    </row>
    <row r="62">
      <c r="A62" s="14">
        <f>IFERROR(__xludf.DUMMYFUNCTION("IF(E62="""", """", VALUE(REGEXREPLACE(E62, ""^[Pp]"", """")))"),17.0)</f>
        <v>17</v>
      </c>
      <c r="B62" s="14">
        <v>1034.0</v>
      </c>
      <c r="C62" s="15">
        <v>45868.16805555556</v>
      </c>
      <c r="D62" s="12" t="s">
        <v>432</v>
      </c>
      <c r="E62" s="12" t="s">
        <v>433</v>
      </c>
      <c r="F62" s="12" t="s">
        <v>216</v>
      </c>
      <c r="G62" s="12" t="str">
        <f>IFERROR(__xludf.DUMMYFUNCTION("IF(SPLIT(F62,""-"")=""HR"",""High"",""Low"")"),"Low")</f>
        <v>Low</v>
      </c>
      <c r="H62" s="12" t="str">
        <f>IFERROR(__xludf.DUMMYFUNCTION("INDEX(SPLIT(F62, ""-""), 2)"),"Web")</f>
        <v>Web</v>
      </c>
      <c r="I62" s="12">
        <v>1.0</v>
      </c>
      <c r="J62" s="12">
        <v>3.0</v>
      </c>
      <c r="K62" s="12">
        <v>2.0</v>
      </c>
      <c r="L62" s="12" t="s">
        <v>199</v>
      </c>
      <c r="M62" s="12">
        <v>5.0</v>
      </c>
      <c r="N62" s="12">
        <v>4.0</v>
      </c>
      <c r="O62" s="12">
        <v>2.0</v>
      </c>
      <c r="P62" s="12">
        <v>2.0</v>
      </c>
      <c r="Q62" s="12">
        <v>2.0</v>
      </c>
      <c r="R62" s="12">
        <v>6.0</v>
      </c>
      <c r="S62" s="12">
        <v>6.0</v>
      </c>
      <c r="T62" s="12">
        <v>3.0</v>
      </c>
      <c r="U62" s="12">
        <v>2.0</v>
      </c>
      <c r="V62" s="12">
        <v>2.0</v>
      </c>
      <c r="W62" s="12">
        <v>6.0</v>
      </c>
      <c r="X62" s="12">
        <v>6.0</v>
      </c>
      <c r="Y62" s="12">
        <f t="shared" si="1"/>
        <v>2</v>
      </c>
      <c r="Z62" s="12" t="s">
        <v>434</v>
      </c>
      <c r="AA62" s="12" t="s">
        <v>206</v>
      </c>
      <c r="AB62" s="12">
        <v>6.0</v>
      </c>
      <c r="AC62" s="12">
        <v>4.0</v>
      </c>
      <c r="AD62" s="12">
        <v>3.0</v>
      </c>
      <c r="AE62" s="12">
        <v>6.0</v>
      </c>
      <c r="AF62" s="12">
        <v>4.0</v>
      </c>
      <c r="AG62" s="12">
        <v>2.0</v>
      </c>
      <c r="AH62" s="12" t="s">
        <v>435</v>
      </c>
      <c r="AI62" s="12" t="s">
        <v>206</v>
      </c>
      <c r="AJ62" s="12">
        <v>6.0</v>
      </c>
      <c r="AK62" s="12">
        <v>5.0</v>
      </c>
      <c r="AL62" s="12">
        <v>3.0</v>
      </c>
      <c r="AM62" s="12">
        <v>2.0</v>
      </c>
      <c r="AN62" s="12">
        <f t="shared" si="2"/>
        <v>6</v>
      </c>
      <c r="AO62" s="12">
        <v>2.0</v>
      </c>
      <c r="AP62" s="12">
        <f t="shared" si="3"/>
        <v>6</v>
      </c>
      <c r="AQ62" s="12">
        <v>1.0</v>
      </c>
      <c r="AR62" s="12">
        <f t="shared" si="4"/>
        <v>7</v>
      </c>
      <c r="AS62" s="12">
        <v>1.0</v>
      </c>
      <c r="AT62" s="12">
        <f t="shared" si="5"/>
        <v>7</v>
      </c>
      <c r="AU62" s="16" t="s">
        <v>436</v>
      </c>
    </row>
    <row r="63">
      <c r="A63" s="14">
        <f>IFERROR(__xludf.DUMMYFUNCTION("IF(E63="""", """", VALUE(REGEXREPLACE(E63, ""^[Pp]"", """")))"),17.0)</f>
        <v>17</v>
      </c>
      <c r="B63" s="14">
        <v>1006.0</v>
      </c>
      <c r="C63" s="15">
        <v>45868.180555555555</v>
      </c>
      <c r="D63" s="12" t="s">
        <v>437</v>
      </c>
      <c r="E63" s="12" t="s">
        <v>433</v>
      </c>
      <c r="F63" s="12" t="s">
        <v>211</v>
      </c>
      <c r="G63" s="12" t="str">
        <f>IFERROR(__xludf.DUMMYFUNCTION("IF(SPLIT(F63,""-"")=""HR"",""High"",""Low"")"),"High")</f>
        <v>High</v>
      </c>
      <c r="H63" s="12" t="str">
        <f>IFERROR(__xludf.DUMMYFUNCTION("INDEX(SPLIT(F63, ""-""), 2)"),"Web")</f>
        <v>Web</v>
      </c>
      <c r="I63" s="12">
        <v>2.0</v>
      </c>
      <c r="J63" s="12">
        <v>2.0</v>
      </c>
      <c r="K63" s="12">
        <v>5.0</v>
      </c>
      <c r="L63" s="12" t="s">
        <v>199</v>
      </c>
      <c r="M63" s="12">
        <v>6.0</v>
      </c>
      <c r="N63" s="12">
        <v>5.0</v>
      </c>
      <c r="O63" s="12">
        <v>4.0</v>
      </c>
      <c r="P63" s="12">
        <v>5.0</v>
      </c>
      <c r="Q63" s="12">
        <v>5.0</v>
      </c>
      <c r="R63" s="12">
        <v>7.0</v>
      </c>
      <c r="S63" s="12">
        <v>6.0</v>
      </c>
      <c r="T63" s="12">
        <v>3.0</v>
      </c>
      <c r="U63" s="12">
        <v>5.0</v>
      </c>
      <c r="V63" s="12">
        <v>5.0</v>
      </c>
      <c r="W63" s="12">
        <v>6.0</v>
      </c>
      <c r="X63" s="12">
        <v>6.0</v>
      </c>
      <c r="Y63" s="12">
        <f t="shared" si="1"/>
        <v>2</v>
      </c>
      <c r="Z63" s="16" t="s">
        <v>438</v>
      </c>
      <c r="AA63" s="12" t="s">
        <v>206</v>
      </c>
      <c r="AB63" s="12">
        <v>6.0</v>
      </c>
      <c r="AC63" s="12">
        <v>4.0</v>
      </c>
      <c r="AD63" s="12">
        <v>5.0</v>
      </c>
      <c r="AE63" s="12">
        <v>5.0</v>
      </c>
      <c r="AF63" s="12">
        <v>5.0</v>
      </c>
      <c r="AG63" s="12">
        <v>6.0</v>
      </c>
      <c r="AH63" s="16" t="s">
        <v>439</v>
      </c>
      <c r="AI63" s="12" t="s">
        <v>206</v>
      </c>
      <c r="AJ63" s="12">
        <v>5.0</v>
      </c>
      <c r="AK63" s="12">
        <v>6.0</v>
      </c>
      <c r="AL63" s="12">
        <v>7.0</v>
      </c>
      <c r="AM63" s="12">
        <v>1.0</v>
      </c>
      <c r="AN63" s="12">
        <f t="shared" si="2"/>
        <v>7</v>
      </c>
      <c r="AO63" s="12">
        <v>2.0</v>
      </c>
      <c r="AP63" s="12">
        <f t="shared" si="3"/>
        <v>6</v>
      </c>
      <c r="AQ63" s="12">
        <v>1.0</v>
      </c>
      <c r="AR63" s="12">
        <f t="shared" si="4"/>
        <v>7</v>
      </c>
      <c r="AS63" s="12">
        <v>1.0</v>
      </c>
      <c r="AT63" s="12">
        <f t="shared" si="5"/>
        <v>7</v>
      </c>
      <c r="AU63" s="12" t="s">
        <v>440</v>
      </c>
    </row>
    <row r="64">
      <c r="A64" s="14">
        <f>IFERROR(__xludf.DUMMYFUNCTION("IF(E64="""", """", VALUE(REGEXREPLACE(E64, ""^[Pp]"", """")))"),17.0)</f>
        <v>17</v>
      </c>
      <c r="B64" s="14">
        <v>1471.0</v>
      </c>
      <c r="C64" s="15">
        <v>45868.20138888889</v>
      </c>
      <c r="D64" s="12" t="s">
        <v>450</v>
      </c>
      <c r="E64" s="12" t="s">
        <v>433</v>
      </c>
      <c r="F64" s="12" t="s">
        <v>197</v>
      </c>
      <c r="G64" s="12" t="str">
        <f>IFERROR(__xludf.DUMMYFUNCTION("IF(SPLIT(F64,""-"")=""HR"",""High"",""Low"")"),"High")</f>
        <v>High</v>
      </c>
      <c r="H64" s="12" t="str">
        <f>IFERROR(__xludf.DUMMYFUNCTION("INDEX(SPLIT(F64, ""-""), 2)"),"VR")</f>
        <v>VR</v>
      </c>
      <c r="I64" s="12">
        <v>3.0</v>
      </c>
      <c r="J64" s="12">
        <v>6.0</v>
      </c>
      <c r="K64" s="12">
        <v>6.0</v>
      </c>
      <c r="L64" s="12" t="s">
        <v>199</v>
      </c>
      <c r="M64" s="12">
        <v>6.0</v>
      </c>
      <c r="N64" s="12">
        <v>7.0</v>
      </c>
      <c r="O64" s="12">
        <v>7.0</v>
      </c>
      <c r="P64" s="12">
        <v>6.0</v>
      </c>
      <c r="Q64" s="12">
        <v>4.0</v>
      </c>
      <c r="R64" s="12">
        <v>6.0</v>
      </c>
      <c r="S64" s="12">
        <v>6.0</v>
      </c>
      <c r="T64" s="12">
        <v>6.0</v>
      </c>
      <c r="U64" s="12">
        <v>6.0</v>
      </c>
      <c r="V64" s="12">
        <v>5.0</v>
      </c>
      <c r="W64" s="12">
        <v>7.0</v>
      </c>
      <c r="X64" s="12">
        <v>6.0</v>
      </c>
      <c r="Y64" s="12">
        <f t="shared" si="1"/>
        <v>2</v>
      </c>
      <c r="Z64" s="16" t="s">
        <v>451</v>
      </c>
      <c r="AA64" s="12" t="s">
        <v>206</v>
      </c>
      <c r="AB64" s="12">
        <v>6.0</v>
      </c>
      <c r="AC64" s="12">
        <v>6.0</v>
      </c>
      <c r="AD64" s="12">
        <v>6.0</v>
      </c>
      <c r="AE64" s="12">
        <v>5.0</v>
      </c>
      <c r="AF64" s="12">
        <v>5.0</v>
      </c>
      <c r="AG64" s="12">
        <v>6.0</v>
      </c>
      <c r="AH64" s="12" t="s">
        <v>452</v>
      </c>
      <c r="AI64" s="12" t="s">
        <v>206</v>
      </c>
      <c r="AJ64" s="12">
        <v>6.0</v>
      </c>
      <c r="AK64" s="12">
        <v>2.0</v>
      </c>
      <c r="AL64" s="12">
        <v>7.0</v>
      </c>
      <c r="AM64" s="12">
        <v>2.0</v>
      </c>
      <c r="AN64" s="12">
        <f t="shared" si="2"/>
        <v>6</v>
      </c>
      <c r="AO64" s="12">
        <v>2.0</v>
      </c>
      <c r="AP64" s="12">
        <f t="shared" si="3"/>
        <v>6</v>
      </c>
      <c r="AQ64" s="12">
        <v>5.0</v>
      </c>
      <c r="AR64" s="12">
        <f t="shared" si="4"/>
        <v>3</v>
      </c>
      <c r="AS64" s="12">
        <v>6.0</v>
      </c>
      <c r="AT64" s="12">
        <f t="shared" si="5"/>
        <v>2</v>
      </c>
      <c r="AU64" s="16" t="s">
        <v>453</v>
      </c>
    </row>
    <row r="65">
      <c r="A65" s="14">
        <f>IFERROR(__xludf.DUMMYFUNCTION("IF(E65="""", """", VALUE(REGEXREPLACE(E65, ""^[Pp]"", """")))"),17.0)</f>
        <v>17</v>
      </c>
      <c r="B65" s="14">
        <v>746.0</v>
      </c>
      <c r="C65" s="15">
        <v>45868.21597222222</v>
      </c>
      <c r="D65" s="12" t="s">
        <v>462</v>
      </c>
      <c r="E65" s="12" t="s">
        <v>433</v>
      </c>
      <c r="F65" s="12" t="s">
        <v>263</v>
      </c>
      <c r="G65" s="12" t="str">
        <f>IFERROR(__xludf.DUMMYFUNCTION("IF(SPLIT(F65,""-"")=""HR"",""High"",""Low"")"),"Low")</f>
        <v>Low</v>
      </c>
      <c r="H65" s="12" t="str">
        <f>IFERROR(__xludf.DUMMYFUNCTION("INDEX(SPLIT(F65, ""-""), 2)"),"VR")</f>
        <v>VR</v>
      </c>
      <c r="I65" s="12">
        <v>4.0</v>
      </c>
      <c r="J65" s="12">
        <v>6.0</v>
      </c>
      <c r="K65" s="12">
        <v>5.0</v>
      </c>
      <c r="L65" s="12" t="s">
        <v>199</v>
      </c>
      <c r="M65" s="12">
        <v>6.0</v>
      </c>
      <c r="N65" s="12">
        <v>7.0</v>
      </c>
      <c r="O65" s="12">
        <v>6.0</v>
      </c>
      <c r="P65" s="12">
        <v>6.0</v>
      </c>
      <c r="Q65" s="12">
        <v>5.0</v>
      </c>
      <c r="R65" s="12">
        <v>6.0</v>
      </c>
      <c r="S65" s="12">
        <v>6.0</v>
      </c>
      <c r="T65" s="12">
        <v>6.0</v>
      </c>
      <c r="U65" s="12">
        <v>2.0</v>
      </c>
      <c r="V65" s="12">
        <v>3.0</v>
      </c>
      <c r="W65" s="12">
        <v>5.0</v>
      </c>
      <c r="X65" s="12">
        <v>6.0</v>
      </c>
      <c r="Y65" s="12">
        <f t="shared" si="1"/>
        <v>2</v>
      </c>
      <c r="Z65" s="16" t="s">
        <v>463</v>
      </c>
      <c r="AA65" s="12" t="s">
        <v>206</v>
      </c>
      <c r="AB65" s="12">
        <v>6.0</v>
      </c>
      <c r="AC65" s="12">
        <v>6.0</v>
      </c>
      <c r="AD65" s="12">
        <v>6.0</v>
      </c>
      <c r="AE65" s="12">
        <v>5.0</v>
      </c>
      <c r="AF65" s="12">
        <v>5.0</v>
      </c>
      <c r="AG65" s="12">
        <v>6.0</v>
      </c>
      <c r="AH65" s="12" t="s">
        <v>464</v>
      </c>
      <c r="AI65" s="12" t="s">
        <v>206</v>
      </c>
      <c r="AJ65" s="12">
        <v>6.0</v>
      </c>
      <c r="AK65" s="12">
        <v>5.0</v>
      </c>
      <c r="AL65" s="12">
        <v>7.0</v>
      </c>
      <c r="AM65" s="12">
        <v>2.0</v>
      </c>
      <c r="AN65" s="12">
        <f t="shared" si="2"/>
        <v>6</v>
      </c>
      <c r="AO65" s="12">
        <v>2.0</v>
      </c>
      <c r="AP65" s="12">
        <f t="shared" si="3"/>
        <v>6</v>
      </c>
      <c r="AQ65" s="12">
        <v>6.0</v>
      </c>
      <c r="AR65" s="12">
        <f t="shared" si="4"/>
        <v>2</v>
      </c>
      <c r="AS65" s="12">
        <v>5.0</v>
      </c>
      <c r="AT65" s="12">
        <f t="shared" si="5"/>
        <v>3</v>
      </c>
      <c r="AU65" s="16" t="s">
        <v>465</v>
      </c>
    </row>
    <row r="66">
      <c r="A66" s="14">
        <f>IFERROR(__xludf.DUMMYFUNCTION("IF(E66="""", """", VALUE(REGEXREPLACE(E66, ""^[Pp]"", """")))"),18.0)</f>
        <v>18</v>
      </c>
      <c r="B66" s="14">
        <v>961.0</v>
      </c>
      <c r="C66" s="15">
        <v>45868.183333333334</v>
      </c>
      <c r="D66" s="12" t="s">
        <v>441</v>
      </c>
      <c r="E66" s="12" t="s">
        <v>442</v>
      </c>
      <c r="F66" s="12" t="s">
        <v>197</v>
      </c>
      <c r="G66" s="12" t="str">
        <f>IFERROR(__xludf.DUMMYFUNCTION("IF(SPLIT(F66,""-"")=""HR"",""High"",""Low"")"),"High")</f>
        <v>High</v>
      </c>
      <c r="H66" s="12" t="str">
        <f>IFERROR(__xludf.DUMMYFUNCTION("INDEX(SPLIT(F66, ""-""), 2)"),"VR")</f>
        <v>VR</v>
      </c>
      <c r="I66" s="12">
        <v>1.0</v>
      </c>
      <c r="J66" s="12">
        <v>3.0</v>
      </c>
      <c r="K66" s="12">
        <v>5.0</v>
      </c>
      <c r="L66" s="12" t="s">
        <v>199</v>
      </c>
      <c r="M66" s="12">
        <v>3.0</v>
      </c>
      <c r="N66" s="12">
        <v>5.0</v>
      </c>
      <c r="O66" s="12">
        <v>5.0</v>
      </c>
      <c r="P66" s="12">
        <v>6.0</v>
      </c>
      <c r="Q66" s="12">
        <v>6.0</v>
      </c>
      <c r="R66" s="12">
        <v>6.0</v>
      </c>
      <c r="S66" s="12">
        <v>6.0</v>
      </c>
      <c r="T66" s="12">
        <v>6.0</v>
      </c>
      <c r="U66" s="12">
        <v>4.0</v>
      </c>
      <c r="V66" s="12">
        <v>5.0</v>
      </c>
      <c r="W66" s="12">
        <v>6.0</v>
      </c>
      <c r="X66" s="12">
        <v>4.0</v>
      </c>
      <c r="Y66" s="12">
        <f t="shared" si="1"/>
        <v>4</v>
      </c>
      <c r="Z66" s="12" t="s">
        <v>443</v>
      </c>
      <c r="AA66" s="12" t="s">
        <v>206</v>
      </c>
      <c r="AB66" s="12">
        <v>3.0</v>
      </c>
      <c r="AC66" s="12">
        <v>3.0</v>
      </c>
      <c r="AD66" s="12">
        <v>3.0</v>
      </c>
      <c r="AE66" s="12">
        <v>3.0</v>
      </c>
      <c r="AF66" s="12">
        <v>4.0</v>
      </c>
      <c r="AG66" s="12">
        <v>5.0</v>
      </c>
      <c r="AH66" s="12" t="s">
        <v>444</v>
      </c>
      <c r="AI66" s="12" t="s">
        <v>206</v>
      </c>
      <c r="AJ66" s="12">
        <v>4.0</v>
      </c>
      <c r="AK66" s="12">
        <v>5.0</v>
      </c>
      <c r="AL66" s="12">
        <v>5.0</v>
      </c>
      <c r="AM66" s="12">
        <v>2.0</v>
      </c>
      <c r="AN66" s="12">
        <f t="shared" si="2"/>
        <v>6</v>
      </c>
      <c r="AO66" s="12">
        <v>3.0</v>
      </c>
      <c r="AP66" s="12">
        <f t="shared" si="3"/>
        <v>5</v>
      </c>
      <c r="AQ66" s="12">
        <v>5.0</v>
      </c>
      <c r="AR66" s="12">
        <f t="shared" si="4"/>
        <v>3</v>
      </c>
      <c r="AS66" s="12">
        <v>3.0</v>
      </c>
      <c r="AT66" s="12">
        <f t="shared" si="5"/>
        <v>5</v>
      </c>
      <c r="AU66" s="12" t="s">
        <v>445</v>
      </c>
    </row>
    <row r="67">
      <c r="A67" s="14">
        <f>IFERROR(__xludf.DUMMYFUNCTION("IF(E67="""", """", VALUE(REGEXREPLACE(E67, ""^[Pp]"", """")))"),18.0)</f>
        <v>18</v>
      </c>
      <c r="B67" s="14">
        <v>829.0</v>
      </c>
      <c r="C67" s="15">
        <v>45868.19375</v>
      </c>
      <c r="D67" s="12" t="s">
        <v>446</v>
      </c>
      <c r="E67" s="12" t="s">
        <v>442</v>
      </c>
      <c r="F67" s="12" t="s">
        <v>197</v>
      </c>
      <c r="G67" s="12" t="str">
        <f>IFERROR(__xludf.DUMMYFUNCTION("IF(SPLIT(F67,""-"")=""HR"",""High"",""Low"")"),"High")</f>
        <v>High</v>
      </c>
      <c r="H67" s="12" t="str">
        <f>IFERROR(__xludf.DUMMYFUNCTION("INDEX(SPLIT(F67, ""-""), 2)"),"VR")</f>
        <v>VR</v>
      </c>
      <c r="I67" s="12">
        <v>2.0</v>
      </c>
      <c r="J67" s="12">
        <v>5.0</v>
      </c>
      <c r="K67" s="12">
        <v>3.0</v>
      </c>
      <c r="L67" s="12" t="s">
        <v>199</v>
      </c>
      <c r="M67" s="12">
        <v>4.0</v>
      </c>
      <c r="N67" s="12">
        <v>5.0</v>
      </c>
      <c r="O67" s="12">
        <v>7.0</v>
      </c>
      <c r="P67" s="12">
        <v>6.0</v>
      </c>
      <c r="Q67" s="12">
        <v>7.0</v>
      </c>
      <c r="R67" s="12">
        <v>7.0</v>
      </c>
      <c r="S67" s="12">
        <v>6.0</v>
      </c>
      <c r="T67" s="12">
        <v>6.0</v>
      </c>
      <c r="U67" s="12">
        <v>3.0</v>
      </c>
      <c r="V67" s="12">
        <v>5.0</v>
      </c>
      <c r="W67" s="12">
        <v>5.0</v>
      </c>
      <c r="X67" s="12">
        <v>5.0</v>
      </c>
      <c r="Y67" s="12">
        <f t="shared" si="1"/>
        <v>3</v>
      </c>
      <c r="Z67" s="12" t="s">
        <v>447</v>
      </c>
      <c r="AA67" s="12" t="s">
        <v>206</v>
      </c>
      <c r="AB67" s="12">
        <v>5.0</v>
      </c>
      <c r="AC67" s="12">
        <v>5.0</v>
      </c>
      <c r="AD67" s="12">
        <v>4.0</v>
      </c>
      <c r="AE67" s="12">
        <v>5.0</v>
      </c>
      <c r="AF67" s="12">
        <v>3.0</v>
      </c>
      <c r="AG67" s="12">
        <v>5.0</v>
      </c>
      <c r="AH67" s="12" t="s">
        <v>448</v>
      </c>
      <c r="AI67" s="12" t="s">
        <v>206</v>
      </c>
      <c r="AJ67" s="12">
        <v>6.0</v>
      </c>
      <c r="AK67" s="12">
        <v>6.0</v>
      </c>
      <c r="AL67" s="12">
        <v>6.0</v>
      </c>
      <c r="AM67" s="12">
        <v>2.0</v>
      </c>
      <c r="AN67" s="12">
        <f t="shared" si="2"/>
        <v>6</v>
      </c>
      <c r="AO67" s="12">
        <v>1.0</v>
      </c>
      <c r="AP67" s="12">
        <f t="shared" si="3"/>
        <v>7</v>
      </c>
      <c r="AQ67" s="12">
        <v>2.0</v>
      </c>
      <c r="AR67" s="12">
        <f t="shared" si="4"/>
        <v>6</v>
      </c>
      <c r="AS67" s="12">
        <v>1.0</v>
      </c>
      <c r="AT67" s="12">
        <f t="shared" si="5"/>
        <v>7</v>
      </c>
      <c r="AU67" s="12" t="s">
        <v>449</v>
      </c>
    </row>
    <row r="68">
      <c r="A68" s="14">
        <f>IFERROR(__xludf.DUMMYFUNCTION("IF(E68="""", """", VALUE(REGEXREPLACE(E68, ""^[Pp]"", """")))"),18.0)</f>
        <v>18</v>
      </c>
      <c r="B68" s="14">
        <v>626.0</v>
      </c>
      <c r="C68" s="15">
        <v>45868.20208333333</v>
      </c>
      <c r="D68" s="12" t="s">
        <v>454</v>
      </c>
      <c r="E68" s="12" t="s">
        <v>442</v>
      </c>
      <c r="F68" s="12" t="s">
        <v>216</v>
      </c>
      <c r="G68" s="12" t="str">
        <f>IFERROR(__xludf.DUMMYFUNCTION("IF(SPLIT(F68,""-"")=""HR"",""High"",""Low"")"),"Low")</f>
        <v>Low</v>
      </c>
      <c r="H68" s="12" t="str">
        <f>IFERROR(__xludf.DUMMYFUNCTION("INDEX(SPLIT(F68, ""-""), 2)"),"Web")</f>
        <v>Web</v>
      </c>
      <c r="I68" s="12">
        <v>3.0</v>
      </c>
      <c r="J68" s="12">
        <v>5.0</v>
      </c>
      <c r="K68" s="12">
        <v>5.0</v>
      </c>
      <c r="L68" s="12" t="s">
        <v>199</v>
      </c>
      <c r="M68" s="12">
        <v>5.0</v>
      </c>
      <c r="N68" s="12">
        <v>5.0</v>
      </c>
      <c r="O68" s="12">
        <v>6.0</v>
      </c>
      <c r="P68" s="12">
        <v>5.0</v>
      </c>
      <c r="Q68" s="12">
        <v>5.0</v>
      </c>
      <c r="R68" s="12">
        <v>5.0</v>
      </c>
      <c r="S68" s="12">
        <v>5.0</v>
      </c>
      <c r="T68" s="12">
        <v>5.0</v>
      </c>
      <c r="U68" s="12">
        <v>4.0</v>
      </c>
      <c r="V68" s="12">
        <v>3.0</v>
      </c>
      <c r="W68" s="12">
        <v>5.0</v>
      </c>
      <c r="X68" s="12">
        <v>2.0</v>
      </c>
      <c r="Y68" s="12">
        <f t="shared" si="1"/>
        <v>6</v>
      </c>
      <c r="Z68" s="12" t="s">
        <v>455</v>
      </c>
      <c r="AA68" s="12" t="s">
        <v>206</v>
      </c>
      <c r="AB68" s="12">
        <v>5.0</v>
      </c>
      <c r="AC68" s="12">
        <v>5.0</v>
      </c>
      <c r="AD68" s="12">
        <v>5.0</v>
      </c>
      <c r="AE68" s="12">
        <v>6.0</v>
      </c>
      <c r="AF68" s="12">
        <v>6.0</v>
      </c>
      <c r="AG68" s="12">
        <v>6.0</v>
      </c>
      <c r="AH68" s="12" t="s">
        <v>456</v>
      </c>
      <c r="AI68" s="12" t="s">
        <v>206</v>
      </c>
      <c r="AJ68" s="12">
        <v>6.0</v>
      </c>
      <c r="AK68" s="12">
        <v>6.0</v>
      </c>
      <c r="AL68" s="12">
        <v>6.0</v>
      </c>
      <c r="AM68" s="12">
        <v>2.0</v>
      </c>
      <c r="AN68" s="12">
        <f t="shared" si="2"/>
        <v>6</v>
      </c>
      <c r="AO68" s="12">
        <v>2.0</v>
      </c>
      <c r="AP68" s="12">
        <f t="shared" si="3"/>
        <v>6</v>
      </c>
      <c r="AQ68" s="12">
        <v>2.0</v>
      </c>
      <c r="AR68" s="12">
        <f t="shared" si="4"/>
        <v>6</v>
      </c>
      <c r="AS68" s="12">
        <v>2.0</v>
      </c>
      <c r="AT68" s="12">
        <f t="shared" si="5"/>
        <v>6</v>
      </c>
      <c r="AU68" s="12" t="s">
        <v>457</v>
      </c>
    </row>
    <row r="69">
      <c r="A69" s="14">
        <f>IFERROR(__xludf.DUMMYFUNCTION("IF(E69="""", """", VALUE(REGEXREPLACE(E69, ""^[Pp]"", """")))"),18.0)</f>
        <v>18</v>
      </c>
      <c r="B69" s="14">
        <v>319.0</v>
      </c>
      <c r="C69" s="15">
        <v>45868.21527777778</v>
      </c>
      <c r="D69" s="12" t="s">
        <v>458</v>
      </c>
      <c r="E69" s="12" t="s">
        <v>442</v>
      </c>
      <c r="F69" s="12" t="s">
        <v>263</v>
      </c>
      <c r="G69" s="12" t="str">
        <f>IFERROR(__xludf.DUMMYFUNCTION("IF(SPLIT(F69,""-"")=""HR"",""High"",""Low"")"),"Low")</f>
        <v>Low</v>
      </c>
      <c r="H69" s="12" t="str">
        <f>IFERROR(__xludf.DUMMYFUNCTION("INDEX(SPLIT(F69, ""-""), 2)"),"VR")</f>
        <v>VR</v>
      </c>
      <c r="I69" s="12">
        <v>4.0</v>
      </c>
      <c r="J69" s="12">
        <v>5.0</v>
      </c>
      <c r="K69" s="12">
        <v>5.0</v>
      </c>
      <c r="L69" s="12" t="s">
        <v>199</v>
      </c>
      <c r="M69" s="12">
        <v>6.0</v>
      </c>
      <c r="N69" s="12">
        <v>5.0</v>
      </c>
      <c r="O69" s="12">
        <v>5.0</v>
      </c>
      <c r="P69" s="12">
        <v>6.0</v>
      </c>
      <c r="Q69" s="12">
        <v>6.0</v>
      </c>
      <c r="R69" s="12">
        <v>6.0</v>
      </c>
      <c r="S69" s="12">
        <v>6.0</v>
      </c>
      <c r="T69" s="12">
        <v>6.0</v>
      </c>
      <c r="U69" s="12">
        <v>5.0</v>
      </c>
      <c r="V69" s="12">
        <v>4.0</v>
      </c>
      <c r="W69" s="12">
        <v>6.0</v>
      </c>
      <c r="X69" s="12">
        <v>4.0</v>
      </c>
      <c r="Y69" s="12">
        <f t="shared" si="1"/>
        <v>4</v>
      </c>
      <c r="Z69" s="12" t="s">
        <v>459</v>
      </c>
      <c r="AA69" s="12" t="s">
        <v>206</v>
      </c>
      <c r="AB69" s="12">
        <v>6.0</v>
      </c>
      <c r="AC69" s="12">
        <v>6.0</v>
      </c>
      <c r="AD69" s="12">
        <v>6.0</v>
      </c>
      <c r="AE69" s="12">
        <v>4.0</v>
      </c>
      <c r="AF69" s="12">
        <v>6.0</v>
      </c>
      <c r="AG69" s="12">
        <v>6.0</v>
      </c>
      <c r="AH69" s="12" t="s">
        <v>460</v>
      </c>
      <c r="AI69" s="12" t="s">
        <v>206</v>
      </c>
      <c r="AJ69" s="12">
        <v>5.0</v>
      </c>
      <c r="AK69" s="12">
        <v>5.0</v>
      </c>
      <c r="AL69" s="12">
        <v>4.0</v>
      </c>
      <c r="AM69" s="12">
        <v>3.0</v>
      </c>
      <c r="AN69" s="12">
        <f t="shared" si="2"/>
        <v>5</v>
      </c>
      <c r="AO69" s="12">
        <v>3.0</v>
      </c>
      <c r="AP69" s="12">
        <f t="shared" si="3"/>
        <v>5</v>
      </c>
      <c r="AQ69" s="12">
        <v>5.0</v>
      </c>
      <c r="AR69" s="12">
        <f t="shared" si="4"/>
        <v>3</v>
      </c>
      <c r="AS69" s="12">
        <v>5.0</v>
      </c>
      <c r="AT69" s="12">
        <f t="shared" si="5"/>
        <v>3</v>
      </c>
      <c r="AU69" s="12" t="s">
        <v>461</v>
      </c>
    </row>
    <row r="70">
      <c r="A70" s="14">
        <f>IFERROR(__xludf.DUMMYFUNCTION("IF(E70="""", """", VALUE(REGEXREPLACE(E70, ""^[Pp]"", """")))"),19.0)</f>
        <v>19</v>
      </c>
      <c r="B70" s="14">
        <v>723.0</v>
      </c>
      <c r="C70" s="15">
        <v>45868.2375</v>
      </c>
      <c r="D70" s="12" t="s">
        <v>469</v>
      </c>
      <c r="E70" s="12" t="s">
        <v>470</v>
      </c>
      <c r="F70" s="12" t="s">
        <v>197</v>
      </c>
      <c r="G70" s="12" t="str">
        <f>IFERROR(__xludf.DUMMYFUNCTION("IF(SPLIT(F70,""-"")=""HR"",""High"",""Low"")"),"High")</f>
        <v>High</v>
      </c>
      <c r="H70" s="12" t="str">
        <f>IFERROR(__xludf.DUMMYFUNCTION("INDEX(SPLIT(F70, ""-""), 2)"),"VR")</f>
        <v>VR</v>
      </c>
      <c r="I70" s="12">
        <v>1.0</v>
      </c>
      <c r="J70" s="12">
        <v>5.0</v>
      </c>
      <c r="K70" s="12">
        <v>6.0</v>
      </c>
      <c r="L70" s="12" t="s">
        <v>199</v>
      </c>
      <c r="M70" s="12">
        <v>6.0</v>
      </c>
      <c r="N70" s="12">
        <v>6.0</v>
      </c>
      <c r="O70" s="12">
        <v>6.0</v>
      </c>
      <c r="P70" s="12">
        <v>6.0</v>
      </c>
      <c r="Q70" s="12">
        <v>5.0</v>
      </c>
      <c r="R70" s="12">
        <v>6.0</v>
      </c>
      <c r="S70" s="12">
        <v>6.0</v>
      </c>
      <c r="T70" s="12">
        <v>6.0</v>
      </c>
      <c r="U70" s="12">
        <v>4.0</v>
      </c>
      <c r="V70" s="12">
        <v>4.0</v>
      </c>
      <c r="W70" s="12">
        <v>5.0</v>
      </c>
      <c r="X70" s="12">
        <v>5.0</v>
      </c>
      <c r="Y70" s="12">
        <f t="shared" si="1"/>
        <v>3</v>
      </c>
      <c r="Z70" s="12" t="s">
        <v>471</v>
      </c>
      <c r="AA70" s="12" t="s">
        <v>206</v>
      </c>
      <c r="AB70" s="12">
        <v>4.0</v>
      </c>
      <c r="AC70" s="12">
        <v>4.0</v>
      </c>
      <c r="AD70" s="12">
        <v>5.0</v>
      </c>
      <c r="AE70" s="12">
        <v>6.0</v>
      </c>
      <c r="AF70" s="12">
        <v>5.0</v>
      </c>
      <c r="AG70" s="12">
        <v>6.0</v>
      </c>
      <c r="AH70" s="12" t="s">
        <v>472</v>
      </c>
      <c r="AI70" s="12" t="s">
        <v>206</v>
      </c>
      <c r="AJ70" s="12">
        <v>5.0</v>
      </c>
      <c r="AK70" s="12">
        <v>6.0</v>
      </c>
      <c r="AL70" s="12">
        <v>6.0</v>
      </c>
      <c r="AM70" s="12">
        <v>5.0</v>
      </c>
      <c r="AN70" s="12">
        <f t="shared" si="2"/>
        <v>3</v>
      </c>
      <c r="AO70" s="12">
        <v>5.0</v>
      </c>
      <c r="AP70" s="12">
        <f t="shared" si="3"/>
        <v>3</v>
      </c>
      <c r="AQ70" s="12">
        <v>7.0</v>
      </c>
      <c r="AR70" s="12">
        <f t="shared" si="4"/>
        <v>1</v>
      </c>
      <c r="AS70" s="12">
        <v>2.0</v>
      </c>
      <c r="AT70" s="12">
        <f t="shared" si="5"/>
        <v>6</v>
      </c>
      <c r="AU70" s="12" t="s">
        <v>473</v>
      </c>
    </row>
    <row r="71">
      <c r="A71" s="14">
        <f>IFERROR(__xludf.DUMMYFUNCTION("IF(E71="""", """", VALUE(REGEXREPLACE(E71, ""^[Pp]"", """")))"),19.0)</f>
        <v>19</v>
      </c>
      <c r="B71" s="14">
        <v>488.0</v>
      </c>
      <c r="C71" s="15">
        <v>45868.24930555555</v>
      </c>
      <c r="D71" s="12" t="s">
        <v>474</v>
      </c>
      <c r="E71" s="12" t="s">
        <v>470</v>
      </c>
      <c r="F71" s="12" t="s">
        <v>263</v>
      </c>
      <c r="G71" s="12" t="str">
        <f>IFERROR(__xludf.DUMMYFUNCTION("IF(SPLIT(F71,""-"")=""HR"",""High"",""Low"")"),"Low")</f>
        <v>Low</v>
      </c>
      <c r="H71" s="12" t="str">
        <f>IFERROR(__xludf.DUMMYFUNCTION("INDEX(SPLIT(F71, ""-""), 2)"),"VR")</f>
        <v>VR</v>
      </c>
      <c r="I71" s="12">
        <v>2.0</v>
      </c>
      <c r="J71" s="12">
        <v>6.0</v>
      </c>
      <c r="K71" s="12">
        <v>6.0</v>
      </c>
      <c r="L71" s="12" t="s">
        <v>199</v>
      </c>
      <c r="M71" s="12">
        <v>6.0</v>
      </c>
      <c r="N71" s="12">
        <v>5.0</v>
      </c>
      <c r="O71" s="12">
        <v>6.0</v>
      </c>
      <c r="P71" s="12">
        <v>6.0</v>
      </c>
      <c r="Q71" s="12">
        <v>6.0</v>
      </c>
      <c r="R71" s="12">
        <v>6.0</v>
      </c>
      <c r="S71" s="12">
        <v>7.0</v>
      </c>
      <c r="T71" s="12">
        <v>6.0</v>
      </c>
      <c r="U71" s="12">
        <v>6.0</v>
      </c>
      <c r="V71" s="12">
        <v>5.0</v>
      </c>
      <c r="W71" s="12">
        <v>6.0</v>
      </c>
      <c r="X71" s="12">
        <v>7.0</v>
      </c>
      <c r="Y71" s="12">
        <f t="shared" si="1"/>
        <v>1</v>
      </c>
      <c r="Z71" s="12" t="s">
        <v>475</v>
      </c>
      <c r="AA71" s="12" t="s">
        <v>206</v>
      </c>
      <c r="AB71" s="12">
        <v>6.0</v>
      </c>
      <c r="AC71" s="12">
        <v>5.0</v>
      </c>
      <c r="AD71" s="12">
        <v>6.0</v>
      </c>
      <c r="AE71" s="12">
        <v>5.0</v>
      </c>
      <c r="AF71" s="12">
        <v>5.0</v>
      </c>
      <c r="AG71" s="12">
        <v>5.0</v>
      </c>
      <c r="AH71" s="12" t="s">
        <v>476</v>
      </c>
      <c r="AI71" s="12" t="s">
        <v>206</v>
      </c>
      <c r="AJ71" s="12">
        <v>6.0</v>
      </c>
      <c r="AK71" s="12">
        <v>6.0</v>
      </c>
      <c r="AL71" s="12">
        <v>6.0</v>
      </c>
      <c r="AM71" s="12">
        <v>5.0</v>
      </c>
      <c r="AN71" s="12">
        <f t="shared" si="2"/>
        <v>3</v>
      </c>
      <c r="AO71" s="12">
        <v>5.0</v>
      </c>
      <c r="AP71" s="12">
        <f t="shared" si="3"/>
        <v>3</v>
      </c>
      <c r="AQ71" s="12">
        <v>6.0</v>
      </c>
      <c r="AR71" s="12">
        <f t="shared" si="4"/>
        <v>2</v>
      </c>
      <c r="AS71" s="12">
        <v>4.0</v>
      </c>
      <c r="AT71" s="12">
        <f t="shared" si="5"/>
        <v>4</v>
      </c>
      <c r="AU71" s="12" t="s">
        <v>477</v>
      </c>
    </row>
    <row r="72">
      <c r="A72" s="14">
        <f>IFERROR(__xludf.DUMMYFUNCTION("IF(E72="""", """", VALUE(REGEXREPLACE(E72, ""^[Pp]"", """")))"),19.0)</f>
        <v>19</v>
      </c>
      <c r="B72" s="14">
        <v>735.0</v>
      </c>
      <c r="C72" s="15">
        <v>45868.25833333333</v>
      </c>
      <c r="D72" s="12" t="s">
        <v>482</v>
      </c>
      <c r="E72" s="12" t="s">
        <v>470</v>
      </c>
      <c r="F72" s="12" t="s">
        <v>211</v>
      </c>
      <c r="G72" s="12" t="str">
        <f>IFERROR(__xludf.DUMMYFUNCTION("IF(SPLIT(F72,""-"")=""HR"",""High"",""Low"")"),"High")</f>
        <v>High</v>
      </c>
      <c r="H72" s="12" t="str">
        <f>IFERROR(__xludf.DUMMYFUNCTION("INDEX(SPLIT(F72, ""-""), 2)"),"Web")</f>
        <v>Web</v>
      </c>
      <c r="I72" s="12">
        <v>3.0</v>
      </c>
      <c r="J72" s="12">
        <v>4.0</v>
      </c>
      <c r="K72" s="12">
        <v>6.0</v>
      </c>
      <c r="L72" s="12" t="s">
        <v>199</v>
      </c>
      <c r="M72" s="12">
        <v>5.0</v>
      </c>
      <c r="N72" s="12">
        <v>5.0</v>
      </c>
      <c r="O72" s="12">
        <v>5.0</v>
      </c>
      <c r="P72" s="12">
        <v>5.0</v>
      </c>
      <c r="Q72" s="12">
        <v>4.0</v>
      </c>
      <c r="R72" s="12">
        <v>5.0</v>
      </c>
      <c r="S72" s="12">
        <v>6.0</v>
      </c>
      <c r="T72" s="12">
        <v>6.0</v>
      </c>
      <c r="U72" s="12">
        <v>3.0</v>
      </c>
      <c r="V72" s="12">
        <v>4.0</v>
      </c>
      <c r="W72" s="12">
        <v>6.0</v>
      </c>
      <c r="X72" s="12">
        <v>6.0</v>
      </c>
      <c r="Y72" s="12">
        <f t="shared" si="1"/>
        <v>2</v>
      </c>
      <c r="Z72" s="12" t="s">
        <v>483</v>
      </c>
      <c r="AA72" s="12" t="s">
        <v>206</v>
      </c>
      <c r="AB72" s="12">
        <v>5.0</v>
      </c>
      <c r="AC72" s="12">
        <v>4.0</v>
      </c>
      <c r="AD72" s="12">
        <v>5.0</v>
      </c>
      <c r="AE72" s="12">
        <v>3.0</v>
      </c>
      <c r="AF72" s="12">
        <v>3.0</v>
      </c>
      <c r="AG72" s="12">
        <v>6.0</v>
      </c>
      <c r="AH72" s="12" t="s">
        <v>484</v>
      </c>
      <c r="AI72" s="12" t="s">
        <v>206</v>
      </c>
      <c r="AJ72" s="12">
        <v>6.0</v>
      </c>
      <c r="AK72" s="12">
        <v>6.0</v>
      </c>
      <c r="AL72" s="12">
        <v>4.0</v>
      </c>
      <c r="AM72" s="12">
        <v>5.0</v>
      </c>
      <c r="AN72" s="12">
        <f t="shared" si="2"/>
        <v>3</v>
      </c>
      <c r="AO72" s="12">
        <v>4.0</v>
      </c>
      <c r="AP72" s="12">
        <f t="shared" si="3"/>
        <v>4</v>
      </c>
      <c r="AQ72" s="12">
        <v>6.0</v>
      </c>
      <c r="AR72" s="12">
        <f t="shared" si="4"/>
        <v>2</v>
      </c>
      <c r="AS72" s="12">
        <v>3.0</v>
      </c>
      <c r="AT72" s="12">
        <f t="shared" si="5"/>
        <v>5</v>
      </c>
      <c r="AU72" s="12" t="s">
        <v>485</v>
      </c>
    </row>
    <row r="73">
      <c r="A73" s="14">
        <f>IFERROR(__xludf.DUMMYFUNCTION("IF(E73="""", """", VALUE(REGEXREPLACE(E73, ""^[Pp]"", """")))"),19.0)</f>
        <v>19</v>
      </c>
      <c r="B73" s="14">
        <v>537.0</v>
      </c>
      <c r="C73" s="15">
        <v>45868.26527777778</v>
      </c>
      <c r="D73" s="12" t="s">
        <v>486</v>
      </c>
      <c r="E73" s="12" t="s">
        <v>470</v>
      </c>
      <c r="F73" s="12" t="s">
        <v>216</v>
      </c>
      <c r="G73" s="12" t="str">
        <f>IFERROR(__xludf.DUMMYFUNCTION("IF(SPLIT(F73,""-"")=""HR"",""High"",""Low"")"),"Low")</f>
        <v>Low</v>
      </c>
      <c r="H73" s="12" t="str">
        <f>IFERROR(__xludf.DUMMYFUNCTION("INDEX(SPLIT(F73, ""-""), 2)"),"Web")</f>
        <v>Web</v>
      </c>
      <c r="I73" s="12">
        <v>4.0</v>
      </c>
      <c r="J73" s="12">
        <v>6.0</v>
      </c>
      <c r="K73" s="12">
        <v>6.0</v>
      </c>
      <c r="L73" s="12" t="s">
        <v>199</v>
      </c>
      <c r="M73" s="12">
        <v>7.0</v>
      </c>
      <c r="N73" s="12">
        <v>6.0</v>
      </c>
      <c r="O73" s="12">
        <v>4.0</v>
      </c>
      <c r="P73" s="12">
        <v>6.0</v>
      </c>
      <c r="Q73" s="12">
        <v>5.0</v>
      </c>
      <c r="R73" s="12">
        <v>6.0</v>
      </c>
      <c r="S73" s="12">
        <v>6.0</v>
      </c>
      <c r="T73" s="12">
        <v>6.0</v>
      </c>
      <c r="U73" s="12">
        <v>5.0</v>
      </c>
      <c r="V73" s="12">
        <v>5.0</v>
      </c>
      <c r="W73" s="12">
        <v>6.0</v>
      </c>
      <c r="X73" s="12">
        <v>5.0</v>
      </c>
      <c r="Y73" s="12">
        <f t="shared" si="1"/>
        <v>3</v>
      </c>
      <c r="Z73" s="12" t="s">
        <v>487</v>
      </c>
      <c r="AA73" s="12" t="s">
        <v>206</v>
      </c>
      <c r="AB73" s="12">
        <v>6.0</v>
      </c>
      <c r="AC73" s="12">
        <v>6.0</v>
      </c>
      <c r="AD73" s="12">
        <v>6.0</v>
      </c>
      <c r="AE73" s="12">
        <v>5.0</v>
      </c>
      <c r="AF73" s="12">
        <v>6.0</v>
      </c>
      <c r="AG73" s="12">
        <v>6.0</v>
      </c>
      <c r="AH73" s="12" t="s">
        <v>488</v>
      </c>
      <c r="AI73" s="12" t="s">
        <v>206</v>
      </c>
      <c r="AJ73" s="12">
        <v>6.0</v>
      </c>
      <c r="AK73" s="12">
        <v>6.0</v>
      </c>
      <c r="AL73" s="12">
        <v>6.0</v>
      </c>
      <c r="AM73" s="12">
        <v>4.0</v>
      </c>
      <c r="AN73" s="12">
        <f t="shared" si="2"/>
        <v>4</v>
      </c>
      <c r="AO73" s="12">
        <v>4.0</v>
      </c>
      <c r="AP73" s="12">
        <f t="shared" si="3"/>
        <v>4</v>
      </c>
      <c r="AQ73" s="12">
        <v>5.0</v>
      </c>
      <c r="AR73" s="12">
        <f t="shared" si="4"/>
        <v>3</v>
      </c>
      <c r="AS73" s="12">
        <v>3.0</v>
      </c>
      <c r="AT73" s="12">
        <f t="shared" si="5"/>
        <v>5</v>
      </c>
      <c r="AU73" s="12" t="s">
        <v>489</v>
      </c>
    </row>
    <row r="74">
      <c r="A74" s="14">
        <f>IFERROR(__xludf.DUMMYFUNCTION("IF(E74="""", """", VALUE(REGEXREPLACE(E74, ""^[Pp]"", """")))"),20.0)</f>
        <v>20</v>
      </c>
      <c r="B74" s="14">
        <v>1057.0</v>
      </c>
      <c r="C74" s="15">
        <v>45868.290972222225</v>
      </c>
      <c r="D74" s="12" t="s">
        <v>495</v>
      </c>
      <c r="E74" s="12" t="s">
        <v>496</v>
      </c>
      <c r="F74" s="12" t="s">
        <v>263</v>
      </c>
      <c r="G74" s="12" t="str">
        <f>IFERROR(__xludf.DUMMYFUNCTION("IF(SPLIT(F74,""-"")=""HR"",""High"",""Low"")"),"Low")</f>
        <v>Low</v>
      </c>
      <c r="H74" s="12" t="str">
        <f>IFERROR(__xludf.DUMMYFUNCTION("INDEX(SPLIT(F74, ""-""), 2)"),"VR")</f>
        <v>VR</v>
      </c>
      <c r="I74" s="12">
        <v>1.0</v>
      </c>
      <c r="J74" s="12">
        <v>2.0</v>
      </c>
      <c r="K74" s="12">
        <v>3.0</v>
      </c>
      <c r="L74" s="12" t="s">
        <v>199</v>
      </c>
      <c r="M74" s="12">
        <v>5.0</v>
      </c>
      <c r="N74" s="12">
        <v>6.0</v>
      </c>
      <c r="O74" s="12">
        <v>2.0</v>
      </c>
      <c r="P74" s="12">
        <v>6.0</v>
      </c>
      <c r="Q74" s="12">
        <v>3.0</v>
      </c>
      <c r="R74" s="12">
        <v>6.0</v>
      </c>
      <c r="S74" s="12">
        <v>7.0</v>
      </c>
      <c r="T74" s="12">
        <v>7.0</v>
      </c>
      <c r="U74" s="12">
        <v>4.0</v>
      </c>
      <c r="V74" s="12">
        <v>3.0</v>
      </c>
      <c r="W74" s="12">
        <v>5.0</v>
      </c>
      <c r="X74" s="12">
        <v>2.0</v>
      </c>
      <c r="Y74" s="12">
        <f t="shared" si="1"/>
        <v>6</v>
      </c>
      <c r="Z74" s="16" t="s">
        <v>497</v>
      </c>
      <c r="AA74" s="12" t="s">
        <v>206</v>
      </c>
      <c r="AB74" s="12">
        <v>3.0</v>
      </c>
      <c r="AC74" s="12">
        <v>6.0</v>
      </c>
      <c r="AD74" s="12">
        <v>5.0</v>
      </c>
      <c r="AE74" s="12">
        <v>4.0</v>
      </c>
      <c r="AF74" s="12">
        <v>2.0</v>
      </c>
      <c r="AG74" s="12">
        <v>4.0</v>
      </c>
      <c r="AH74" s="16" t="s">
        <v>498</v>
      </c>
      <c r="AI74" s="12" t="s">
        <v>206</v>
      </c>
      <c r="AJ74" s="12">
        <v>5.0</v>
      </c>
      <c r="AK74" s="12">
        <v>1.0</v>
      </c>
      <c r="AL74" s="12">
        <v>6.0</v>
      </c>
      <c r="AM74" s="12">
        <v>4.0</v>
      </c>
      <c r="AN74" s="12">
        <f t="shared" si="2"/>
        <v>4</v>
      </c>
      <c r="AO74" s="12">
        <v>1.0</v>
      </c>
      <c r="AP74" s="12">
        <f t="shared" si="3"/>
        <v>7</v>
      </c>
      <c r="AQ74" s="12">
        <v>2.0</v>
      </c>
      <c r="AR74" s="12">
        <f t="shared" si="4"/>
        <v>6</v>
      </c>
      <c r="AS74" s="12">
        <v>2.0</v>
      </c>
      <c r="AT74" s="12">
        <f t="shared" si="5"/>
        <v>6</v>
      </c>
      <c r="AU74" s="12" t="s">
        <v>499</v>
      </c>
    </row>
    <row r="75">
      <c r="A75" s="14">
        <f>IFERROR(__xludf.DUMMYFUNCTION("IF(E75="""", """", VALUE(REGEXREPLACE(E75, ""^[Pp]"", """")))"),20.0)</f>
        <v>20</v>
      </c>
      <c r="B75" s="14">
        <v>553.0</v>
      </c>
      <c r="C75" s="15">
        <v>45868.30763888889</v>
      </c>
      <c r="D75" s="12" t="s">
        <v>505</v>
      </c>
      <c r="E75" s="12" t="s">
        <v>496</v>
      </c>
      <c r="F75" s="12" t="s">
        <v>216</v>
      </c>
      <c r="G75" s="12" t="str">
        <f>IFERROR(__xludf.DUMMYFUNCTION("IF(SPLIT(F75,""-"")=""HR"",""High"",""Low"")"),"Low")</f>
        <v>Low</v>
      </c>
      <c r="H75" s="12" t="str">
        <f>IFERROR(__xludf.DUMMYFUNCTION("INDEX(SPLIT(F75, ""-""), 2)"),"Web")</f>
        <v>Web</v>
      </c>
      <c r="I75" s="12">
        <v>2.0</v>
      </c>
      <c r="J75" s="12">
        <v>4.0</v>
      </c>
      <c r="K75" s="12">
        <v>4.0</v>
      </c>
      <c r="L75" s="12" t="s">
        <v>199</v>
      </c>
      <c r="M75" s="12">
        <v>7.0</v>
      </c>
      <c r="N75" s="12">
        <v>7.0</v>
      </c>
      <c r="O75" s="12">
        <v>5.0</v>
      </c>
      <c r="P75" s="12">
        <v>3.0</v>
      </c>
      <c r="Q75" s="12">
        <v>5.0</v>
      </c>
      <c r="R75" s="12">
        <v>7.0</v>
      </c>
      <c r="S75" s="12">
        <v>7.0</v>
      </c>
      <c r="T75" s="12">
        <v>7.0</v>
      </c>
      <c r="U75" s="12">
        <v>4.0</v>
      </c>
      <c r="V75" s="12">
        <v>2.0</v>
      </c>
      <c r="W75" s="12">
        <v>7.0</v>
      </c>
      <c r="X75" s="12">
        <v>1.0</v>
      </c>
      <c r="Y75" s="12">
        <f t="shared" si="1"/>
        <v>7</v>
      </c>
      <c r="Z75" s="12" t="s">
        <v>506</v>
      </c>
      <c r="AA75" s="12" t="s">
        <v>206</v>
      </c>
      <c r="AB75" s="12">
        <v>7.0</v>
      </c>
      <c r="AC75" s="12">
        <v>6.0</v>
      </c>
      <c r="AD75" s="12">
        <v>6.0</v>
      </c>
      <c r="AE75" s="12">
        <v>7.0</v>
      </c>
      <c r="AF75" s="12">
        <v>7.0</v>
      </c>
      <c r="AG75" s="12">
        <v>7.0</v>
      </c>
      <c r="AH75" s="12" t="s">
        <v>507</v>
      </c>
      <c r="AI75" s="12" t="s">
        <v>206</v>
      </c>
      <c r="AJ75" s="12">
        <v>7.0</v>
      </c>
      <c r="AK75" s="12">
        <v>7.0</v>
      </c>
      <c r="AL75" s="12">
        <v>7.0</v>
      </c>
      <c r="AM75" s="12">
        <v>1.0</v>
      </c>
      <c r="AN75" s="12">
        <f t="shared" si="2"/>
        <v>7</v>
      </c>
      <c r="AO75" s="12">
        <v>1.0</v>
      </c>
      <c r="AP75" s="12">
        <f t="shared" si="3"/>
        <v>7</v>
      </c>
      <c r="AQ75" s="12">
        <v>1.0</v>
      </c>
      <c r="AR75" s="12">
        <f t="shared" si="4"/>
        <v>7</v>
      </c>
      <c r="AS75" s="12">
        <v>1.0</v>
      </c>
      <c r="AT75" s="12">
        <f t="shared" si="5"/>
        <v>7</v>
      </c>
      <c r="AU75" s="12" t="s">
        <v>508</v>
      </c>
    </row>
    <row r="76">
      <c r="A76" s="14">
        <f>IFERROR(__xludf.DUMMYFUNCTION("IF(E76="""", """", VALUE(REGEXREPLACE(E76, ""^[Pp]"", """")))"),20.0)</f>
        <v>20</v>
      </c>
      <c r="B76" s="14">
        <v>806.0</v>
      </c>
      <c r="C76" s="15">
        <v>45868.322222222225</v>
      </c>
      <c r="D76" s="12" t="s">
        <v>513</v>
      </c>
      <c r="E76" s="12" t="s">
        <v>496</v>
      </c>
      <c r="F76" s="12" t="s">
        <v>211</v>
      </c>
      <c r="G76" s="12" t="str">
        <f>IFERROR(__xludf.DUMMYFUNCTION("IF(SPLIT(F76,""-"")=""HR"",""High"",""Low"")"),"High")</f>
        <v>High</v>
      </c>
      <c r="H76" s="12" t="str">
        <f>IFERROR(__xludf.DUMMYFUNCTION("INDEX(SPLIT(F76, ""-""), 2)"),"Web")</f>
        <v>Web</v>
      </c>
      <c r="I76" s="12">
        <v>3.0</v>
      </c>
      <c r="J76" s="12">
        <v>4.0</v>
      </c>
      <c r="K76" s="12">
        <v>4.0</v>
      </c>
      <c r="L76" s="12" t="s">
        <v>199</v>
      </c>
      <c r="M76" s="12">
        <v>4.0</v>
      </c>
      <c r="N76" s="12">
        <v>7.0</v>
      </c>
      <c r="O76" s="12">
        <v>3.0</v>
      </c>
      <c r="P76" s="12">
        <v>4.0</v>
      </c>
      <c r="Q76" s="12">
        <v>7.0</v>
      </c>
      <c r="R76" s="12">
        <v>7.0</v>
      </c>
      <c r="S76" s="12">
        <v>7.0</v>
      </c>
      <c r="T76" s="12">
        <v>7.0</v>
      </c>
      <c r="U76" s="12">
        <v>2.0</v>
      </c>
      <c r="V76" s="12">
        <v>1.0</v>
      </c>
      <c r="W76" s="12">
        <v>7.0</v>
      </c>
      <c r="X76" s="12">
        <v>1.0</v>
      </c>
      <c r="Y76" s="12">
        <f t="shared" si="1"/>
        <v>7</v>
      </c>
      <c r="Z76" s="12" t="s">
        <v>514</v>
      </c>
      <c r="AA76" s="12" t="s">
        <v>206</v>
      </c>
      <c r="AB76" s="12">
        <v>6.0</v>
      </c>
      <c r="AC76" s="12">
        <v>7.0</v>
      </c>
      <c r="AD76" s="12">
        <v>6.0</v>
      </c>
      <c r="AE76" s="12">
        <v>6.0</v>
      </c>
      <c r="AF76" s="12">
        <v>5.0</v>
      </c>
      <c r="AG76" s="12">
        <v>5.0</v>
      </c>
      <c r="AH76" s="12" t="s">
        <v>515</v>
      </c>
      <c r="AI76" s="12" t="s">
        <v>206</v>
      </c>
      <c r="AJ76" s="12">
        <v>7.0</v>
      </c>
      <c r="AK76" s="12">
        <v>7.0</v>
      </c>
      <c r="AL76" s="12">
        <v>7.0</v>
      </c>
      <c r="AM76" s="12">
        <v>1.0</v>
      </c>
      <c r="AN76" s="12">
        <f t="shared" si="2"/>
        <v>7</v>
      </c>
      <c r="AO76" s="12">
        <v>1.0</v>
      </c>
      <c r="AP76" s="12">
        <f t="shared" si="3"/>
        <v>7</v>
      </c>
      <c r="AQ76" s="12">
        <v>1.0</v>
      </c>
      <c r="AR76" s="12">
        <f t="shared" si="4"/>
        <v>7</v>
      </c>
      <c r="AS76" s="12">
        <v>1.0</v>
      </c>
      <c r="AT76" s="12">
        <f t="shared" si="5"/>
        <v>7</v>
      </c>
      <c r="AU76" s="12" t="s">
        <v>516</v>
      </c>
    </row>
    <row r="77">
      <c r="A77" s="14">
        <f>IFERROR(__xludf.DUMMYFUNCTION("IF(E77="""", """", VALUE(REGEXREPLACE(E77, ""^[Pp]"", """")))"),20.0)</f>
        <v>20</v>
      </c>
      <c r="B77" s="14">
        <v>561.0</v>
      </c>
      <c r="C77" s="15">
        <v>45868.334027777775</v>
      </c>
      <c r="D77" s="12" t="s">
        <v>521</v>
      </c>
      <c r="E77" s="12" t="s">
        <v>496</v>
      </c>
      <c r="F77" s="12" t="s">
        <v>197</v>
      </c>
      <c r="G77" s="12" t="str">
        <f>IFERROR(__xludf.DUMMYFUNCTION("IF(SPLIT(F77,""-"")=""HR"",""High"",""Low"")"),"High")</f>
        <v>High</v>
      </c>
      <c r="H77" s="12" t="str">
        <f>IFERROR(__xludf.DUMMYFUNCTION("INDEX(SPLIT(F77, ""-""), 2)"),"VR")</f>
        <v>VR</v>
      </c>
      <c r="I77" s="12">
        <v>4.0</v>
      </c>
      <c r="J77" s="12">
        <v>2.0</v>
      </c>
      <c r="K77" s="12">
        <v>2.0</v>
      </c>
      <c r="L77" s="12" t="s">
        <v>199</v>
      </c>
      <c r="M77" s="12">
        <v>3.0</v>
      </c>
      <c r="N77" s="12">
        <v>4.0</v>
      </c>
      <c r="O77" s="12">
        <v>2.0</v>
      </c>
      <c r="P77" s="12">
        <v>4.0</v>
      </c>
      <c r="Q77" s="12">
        <v>6.0</v>
      </c>
      <c r="R77" s="12">
        <v>4.0</v>
      </c>
      <c r="S77" s="12">
        <v>6.0</v>
      </c>
      <c r="T77" s="12">
        <v>2.0</v>
      </c>
      <c r="U77" s="12">
        <v>6.0</v>
      </c>
      <c r="V77" s="12">
        <v>1.0</v>
      </c>
      <c r="W77" s="12">
        <v>4.0</v>
      </c>
      <c r="X77" s="12">
        <v>1.0</v>
      </c>
      <c r="Y77" s="12">
        <f t="shared" si="1"/>
        <v>7</v>
      </c>
      <c r="Z77" s="12" t="s">
        <v>522</v>
      </c>
      <c r="AA77" s="12" t="s">
        <v>206</v>
      </c>
      <c r="AB77" s="12">
        <v>2.0</v>
      </c>
      <c r="AC77" s="12">
        <v>4.0</v>
      </c>
      <c r="AD77" s="12">
        <v>4.0</v>
      </c>
      <c r="AE77" s="12">
        <v>6.0</v>
      </c>
      <c r="AF77" s="12">
        <v>6.0</v>
      </c>
      <c r="AG77" s="12">
        <v>2.0</v>
      </c>
      <c r="AH77" s="12" t="s">
        <v>523</v>
      </c>
      <c r="AI77" s="12" t="s">
        <v>206</v>
      </c>
      <c r="AJ77" s="12">
        <v>1.0</v>
      </c>
      <c r="AK77" s="12">
        <v>1.0</v>
      </c>
      <c r="AL77" s="12">
        <v>5.0</v>
      </c>
      <c r="AM77" s="12">
        <v>7.0</v>
      </c>
      <c r="AN77" s="12">
        <f t="shared" si="2"/>
        <v>1</v>
      </c>
      <c r="AO77" s="12">
        <v>5.0</v>
      </c>
      <c r="AP77" s="12">
        <f t="shared" si="3"/>
        <v>3</v>
      </c>
      <c r="AQ77" s="12">
        <v>7.0</v>
      </c>
      <c r="AR77" s="12">
        <f t="shared" si="4"/>
        <v>1</v>
      </c>
      <c r="AS77" s="12">
        <v>7.0</v>
      </c>
      <c r="AT77" s="12">
        <f t="shared" si="5"/>
        <v>1</v>
      </c>
      <c r="AU77" s="12" t="s">
        <v>524</v>
      </c>
    </row>
    <row r="78">
      <c r="A78" s="14">
        <f>IFERROR(__xludf.DUMMYFUNCTION("IF(E78="""", """", VALUE(REGEXREPLACE(E78, ""^[Pp]"", """")))"),21.0)</f>
        <v>21</v>
      </c>
      <c r="B78" s="14">
        <v>1105.0</v>
      </c>
      <c r="C78" s="15">
        <v>45868.294444444444</v>
      </c>
      <c r="D78" s="12" t="s">
        <v>500</v>
      </c>
      <c r="E78" s="12" t="s">
        <v>501</v>
      </c>
      <c r="F78" s="12" t="s">
        <v>211</v>
      </c>
      <c r="G78" s="12" t="str">
        <f>IFERROR(__xludf.DUMMYFUNCTION("IF(SPLIT(F78,""-"")=""HR"",""High"",""Low"")"),"High")</f>
        <v>High</v>
      </c>
      <c r="H78" s="12" t="str">
        <f>IFERROR(__xludf.DUMMYFUNCTION("INDEX(SPLIT(F78, ""-""), 2)"),"Web")</f>
        <v>Web</v>
      </c>
      <c r="I78" s="12">
        <v>1.0</v>
      </c>
      <c r="J78" s="12">
        <v>5.0</v>
      </c>
      <c r="K78" s="12">
        <v>6.0</v>
      </c>
      <c r="L78" s="12" t="s">
        <v>199</v>
      </c>
      <c r="M78" s="12">
        <v>6.0</v>
      </c>
      <c r="N78" s="12">
        <v>6.0</v>
      </c>
      <c r="O78" s="12">
        <v>4.0</v>
      </c>
      <c r="P78" s="12">
        <v>5.0</v>
      </c>
      <c r="Q78" s="12">
        <v>6.0</v>
      </c>
      <c r="R78" s="12">
        <v>6.0</v>
      </c>
      <c r="S78" s="12">
        <v>6.0</v>
      </c>
      <c r="T78" s="12">
        <v>6.0</v>
      </c>
      <c r="U78" s="12">
        <v>6.0</v>
      </c>
      <c r="V78" s="12">
        <v>4.0</v>
      </c>
      <c r="W78" s="12">
        <v>6.0</v>
      </c>
      <c r="X78" s="12">
        <v>1.0</v>
      </c>
      <c r="Y78" s="12">
        <f t="shared" si="1"/>
        <v>7</v>
      </c>
      <c r="Z78" s="12" t="s">
        <v>502</v>
      </c>
      <c r="AA78" s="12" t="s">
        <v>206</v>
      </c>
      <c r="AB78" s="12">
        <v>6.0</v>
      </c>
      <c r="AC78" s="12">
        <v>7.0</v>
      </c>
      <c r="AD78" s="12">
        <v>7.0</v>
      </c>
      <c r="AE78" s="12">
        <v>7.0</v>
      </c>
      <c r="AF78" s="12">
        <v>6.0</v>
      </c>
      <c r="AG78" s="12">
        <v>7.0</v>
      </c>
      <c r="AH78" s="12" t="s">
        <v>503</v>
      </c>
      <c r="AI78" s="12" t="s">
        <v>206</v>
      </c>
      <c r="AJ78" s="12">
        <v>7.0</v>
      </c>
      <c r="AK78" s="12">
        <v>6.0</v>
      </c>
      <c r="AL78" s="12">
        <v>7.0</v>
      </c>
      <c r="AM78" s="12">
        <v>1.0</v>
      </c>
      <c r="AN78" s="12">
        <f t="shared" si="2"/>
        <v>7</v>
      </c>
      <c r="AO78" s="12">
        <v>1.0</v>
      </c>
      <c r="AP78" s="12">
        <f t="shared" si="3"/>
        <v>7</v>
      </c>
      <c r="AQ78" s="12">
        <v>1.0</v>
      </c>
      <c r="AR78" s="12">
        <f t="shared" si="4"/>
        <v>7</v>
      </c>
      <c r="AS78" s="12">
        <v>1.0</v>
      </c>
      <c r="AT78" s="12">
        <f t="shared" si="5"/>
        <v>7</v>
      </c>
      <c r="AU78" s="12" t="s">
        <v>504</v>
      </c>
    </row>
    <row r="79">
      <c r="A79" s="14">
        <f>IFERROR(__xludf.DUMMYFUNCTION("IF(E79="""", """", VALUE(REGEXREPLACE(E79, ""^[Pp]"", """")))"),21.0)</f>
        <v>21</v>
      </c>
      <c r="B79" s="14">
        <v>729.0</v>
      </c>
      <c r="C79" s="15">
        <v>45868.30972222222</v>
      </c>
      <c r="D79" s="12" t="s">
        <v>509</v>
      </c>
      <c r="E79" s="12" t="s">
        <v>501</v>
      </c>
      <c r="F79" s="12" t="s">
        <v>263</v>
      </c>
      <c r="G79" s="12" t="str">
        <f>IFERROR(__xludf.DUMMYFUNCTION("IF(SPLIT(F79,""-"")=""HR"",""High"",""Low"")"),"Low")</f>
        <v>Low</v>
      </c>
      <c r="H79" s="12" t="str">
        <f>IFERROR(__xludf.DUMMYFUNCTION("INDEX(SPLIT(F79, ""-""), 2)"),"VR")</f>
        <v>VR</v>
      </c>
      <c r="I79" s="12">
        <v>2.0</v>
      </c>
      <c r="J79" s="12">
        <v>6.0</v>
      </c>
      <c r="K79" s="12">
        <v>6.0</v>
      </c>
      <c r="L79" s="12" t="s">
        <v>199</v>
      </c>
      <c r="M79" s="12">
        <v>7.0</v>
      </c>
      <c r="N79" s="12">
        <v>7.0</v>
      </c>
      <c r="O79" s="12">
        <v>6.0</v>
      </c>
      <c r="P79" s="12">
        <v>6.0</v>
      </c>
      <c r="Q79" s="12">
        <v>7.0</v>
      </c>
      <c r="R79" s="12">
        <v>7.0</v>
      </c>
      <c r="S79" s="12">
        <v>7.0</v>
      </c>
      <c r="T79" s="12">
        <v>7.0</v>
      </c>
      <c r="U79" s="12">
        <v>6.0</v>
      </c>
      <c r="V79" s="12">
        <v>6.0</v>
      </c>
      <c r="W79" s="12">
        <v>6.0</v>
      </c>
      <c r="X79" s="12">
        <v>4.0</v>
      </c>
      <c r="Y79" s="12">
        <f t="shared" si="1"/>
        <v>4</v>
      </c>
      <c r="Z79" s="12" t="s">
        <v>510</v>
      </c>
      <c r="AA79" s="12" t="s">
        <v>206</v>
      </c>
      <c r="AB79" s="12">
        <v>6.0</v>
      </c>
      <c r="AC79" s="12">
        <v>7.0</v>
      </c>
      <c r="AD79" s="12">
        <v>7.0</v>
      </c>
      <c r="AE79" s="12">
        <v>7.0</v>
      </c>
      <c r="AF79" s="12">
        <v>7.0</v>
      </c>
      <c r="AG79" s="12">
        <v>7.0</v>
      </c>
      <c r="AH79" s="12" t="s">
        <v>511</v>
      </c>
      <c r="AI79" s="12" t="s">
        <v>206</v>
      </c>
      <c r="AJ79" s="12">
        <v>7.0</v>
      </c>
      <c r="AK79" s="12">
        <v>6.0</v>
      </c>
      <c r="AL79" s="12">
        <v>7.0</v>
      </c>
      <c r="AM79" s="12">
        <v>1.0</v>
      </c>
      <c r="AN79" s="12">
        <f t="shared" si="2"/>
        <v>7</v>
      </c>
      <c r="AO79" s="12">
        <v>1.0</v>
      </c>
      <c r="AP79" s="12">
        <f t="shared" si="3"/>
        <v>7</v>
      </c>
      <c r="AQ79" s="12">
        <v>2.0</v>
      </c>
      <c r="AR79" s="12">
        <f t="shared" si="4"/>
        <v>6</v>
      </c>
      <c r="AS79" s="12">
        <v>1.0</v>
      </c>
      <c r="AT79" s="12">
        <f t="shared" si="5"/>
        <v>7</v>
      </c>
      <c r="AU79" s="12" t="s">
        <v>512</v>
      </c>
    </row>
    <row r="80">
      <c r="A80" s="14">
        <f>IFERROR(__xludf.DUMMYFUNCTION("IF(E80="""", """", VALUE(REGEXREPLACE(E80, ""^[Pp]"", """")))"),21.0)</f>
        <v>21</v>
      </c>
      <c r="B80" s="14">
        <v>612.0</v>
      </c>
      <c r="C80" s="15">
        <v>45868.32361111111</v>
      </c>
      <c r="D80" s="12" t="s">
        <v>517</v>
      </c>
      <c r="E80" s="12" t="s">
        <v>501</v>
      </c>
      <c r="F80" s="12" t="s">
        <v>197</v>
      </c>
      <c r="G80" s="12" t="str">
        <f>IFERROR(__xludf.DUMMYFUNCTION("IF(SPLIT(F80,""-"")=""HR"",""High"",""Low"")"),"High")</f>
        <v>High</v>
      </c>
      <c r="H80" s="12" t="str">
        <f>IFERROR(__xludf.DUMMYFUNCTION("INDEX(SPLIT(F80, ""-""), 2)"),"VR")</f>
        <v>VR</v>
      </c>
      <c r="I80" s="12">
        <v>3.0</v>
      </c>
      <c r="J80" s="12">
        <v>6.0</v>
      </c>
      <c r="K80" s="12">
        <v>6.0</v>
      </c>
      <c r="L80" s="12" t="s">
        <v>199</v>
      </c>
      <c r="M80" s="12">
        <v>7.0</v>
      </c>
      <c r="N80" s="12">
        <v>7.0</v>
      </c>
      <c r="O80" s="12">
        <v>7.0</v>
      </c>
      <c r="P80" s="12">
        <v>6.0</v>
      </c>
      <c r="Q80" s="12">
        <v>7.0</v>
      </c>
      <c r="R80" s="12">
        <v>7.0</v>
      </c>
      <c r="S80" s="12">
        <v>7.0</v>
      </c>
      <c r="T80" s="12">
        <v>7.0</v>
      </c>
      <c r="U80" s="12">
        <v>6.0</v>
      </c>
      <c r="V80" s="12">
        <v>6.0</v>
      </c>
      <c r="W80" s="12">
        <v>7.0</v>
      </c>
      <c r="X80" s="12">
        <v>2.0</v>
      </c>
      <c r="Y80" s="12">
        <f t="shared" si="1"/>
        <v>6</v>
      </c>
      <c r="Z80" s="12" t="s">
        <v>518</v>
      </c>
      <c r="AA80" s="12" t="s">
        <v>206</v>
      </c>
      <c r="AB80" s="12">
        <v>7.0</v>
      </c>
      <c r="AC80" s="12">
        <v>7.0</v>
      </c>
      <c r="AD80" s="12">
        <v>7.0</v>
      </c>
      <c r="AE80" s="12">
        <v>7.0</v>
      </c>
      <c r="AF80" s="12">
        <v>7.0</v>
      </c>
      <c r="AG80" s="12">
        <v>7.0</v>
      </c>
      <c r="AH80" s="12" t="s">
        <v>519</v>
      </c>
      <c r="AI80" s="12" t="s">
        <v>206</v>
      </c>
      <c r="AJ80" s="12">
        <v>7.0</v>
      </c>
      <c r="AK80" s="12">
        <v>6.0</v>
      </c>
      <c r="AL80" s="12">
        <v>7.0</v>
      </c>
      <c r="AM80" s="12">
        <v>1.0</v>
      </c>
      <c r="AN80" s="12">
        <f t="shared" si="2"/>
        <v>7</v>
      </c>
      <c r="AO80" s="12">
        <v>1.0</v>
      </c>
      <c r="AP80" s="12">
        <f t="shared" si="3"/>
        <v>7</v>
      </c>
      <c r="AQ80" s="12">
        <v>1.0</v>
      </c>
      <c r="AR80" s="12">
        <f t="shared" si="4"/>
        <v>7</v>
      </c>
      <c r="AS80" s="12">
        <v>1.0</v>
      </c>
      <c r="AT80" s="12">
        <f t="shared" si="5"/>
        <v>7</v>
      </c>
      <c r="AU80" s="12" t="s">
        <v>520</v>
      </c>
    </row>
    <row r="81">
      <c r="A81" s="14">
        <f>IFERROR(__xludf.DUMMYFUNCTION("IF(E81="""", """", VALUE(REGEXREPLACE(E81, ""^[Pp]"", """")))"),21.0)</f>
        <v>21</v>
      </c>
      <c r="B81" s="14">
        <v>862.0</v>
      </c>
      <c r="C81" s="15">
        <v>45868.33611111111</v>
      </c>
      <c r="D81" s="12" t="s">
        <v>525</v>
      </c>
      <c r="E81" s="12" t="s">
        <v>501</v>
      </c>
      <c r="F81" s="12" t="s">
        <v>216</v>
      </c>
      <c r="G81" s="12" t="str">
        <f>IFERROR(__xludf.DUMMYFUNCTION("IF(SPLIT(F81,""-"")=""HR"",""High"",""Low"")"),"Low")</f>
        <v>Low</v>
      </c>
      <c r="H81" s="12" t="str">
        <f>IFERROR(__xludf.DUMMYFUNCTION("INDEX(SPLIT(F81, ""-""), 2)"),"Web")</f>
        <v>Web</v>
      </c>
      <c r="I81" s="12">
        <v>4.0</v>
      </c>
      <c r="J81" s="12">
        <v>5.0</v>
      </c>
      <c r="K81" s="12">
        <v>6.0</v>
      </c>
      <c r="L81" s="12" t="s">
        <v>199</v>
      </c>
      <c r="M81" s="12">
        <v>7.0</v>
      </c>
      <c r="N81" s="12">
        <v>6.0</v>
      </c>
      <c r="O81" s="12">
        <v>6.0</v>
      </c>
      <c r="P81" s="12">
        <v>5.0</v>
      </c>
      <c r="Q81" s="12">
        <v>7.0</v>
      </c>
      <c r="R81" s="12">
        <v>7.0</v>
      </c>
      <c r="S81" s="12">
        <v>7.0</v>
      </c>
      <c r="T81" s="12">
        <v>7.0</v>
      </c>
      <c r="U81" s="12">
        <v>6.0</v>
      </c>
      <c r="V81" s="12">
        <v>6.0</v>
      </c>
      <c r="W81" s="12">
        <v>7.0</v>
      </c>
      <c r="X81" s="12">
        <v>2.0</v>
      </c>
      <c r="Y81" s="12">
        <f t="shared" si="1"/>
        <v>6</v>
      </c>
      <c r="Z81" s="12" t="s">
        <v>526</v>
      </c>
      <c r="AA81" s="12" t="s">
        <v>206</v>
      </c>
      <c r="AB81" s="12">
        <v>7.0</v>
      </c>
      <c r="AC81" s="12">
        <v>7.0</v>
      </c>
      <c r="AD81" s="12">
        <v>7.0</v>
      </c>
      <c r="AE81" s="12">
        <v>7.0</v>
      </c>
      <c r="AF81" s="12">
        <v>6.0</v>
      </c>
      <c r="AG81" s="12">
        <v>7.0</v>
      </c>
      <c r="AH81" s="12" t="s">
        <v>527</v>
      </c>
      <c r="AI81" s="12" t="s">
        <v>206</v>
      </c>
      <c r="AJ81" s="12">
        <v>7.0</v>
      </c>
      <c r="AK81" s="12">
        <v>6.0</v>
      </c>
      <c r="AL81" s="12">
        <v>7.0</v>
      </c>
      <c r="AM81" s="12">
        <v>1.0</v>
      </c>
      <c r="AN81" s="12">
        <f t="shared" si="2"/>
        <v>7</v>
      </c>
      <c r="AO81" s="12">
        <v>1.0</v>
      </c>
      <c r="AP81" s="12">
        <f t="shared" si="3"/>
        <v>7</v>
      </c>
      <c r="AQ81" s="12">
        <v>1.0</v>
      </c>
      <c r="AR81" s="12">
        <f t="shared" si="4"/>
        <v>7</v>
      </c>
      <c r="AS81" s="12">
        <v>1.0</v>
      </c>
      <c r="AT81" s="12">
        <f t="shared" si="5"/>
        <v>7</v>
      </c>
      <c r="AU81" s="12" t="s">
        <v>528</v>
      </c>
    </row>
    <row r="82">
      <c r="A82" s="14">
        <f>IFERROR(__xludf.DUMMYFUNCTION("IF(E82="""", """", VALUE(REGEXREPLACE(E82, ""^[Pp]"", """")))"),22.0)</f>
        <v>22</v>
      </c>
      <c r="B82" s="14">
        <v>1029.0</v>
      </c>
      <c r="C82" s="15">
        <v>45869.02222222222</v>
      </c>
      <c r="D82" s="12" t="s">
        <v>530</v>
      </c>
      <c r="E82" s="12" t="s">
        <v>531</v>
      </c>
      <c r="F82" s="12" t="s">
        <v>216</v>
      </c>
      <c r="G82" s="12" t="str">
        <f>IFERROR(__xludf.DUMMYFUNCTION("IF(SPLIT(F82,""-"")=""HR"",""High"",""Low"")"),"Low")</f>
        <v>Low</v>
      </c>
      <c r="H82" s="12" t="str">
        <f>IFERROR(__xludf.DUMMYFUNCTION("INDEX(SPLIT(F82, ""-""), 2)"),"Web")</f>
        <v>Web</v>
      </c>
      <c r="I82" s="12">
        <v>1.0</v>
      </c>
      <c r="J82" s="12">
        <v>5.0</v>
      </c>
      <c r="K82" s="12">
        <v>3.0</v>
      </c>
      <c r="L82" s="12" t="s">
        <v>199</v>
      </c>
      <c r="M82" s="12">
        <v>2.0</v>
      </c>
      <c r="N82" s="12">
        <v>5.0</v>
      </c>
      <c r="O82" s="12">
        <v>5.0</v>
      </c>
      <c r="P82" s="12">
        <v>5.0</v>
      </c>
      <c r="Q82" s="12">
        <v>6.0</v>
      </c>
      <c r="R82" s="12">
        <v>6.0</v>
      </c>
      <c r="S82" s="12">
        <v>6.0</v>
      </c>
      <c r="T82" s="12">
        <v>2.0</v>
      </c>
      <c r="U82" s="12">
        <v>3.0</v>
      </c>
      <c r="V82" s="12">
        <v>2.0</v>
      </c>
      <c r="W82" s="12">
        <v>6.0</v>
      </c>
      <c r="X82" s="12">
        <v>6.0</v>
      </c>
      <c r="Y82" s="12">
        <f t="shared" si="1"/>
        <v>2</v>
      </c>
      <c r="Z82" s="12" t="s">
        <v>532</v>
      </c>
      <c r="AA82" s="12" t="s">
        <v>206</v>
      </c>
      <c r="AB82" s="12">
        <v>6.0</v>
      </c>
      <c r="AC82" s="12">
        <v>5.0</v>
      </c>
      <c r="AD82" s="12">
        <v>5.0</v>
      </c>
      <c r="AE82" s="12">
        <v>5.0</v>
      </c>
      <c r="AF82" s="12">
        <v>6.0</v>
      </c>
      <c r="AG82" s="12">
        <v>2.0</v>
      </c>
      <c r="AH82" s="12" t="s">
        <v>533</v>
      </c>
      <c r="AI82" s="12" t="s">
        <v>206</v>
      </c>
      <c r="AJ82" s="12">
        <v>2.0</v>
      </c>
      <c r="AK82" s="12">
        <v>7.0</v>
      </c>
      <c r="AL82" s="12">
        <v>5.0</v>
      </c>
      <c r="AM82" s="12">
        <v>3.0</v>
      </c>
      <c r="AN82" s="12">
        <f t="shared" si="2"/>
        <v>5</v>
      </c>
      <c r="AO82" s="12">
        <v>1.0</v>
      </c>
      <c r="AP82" s="12">
        <f t="shared" si="3"/>
        <v>7</v>
      </c>
      <c r="AQ82" s="12">
        <v>1.0</v>
      </c>
      <c r="AR82" s="12">
        <f t="shared" si="4"/>
        <v>7</v>
      </c>
      <c r="AS82" s="12">
        <v>1.0</v>
      </c>
      <c r="AT82" s="12">
        <f t="shared" si="5"/>
        <v>7</v>
      </c>
      <c r="AU82" s="12" t="s">
        <v>534</v>
      </c>
    </row>
    <row r="83">
      <c r="A83" s="14">
        <f>IFERROR(__xludf.DUMMYFUNCTION("IF(E83="""", """", VALUE(REGEXREPLACE(E83, ""^[Pp]"", """")))"),22.0)</f>
        <v>22</v>
      </c>
      <c r="B83" s="14">
        <v>497.0</v>
      </c>
      <c r="C83" s="15">
        <v>45869.041666666664</v>
      </c>
      <c r="D83" s="12" t="s">
        <v>540</v>
      </c>
      <c r="E83" s="12" t="s">
        <v>531</v>
      </c>
      <c r="F83" s="12" t="s">
        <v>197</v>
      </c>
      <c r="G83" s="12" t="str">
        <f>IFERROR(__xludf.DUMMYFUNCTION("IF(SPLIT(F83,""-"")=""HR"",""High"",""Low"")"),"High")</f>
        <v>High</v>
      </c>
      <c r="H83" s="12" t="str">
        <f>IFERROR(__xludf.DUMMYFUNCTION("INDEX(SPLIT(F83, ""-""), 2)"),"VR")</f>
        <v>VR</v>
      </c>
      <c r="I83" s="12">
        <v>2.0</v>
      </c>
      <c r="J83" s="12">
        <v>6.0</v>
      </c>
      <c r="K83" s="12">
        <v>2.0</v>
      </c>
      <c r="L83" s="12" t="s">
        <v>199</v>
      </c>
      <c r="M83" s="12">
        <v>3.0</v>
      </c>
      <c r="N83" s="12">
        <v>5.0</v>
      </c>
      <c r="O83" s="12">
        <v>6.0</v>
      </c>
      <c r="P83" s="12">
        <v>3.0</v>
      </c>
      <c r="Q83" s="12">
        <v>5.0</v>
      </c>
      <c r="R83" s="12">
        <v>6.0</v>
      </c>
      <c r="S83" s="12">
        <v>5.0</v>
      </c>
      <c r="T83" s="12">
        <v>2.0</v>
      </c>
      <c r="U83" s="12">
        <v>2.0</v>
      </c>
      <c r="V83" s="12">
        <v>2.0</v>
      </c>
      <c r="W83" s="12">
        <v>5.0</v>
      </c>
      <c r="X83" s="12">
        <v>5.0</v>
      </c>
      <c r="Y83" s="12">
        <f t="shared" si="1"/>
        <v>3</v>
      </c>
      <c r="Z83" s="12" t="s">
        <v>541</v>
      </c>
      <c r="AA83" s="12" t="s">
        <v>206</v>
      </c>
      <c r="AB83" s="12">
        <v>5.0</v>
      </c>
      <c r="AC83" s="12">
        <v>6.0</v>
      </c>
      <c r="AD83" s="12">
        <v>5.0</v>
      </c>
      <c r="AE83" s="12">
        <v>3.0</v>
      </c>
      <c r="AF83" s="12">
        <v>5.0</v>
      </c>
      <c r="AG83" s="12">
        <v>6.0</v>
      </c>
      <c r="AH83" s="12" t="s">
        <v>542</v>
      </c>
      <c r="AJ83" s="12">
        <v>5.0</v>
      </c>
      <c r="AK83" s="12">
        <v>2.0</v>
      </c>
      <c r="AL83" s="12">
        <v>6.0</v>
      </c>
      <c r="AM83" s="12">
        <v>2.0</v>
      </c>
      <c r="AN83" s="12">
        <f t="shared" si="2"/>
        <v>6</v>
      </c>
      <c r="AO83" s="12">
        <v>2.0</v>
      </c>
      <c r="AP83" s="12">
        <f t="shared" si="3"/>
        <v>6</v>
      </c>
      <c r="AQ83" s="12">
        <v>5.0</v>
      </c>
      <c r="AR83" s="12">
        <f t="shared" si="4"/>
        <v>3</v>
      </c>
      <c r="AS83" s="12">
        <v>5.0</v>
      </c>
      <c r="AT83" s="12">
        <f t="shared" si="5"/>
        <v>3</v>
      </c>
      <c r="AU83" s="12" t="s">
        <v>543</v>
      </c>
    </row>
    <row r="84">
      <c r="A84" s="14">
        <f>IFERROR(__xludf.DUMMYFUNCTION("IF(E84="""", """", VALUE(REGEXREPLACE(E84, ""^[Pp]"", """")))"),22.0)</f>
        <v>22</v>
      </c>
      <c r="B84" s="14">
        <v>554.0</v>
      </c>
      <c r="C84" s="15">
        <v>45869.052777777775</v>
      </c>
      <c r="D84" s="12" t="s">
        <v>548</v>
      </c>
      <c r="E84" s="12" t="s">
        <v>531</v>
      </c>
      <c r="F84" s="12" t="s">
        <v>263</v>
      </c>
      <c r="G84" s="12" t="str">
        <f>IFERROR(__xludf.DUMMYFUNCTION("IF(SPLIT(F84,""-"")=""HR"",""High"",""Low"")"),"Low")</f>
        <v>Low</v>
      </c>
      <c r="H84" s="12" t="str">
        <f>IFERROR(__xludf.DUMMYFUNCTION("INDEX(SPLIT(F84, ""-""), 2)"),"VR")</f>
        <v>VR</v>
      </c>
      <c r="I84" s="12">
        <v>3.0</v>
      </c>
      <c r="J84" s="12">
        <v>5.0</v>
      </c>
      <c r="K84" s="12">
        <v>2.0</v>
      </c>
      <c r="L84" s="12" t="s">
        <v>199</v>
      </c>
      <c r="M84" s="12">
        <v>4.0</v>
      </c>
      <c r="N84" s="12">
        <v>3.0</v>
      </c>
      <c r="O84" s="12">
        <v>4.0</v>
      </c>
      <c r="P84" s="12">
        <v>3.0</v>
      </c>
      <c r="Q84" s="12">
        <v>5.0</v>
      </c>
      <c r="R84" s="12">
        <v>5.0</v>
      </c>
      <c r="S84" s="12">
        <v>6.0</v>
      </c>
      <c r="T84" s="12">
        <v>3.0</v>
      </c>
      <c r="U84" s="12">
        <v>3.0</v>
      </c>
      <c r="V84" s="12">
        <v>4.0</v>
      </c>
      <c r="W84" s="12">
        <v>5.0</v>
      </c>
      <c r="X84" s="12">
        <v>5.0</v>
      </c>
      <c r="Y84" s="12">
        <f t="shared" si="1"/>
        <v>3</v>
      </c>
      <c r="Z84" s="12" t="s">
        <v>549</v>
      </c>
      <c r="AA84" s="12" t="s">
        <v>206</v>
      </c>
      <c r="AB84" s="12">
        <v>3.0</v>
      </c>
      <c r="AC84" s="12">
        <v>5.0</v>
      </c>
      <c r="AD84" s="12">
        <v>3.0</v>
      </c>
      <c r="AE84" s="12">
        <v>3.0</v>
      </c>
      <c r="AF84" s="12">
        <v>3.0</v>
      </c>
      <c r="AG84" s="12">
        <v>3.0</v>
      </c>
      <c r="AH84" s="12" t="s">
        <v>550</v>
      </c>
      <c r="AJ84" s="12">
        <v>5.0</v>
      </c>
      <c r="AK84" s="12">
        <v>2.0</v>
      </c>
      <c r="AL84" s="12">
        <v>3.0</v>
      </c>
      <c r="AM84" s="12">
        <v>2.0</v>
      </c>
      <c r="AN84" s="12">
        <f t="shared" si="2"/>
        <v>6</v>
      </c>
      <c r="AO84" s="12">
        <v>3.0</v>
      </c>
      <c r="AP84" s="12">
        <f t="shared" si="3"/>
        <v>5</v>
      </c>
      <c r="AQ84" s="12">
        <v>5.0</v>
      </c>
      <c r="AR84" s="12">
        <f t="shared" si="4"/>
        <v>3</v>
      </c>
      <c r="AS84" s="12">
        <v>3.0</v>
      </c>
      <c r="AT84" s="12">
        <f t="shared" si="5"/>
        <v>5</v>
      </c>
      <c r="AU84" s="12" t="s">
        <v>551</v>
      </c>
    </row>
    <row r="85">
      <c r="A85" s="14">
        <f>IFERROR(__xludf.DUMMYFUNCTION("IF(E85="""", """", VALUE(REGEXREPLACE(E85, ""^[Pp]"", """")))"),22.0)</f>
        <v>22</v>
      </c>
      <c r="B85" s="14">
        <v>680.0</v>
      </c>
      <c r="C85" s="15">
        <v>45869.06458333333</v>
      </c>
      <c r="D85" s="12" t="s">
        <v>556</v>
      </c>
      <c r="E85" s="12" t="s">
        <v>531</v>
      </c>
      <c r="F85" s="12" t="s">
        <v>211</v>
      </c>
      <c r="G85" s="12" t="str">
        <f>IFERROR(__xludf.DUMMYFUNCTION("IF(SPLIT(F85,""-"")=""HR"",""High"",""Low"")"),"High")</f>
        <v>High</v>
      </c>
      <c r="H85" s="12" t="str">
        <f>IFERROR(__xludf.DUMMYFUNCTION("INDEX(SPLIT(F85, ""-""), 2)"),"Web")</f>
        <v>Web</v>
      </c>
      <c r="I85" s="12">
        <v>4.0</v>
      </c>
      <c r="J85" s="12">
        <v>3.0</v>
      </c>
      <c r="K85" s="12">
        <v>3.0</v>
      </c>
      <c r="L85" s="12" t="s">
        <v>199</v>
      </c>
      <c r="M85" s="12">
        <v>3.0</v>
      </c>
      <c r="N85" s="12">
        <v>5.0</v>
      </c>
      <c r="O85" s="12">
        <v>5.0</v>
      </c>
      <c r="P85" s="12">
        <v>3.0</v>
      </c>
      <c r="Q85" s="12">
        <v>5.0</v>
      </c>
      <c r="R85" s="12">
        <v>6.0</v>
      </c>
      <c r="S85" s="12">
        <v>5.0</v>
      </c>
      <c r="T85" s="12">
        <v>6.0</v>
      </c>
      <c r="U85" s="12">
        <v>2.0</v>
      </c>
      <c r="V85" s="12">
        <v>5.0</v>
      </c>
      <c r="W85" s="12">
        <v>6.0</v>
      </c>
      <c r="X85" s="12">
        <v>5.0</v>
      </c>
      <c r="Y85" s="12">
        <f t="shared" si="1"/>
        <v>3</v>
      </c>
      <c r="Z85" s="12" t="s">
        <v>557</v>
      </c>
      <c r="AA85" s="12" t="s">
        <v>206</v>
      </c>
      <c r="AB85" s="12">
        <v>4.0</v>
      </c>
      <c r="AC85" s="12">
        <v>5.0</v>
      </c>
      <c r="AD85" s="12">
        <v>5.0</v>
      </c>
      <c r="AE85" s="12">
        <v>6.0</v>
      </c>
      <c r="AF85" s="12">
        <v>5.0</v>
      </c>
      <c r="AG85" s="12">
        <v>5.0</v>
      </c>
      <c r="AH85" s="12" t="s">
        <v>558</v>
      </c>
      <c r="AI85" s="12" t="s">
        <v>206</v>
      </c>
      <c r="AJ85" s="12">
        <v>3.0</v>
      </c>
      <c r="AK85" s="12">
        <v>5.0</v>
      </c>
      <c r="AL85" s="12">
        <v>5.0</v>
      </c>
      <c r="AM85" s="12">
        <v>1.0</v>
      </c>
      <c r="AN85" s="12">
        <f t="shared" si="2"/>
        <v>7</v>
      </c>
      <c r="AO85" s="12">
        <v>1.0</v>
      </c>
      <c r="AP85" s="12">
        <f t="shared" si="3"/>
        <v>7</v>
      </c>
      <c r="AQ85" s="12">
        <v>2.0</v>
      </c>
      <c r="AR85" s="12">
        <f t="shared" si="4"/>
        <v>6</v>
      </c>
      <c r="AS85" s="12">
        <v>1.0</v>
      </c>
      <c r="AT85" s="12">
        <f t="shared" si="5"/>
        <v>7</v>
      </c>
      <c r="AU85" s="12" t="s">
        <v>559</v>
      </c>
    </row>
    <row r="86">
      <c r="A86" s="14">
        <f>IFERROR(__xludf.DUMMYFUNCTION("IF(E86="""", """", VALUE(REGEXREPLACE(E86, ""^[Pp]"", """")))"),23.0)</f>
        <v>23</v>
      </c>
      <c r="B86" s="14">
        <v>1024.0</v>
      </c>
      <c r="C86" s="15">
        <v>45869.092361111114</v>
      </c>
      <c r="D86" s="12" t="s">
        <v>572</v>
      </c>
      <c r="E86" s="12" t="s">
        <v>573</v>
      </c>
      <c r="F86" s="12" t="s">
        <v>211</v>
      </c>
      <c r="G86" s="12" t="str">
        <f>IFERROR(__xludf.DUMMYFUNCTION("IF(SPLIT(F86,""-"")=""HR"",""High"",""Low"")"),"High")</f>
        <v>High</v>
      </c>
      <c r="H86" s="12" t="str">
        <f>IFERROR(__xludf.DUMMYFUNCTION("INDEX(SPLIT(F86, ""-""), 2)"),"Web")</f>
        <v>Web</v>
      </c>
      <c r="I86" s="12">
        <v>1.0</v>
      </c>
      <c r="J86" s="12">
        <v>6.0</v>
      </c>
      <c r="K86" s="12">
        <v>5.0</v>
      </c>
      <c r="L86" s="12" t="s">
        <v>199</v>
      </c>
      <c r="M86" s="12">
        <v>4.0</v>
      </c>
      <c r="N86" s="12">
        <v>7.0</v>
      </c>
      <c r="O86" s="12">
        <v>6.0</v>
      </c>
      <c r="P86" s="12">
        <v>6.0</v>
      </c>
      <c r="Q86" s="12">
        <v>7.0</v>
      </c>
      <c r="R86" s="12">
        <v>7.0</v>
      </c>
      <c r="S86" s="12">
        <v>5.0</v>
      </c>
      <c r="T86" s="12">
        <v>6.0</v>
      </c>
      <c r="U86" s="12">
        <v>4.0</v>
      </c>
      <c r="V86" s="12">
        <v>3.0</v>
      </c>
      <c r="W86" s="12">
        <v>7.0</v>
      </c>
      <c r="X86" s="12">
        <v>5.0</v>
      </c>
      <c r="Y86" s="12">
        <f t="shared" si="1"/>
        <v>3</v>
      </c>
      <c r="Z86" s="12" t="s">
        <v>574</v>
      </c>
      <c r="AA86" s="12" t="s">
        <v>206</v>
      </c>
      <c r="AB86" s="12">
        <v>3.0</v>
      </c>
      <c r="AC86" s="12">
        <v>7.0</v>
      </c>
      <c r="AD86" s="12">
        <v>7.0</v>
      </c>
      <c r="AE86" s="12">
        <v>3.0</v>
      </c>
      <c r="AF86" s="12">
        <v>6.0</v>
      </c>
      <c r="AG86" s="12">
        <v>7.0</v>
      </c>
      <c r="AH86" s="12" t="s">
        <v>575</v>
      </c>
      <c r="AI86" s="12" t="s">
        <v>206</v>
      </c>
      <c r="AJ86" s="12">
        <v>5.0</v>
      </c>
      <c r="AK86" s="12">
        <v>5.0</v>
      </c>
      <c r="AL86" s="12">
        <v>7.0</v>
      </c>
      <c r="AM86" s="12">
        <v>1.0</v>
      </c>
      <c r="AN86" s="12">
        <f t="shared" si="2"/>
        <v>7</v>
      </c>
      <c r="AO86" s="12">
        <v>1.0</v>
      </c>
      <c r="AP86" s="12">
        <f t="shared" si="3"/>
        <v>7</v>
      </c>
      <c r="AQ86" s="12">
        <v>1.0</v>
      </c>
      <c r="AR86" s="12">
        <f t="shared" si="4"/>
        <v>7</v>
      </c>
      <c r="AS86" s="12">
        <v>1.0</v>
      </c>
      <c r="AT86" s="12">
        <f t="shared" si="5"/>
        <v>7</v>
      </c>
      <c r="AU86" s="12" t="s">
        <v>576</v>
      </c>
    </row>
    <row r="87">
      <c r="A87" s="14">
        <f>IFERROR(__xludf.DUMMYFUNCTION("IF(E87="""", """", VALUE(REGEXREPLACE(E87, ""^[Pp]"", """")))"),23.0)</f>
        <v>23</v>
      </c>
      <c r="B87" s="14">
        <v>646.0</v>
      </c>
      <c r="C87" s="15">
        <v>45869.10486111111</v>
      </c>
      <c r="D87" s="12" t="s">
        <v>577</v>
      </c>
      <c r="E87" s="12" t="s">
        <v>573</v>
      </c>
      <c r="F87" s="12" t="s">
        <v>263</v>
      </c>
      <c r="G87" s="12" t="str">
        <f>IFERROR(__xludf.DUMMYFUNCTION("IF(SPLIT(F87,""-"")=""HR"",""High"",""Low"")"),"Low")</f>
        <v>Low</v>
      </c>
      <c r="H87" s="12" t="str">
        <f>IFERROR(__xludf.DUMMYFUNCTION("INDEX(SPLIT(F87, ""-""), 2)"),"VR")</f>
        <v>VR</v>
      </c>
      <c r="I87" s="12">
        <v>2.0</v>
      </c>
      <c r="J87" s="12">
        <v>7.0</v>
      </c>
      <c r="K87" s="12">
        <v>6.0</v>
      </c>
      <c r="L87" s="12" t="s">
        <v>199</v>
      </c>
      <c r="M87" s="12">
        <v>6.0</v>
      </c>
      <c r="N87" s="12">
        <v>7.0</v>
      </c>
      <c r="O87" s="12">
        <v>7.0</v>
      </c>
      <c r="P87" s="12">
        <v>3.0</v>
      </c>
      <c r="Q87" s="12">
        <v>7.0</v>
      </c>
      <c r="R87" s="12">
        <v>7.0</v>
      </c>
      <c r="S87" s="12">
        <v>7.0</v>
      </c>
      <c r="T87" s="12">
        <v>6.0</v>
      </c>
      <c r="U87" s="12">
        <v>6.0</v>
      </c>
      <c r="V87" s="12">
        <v>6.0</v>
      </c>
      <c r="W87" s="12">
        <v>7.0</v>
      </c>
      <c r="X87" s="12">
        <v>3.0</v>
      </c>
      <c r="Y87" s="12">
        <f t="shared" si="1"/>
        <v>5</v>
      </c>
      <c r="Z87" s="12" t="s">
        <v>578</v>
      </c>
      <c r="AA87" s="12" t="s">
        <v>206</v>
      </c>
      <c r="AB87" s="12">
        <v>5.0</v>
      </c>
      <c r="AC87" s="12">
        <v>7.0</v>
      </c>
      <c r="AD87" s="12">
        <v>7.0</v>
      </c>
      <c r="AE87" s="12">
        <v>7.0</v>
      </c>
      <c r="AF87" s="12">
        <v>7.0</v>
      </c>
      <c r="AG87" s="12">
        <v>7.0</v>
      </c>
      <c r="AH87" s="12" t="s">
        <v>579</v>
      </c>
      <c r="AI87" s="12" t="s">
        <v>206</v>
      </c>
      <c r="AJ87" s="12">
        <v>7.0</v>
      </c>
      <c r="AK87" s="12">
        <v>3.0</v>
      </c>
      <c r="AL87" s="12">
        <v>7.0</v>
      </c>
      <c r="AM87" s="12">
        <v>5.0</v>
      </c>
      <c r="AN87" s="12">
        <f t="shared" si="2"/>
        <v>3</v>
      </c>
      <c r="AO87" s="12">
        <v>6.0</v>
      </c>
      <c r="AP87" s="12">
        <f t="shared" si="3"/>
        <v>2</v>
      </c>
      <c r="AQ87" s="12">
        <v>1.0</v>
      </c>
      <c r="AR87" s="12">
        <f t="shared" si="4"/>
        <v>7</v>
      </c>
      <c r="AS87" s="12">
        <v>1.0</v>
      </c>
      <c r="AT87" s="12">
        <f t="shared" si="5"/>
        <v>7</v>
      </c>
      <c r="AU87" s="12" t="s">
        <v>580</v>
      </c>
    </row>
    <row r="88">
      <c r="A88" s="14">
        <f>IFERROR(__xludf.DUMMYFUNCTION("IF(E88="""", """", VALUE(REGEXREPLACE(E88, ""^[Pp]"", """")))"),23.0)</f>
        <v>23</v>
      </c>
      <c r="B88" s="14">
        <v>484.0</v>
      </c>
      <c r="C88" s="15">
        <v>45869.114583333336</v>
      </c>
      <c r="D88" s="12" t="s">
        <v>586</v>
      </c>
      <c r="E88" s="12" t="s">
        <v>573</v>
      </c>
      <c r="F88" s="12" t="s">
        <v>197</v>
      </c>
      <c r="G88" s="12" t="str">
        <f>IFERROR(__xludf.DUMMYFUNCTION("IF(SPLIT(F88,""-"")=""HR"",""High"",""Low"")"),"High")</f>
        <v>High</v>
      </c>
      <c r="H88" s="12" t="str">
        <f>IFERROR(__xludf.DUMMYFUNCTION("INDEX(SPLIT(F88, ""-""), 2)"),"VR")</f>
        <v>VR</v>
      </c>
      <c r="I88" s="12">
        <v>3.0</v>
      </c>
      <c r="J88" s="12">
        <v>7.0</v>
      </c>
      <c r="K88" s="12">
        <v>6.0</v>
      </c>
      <c r="L88" s="12" t="s">
        <v>199</v>
      </c>
      <c r="M88" s="12">
        <v>6.0</v>
      </c>
      <c r="N88" s="12">
        <v>7.0</v>
      </c>
      <c r="O88" s="12">
        <v>7.0</v>
      </c>
      <c r="P88" s="12">
        <v>6.0</v>
      </c>
      <c r="Q88" s="12">
        <v>7.0</v>
      </c>
      <c r="R88" s="12">
        <v>7.0</v>
      </c>
      <c r="S88" s="12">
        <v>7.0</v>
      </c>
      <c r="T88" s="12">
        <v>7.0</v>
      </c>
      <c r="U88" s="12">
        <v>3.0</v>
      </c>
      <c r="V88" s="12">
        <v>3.0</v>
      </c>
      <c r="W88" s="12">
        <v>7.0</v>
      </c>
      <c r="X88" s="12">
        <v>3.0</v>
      </c>
      <c r="Y88" s="12">
        <f t="shared" si="1"/>
        <v>5</v>
      </c>
      <c r="Z88" s="12" t="s">
        <v>587</v>
      </c>
      <c r="AA88" s="12" t="s">
        <v>206</v>
      </c>
      <c r="AB88" s="12">
        <v>6.0</v>
      </c>
      <c r="AC88" s="12">
        <v>7.0</v>
      </c>
      <c r="AD88" s="12">
        <v>7.0</v>
      </c>
      <c r="AE88" s="12">
        <v>7.0</v>
      </c>
      <c r="AF88" s="12">
        <v>7.0</v>
      </c>
      <c r="AG88" s="12">
        <v>7.0</v>
      </c>
      <c r="AH88" s="12" t="s">
        <v>588</v>
      </c>
      <c r="AI88" s="12" t="s">
        <v>206</v>
      </c>
      <c r="AJ88" s="12">
        <v>7.0</v>
      </c>
      <c r="AK88" s="12">
        <v>7.0</v>
      </c>
      <c r="AL88" s="12">
        <v>7.0</v>
      </c>
      <c r="AM88" s="12">
        <v>7.0</v>
      </c>
      <c r="AN88" s="12">
        <f t="shared" si="2"/>
        <v>1</v>
      </c>
      <c r="AO88" s="12">
        <v>7.0</v>
      </c>
      <c r="AP88" s="12">
        <f t="shared" si="3"/>
        <v>1</v>
      </c>
      <c r="AQ88" s="12">
        <v>5.0</v>
      </c>
      <c r="AR88" s="12">
        <f t="shared" si="4"/>
        <v>3</v>
      </c>
      <c r="AS88" s="12">
        <v>2.0</v>
      </c>
      <c r="AT88" s="12">
        <f t="shared" si="5"/>
        <v>6</v>
      </c>
      <c r="AU88" s="12" t="s">
        <v>589</v>
      </c>
    </row>
    <row r="89">
      <c r="A89" s="14">
        <f>IFERROR(__xludf.DUMMYFUNCTION("IF(E89="""", """", VALUE(REGEXREPLACE(E89, ""^[Pp]"", """")))"),23.0)</f>
        <v>23</v>
      </c>
      <c r="B89" s="14">
        <v>768.0</v>
      </c>
      <c r="C89" s="15">
        <v>45869.12569444445</v>
      </c>
      <c r="D89" s="12" t="s">
        <v>590</v>
      </c>
      <c r="E89" s="12" t="s">
        <v>573</v>
      </c>
      <c r="F89" s="12" t="s">
        <v>216</v>
      </c>
      <c r="G89" s="12" t="str">
        <f>IFERROR(__xludf.DUMMYFUNCTION("IF(SPLIT(F89,""-"")=""HR"",""High"",""Low"")"),"Low")</f>
        <v>Low</v>
      </c>
      <c r="H89" s="12" t="str">
        <f>IFERROR(__xludf.DUMMYFUNCTION("INDEX(SPLIT(F89, ""-""), 2)"),"Web")</f>
        <v>Web</v>
      </c>
      <c r="I89" s="12">
        <v>4.0</v>
      </c>
      <c r="J89" s="12">
        <v>7.0</v>
      </c>
      <c r="K89" s="12">
        <v>5.0</v>
      </c>
      <c r="L89" s="12" t="s">
        <v>199</v>
      </c>
      <c r="M89" s="12">
        <v>5.0</v>
      </c>
      <c r="N89" s="12">
        <v>7.0</v>
      </c>
      <c r="O89" s="12">
        <v>6.0</v>
      </c>
      <c r="P89" s="12">
        <v>4.0</v>
      </c>
      <c r="Q89" s="12">
        <v>5.0</v>
      </c>
      <c r="R89" s="12">
        <v>5.0</v>
      </c>
      <c r="S89" s="12">
        <v>4.0</v>
      </c>
      <c r="T89" s="12">
        <v>5.0</v>
      </c>
      <c r="U89" s="12">
        <v>5.0</v>
      </c>
      <c r="V89" s="12">
        <v>5.0</v>
      </c>
      <c r="W89" s="12">
        <v>5.0</v>
      </c>
      <c r="X89" s="12">
        <v>5.0</v>
      </c>
      <c r="Y89" s="12">
        <f t="shared" si="1"/>
        <v>3</v>
      </c>
      <c r="Z89" s="12" t="s">
        <v>591</v>
      </c>
      <c r="AA89" s="12" t="s">
        <v>206</v>
      </c>
      <c r="AB89" s="12">
        <v>6.0</v>
      </c>
      <c r="AC89" s="12">
        <v>7.0</v>
      </c>
      <c r="AD89" s="12">
        <v>7.0</v>
      </c>
      <c r="AE89" s="12">
        <v>5.0</v>
      </c>
      <c r="AF89" s="12">
        <v>6.0</v>
      </c>
      <c r="AG89" s="12">
        <v>7.0</v>
      </c>
      <c r="AH89" s="12" t="s">
        <v>592</v>
      </c>
      <c r="AI89" s="12" t="s">
        <v>206</v>
      </c>
      <c r="AJ89" s="12">
        <v>7.0</v>
      </c>
      <c r="AK89" s="12">
        <v>5.0</v>
      </c>
      <c r="AL89" s="12">
        <v>7.0</v>
      </c>
      <c r="AM89" s="12">
        <v>1.0</v>
      </c>
      <c r="AN89" s="12">
        <f t="shared" si="2"/>
        <v>7</v>
      </c>
      <c r="AO89" s="12">
        <v>1.0</v>
      </c>
      <c r="AP89" s="12">
        <f t="shared" si="3"/>
        <v>7</v>
      </c>
      <c r="AQ89" s="12">
        <v>1.0</v>
      </c>
      <c r="AR89" s="12">
        <f t="shared" si="4"/>
        <v>7</v>
      </c>
      <c r="AS89" s="12">
        <v>1.0</v>
      </c>
      <c r="AT89" s="12">
        <f t="shared" si="5"/>
        <v>7</v>
      </c>
      <c r="AU89" s="12" t="s">
        <v>593</v>
      </c>
    </row>
    <row r="90">
      <c r="A90" s="14">
        <f>IFERROR(__xludf.DUMMYFUNCTION("IF(E90="""", """", VALUE(REGEXREPLACE(E90, ""^[Pp]"", """")))"),24.0)</f>
        <v>24</v>
      </c>
      <c r="B90" s="14">
        <v>1424.0</v>
      </c>
      <c r="C90" s="15">
        <v>45869.10902777778</v>
      </c>
      <c r="D90" s="12" t="s">
        <v>581</v>
      </c>
      <c r="E90" s="12" t="s">
        <v>582</v>
      </c>
      <c r="F90" s="12" t="s">
        <v>197</v>
      </c>
      <c r="G90" s="12" t="str">
        <f>IFERROR(__xludf.DUMMYFUNCTION("IF(SPLIT(F90,""-"")=""HR"",""High"",""Low"")"),"High")</f>
        <v>High</v>
      </c>
      <c r="H90" s="12" t="str">
        <f>IFERROR(__xludf.DUMMYFUNCTION("INDEX(SPLIT(F90, ""-""), 2)"),"VR")</f>
        <v>VR</v>
      </c>
      <c r="I90" s="12">
        <v>1.0</v>
      </c>
      <c r="J90" s="12">
        <v>6.0</v>
      </c>
      <c r="K90" s="12">
        <v>6.0</v>
      </c>
      <c r="L90" s="12" t="s">
        <v>199</v>
      </c>
      <c r="M90" s="12">
        <v>7.0</v>
      </c>
      <c r="N90" s="12">
        <v>7.0</v>
      </c>
      <c r="O90" s="12">
        <v>5.0</v>
      </c>
      <c r="P90" s="12">
        <v>6.0</v>
      </c>
      <c r="Q90" s="12">
        <v>7.0</v>
      </c>
      <c r="R90" s="12">
        <v>6.0</v>
      </c>
      <c r="S90" s="12">
        <v>6.0</v>
      </c>
      <c r="T90" s="12">
        <v>7.0</v>
      </c>
      <c r="U90" s="12">
        <v>6.0</v>
      </c>
      <c r="V90" s="12">
        <v>5.0</v>
      </c>
      <c r="W90" s="12">
        <v>7.0</v>
      </c>
      <c r="X90" s="12">
        <v>6.0</v>
      </c>
      <c r="Y90" s="12">
        <f t="shared" si="1"/>
        <v>2</v>
      </c>
      <c r="Z90" s="12" t="s">
        <v>583</v>
      </c>
      <c r="AA90" s="12" t="s">
        <v>206</v>
      </c>
      <c r="AB90" s="12">
        <v>6.0</v>
      </c>
      <c r="AC90" s="12">
        <v>6.0</v>
      </c>
      <c r="AD90" s="12">
        <v>7.0</v>
      </c>
      <c r="AE90" s="12">
        <v>6.0</v>
      </c>
      <c r="AF90" s="12">
        <v>7.0</v>
      </c>
      <c r="AG90" s="12">
        <v>7.0</v>
      </c>
      <c r="AH90" s="16" t="s">
        <v>584</v>
      </c>
      <c r="AI90" s="12" t="s">
        <v>206</v>
      </c>
      <c r="AJ90" s="12">
        <v>6.0</v>
      </c>
      <c r="AK90" s="12">
        <v>6.0</v>
      </c>
      <c r="AL90" s="12">
        <v>7.0</v>
      </c>
      <c r="AM90" s="12">
        <v>1.0</v>
      </c>
      <c r="AN90" s="12">
        <f t="shared" si="2"/>
        <v>7</v>
      </c>
      <c r="AO90" s="12">
        <v>1.0</v>
      </c>
      <c r="AP90" s="12">
        <f t="shared" si="3"/>
        <v>7</v>
      </c>
      <c r="AQ90" s="12">
        <v>1.0</v>
      </c>
      <c r="AR90" s="12">
        <f t="shared" si="4"/>
        <v>7</v>
      </c>
      <c r="AS90" s="12">
        <v>1.0</v>
      </c>
      <c r="AT90" s="12">
        <f t="shared" si="5"/>
        <v>7</v>
      </c>
      <c r="AU90" s="12" t="s">
        <v>585</v>
      </c>
    </row>
    <row r="91">
      <c r="A91" s="14">
        <f>IFERROR(__xludf.DUMMYFUNCTION("IF(E91="""", """", VALUE(REGEXREPLACE(E91, ""^[Pp]"", """")))"),24.0)</f>
        <v>24</v>
      </c>
      <c r="B91" s="14">
        <v>1117.0</v>
      </c>
      <c r="C91" s="15">
        <v>45869.17638888889</v>
      </c>
      <c r="D91" s="12" t="s">
        <v>596</v>
      </c>
      <c r="E91" s="12" t="s">
        <v>582</v>
      </c>
      <c r="F91" s="12" t="s">
        <v>211</v>
      </c>
      <c r="G91" s="12" t="str">
        <f>IFERROR(__xludf.DUMMYFUNCTION("IF(SPLIT(F91,""-"")=""HR"",""High"",""Low"")"),"High")</f>
        <v>High</v>
      </c>
      <c r="H91" s="12" t="str">
        <f>IFERROR(__xludf.DUMMYFUNCTION("INDEX(SPLIT(F91, ""-""), 2)"),"Web")</f>
        <v>Web</v>
      </c>
      <c r="I91" s="12">
        <v>2.0</v>
      </c>
      <c r="J91" s="12">
        <v>6.0</v>
      </c>
      <c r="K91" s="12">
        <v>5.0</v>
      </c>
      <c r="L91" s="12" t="s">
        <v>199</v>
      </c>
      <c r="M91" s="12">
        <v>7.0</v>
      </c>
      <c r="N91" s="12">
        <v>7.0</v>
      </c>
      <c r="O91" s="12">
        <v>5.0</v>
      </c>
      <c r="P91" s="12">
        <v>5.0</v>
      </c>
      <c r="Q91" s="12">
        <v>6.0</v>
      </c>
      <c r="R91" s="12">
        <v>6.0</v>
      </c>
      <c r="S91" s="12">
        <v>6.0</v>
      </c>
      <c r="T91" s="12">
        <v>7.0</v>
      </c>
      <c r="U91" s="12">
        <v>5.0</v>
      </c>
      <c r="V91" s="12">
        <v>4.0</v>
      </c>
      <c r="W91" s="12">
        <v>6.0</v>
      </c>
      <c r="X91" s="12">
        <v>4.0</v>
      </c>
      <c r="Y91" s="12">
        <f t="shared" si="1"/>
        <v>4</v>
      </c>
      <c r="Z91" s="12" t="s">
        <v>597</v>
      </c>
      <c r="AA91" s="12" t="s">
        <v>206</v>
      </c>
      <c r="AB91" s="12">
        <v>6.0</v>
      </c>
      <c r="AC91" s="12">
        <v>7.0</v>
      </c>
      <c r="AD91" s="12">
        <v>7.0</v>
      </c>
      <c r="AE91" s="12">
        <v>7.0</v>
      </c>
      <c r="AF91" s="12">
        <v>7.0</v>
      </c>
      <c r="AG91" s="12">
        <v>7.0</v>
      </c>
      <c r="AH91" s="12" t="s">
        <v>598</v>
      </c>
      <c r="AI91" s="12" t="s">
        <v>206</v>
      </c>
      <c r="AJ91" s="12">
        <v>6.0</v>
      </c>
      <c r="AK91" s="12">
        <v>6.0</v>
      </c>
      <c r="AL91" s="12">
        <v>7.0</v>
      </c>
      <c r="AM91" s="12">
        <v>1.0</v>
      </c>
      <c r="AN91" s="12">
        <f t="shared" si="2"/>
        <v>7</v>
      </c>
      <c r="AO91" s="12">
        <v>1.0</v>
      </c>
      <c r="AP91" s="12">
        <f t="shared" si="3"/>
        <v>7</v>
      </c>
      <c r="AQ91" s="12">
        <v>1.0</v>
      </c>
      <c r="AR91" s="12">
        <f t="shared" si="4"/>
        <v>7</v>
      </c>
      <c r="AS91" s="12">
        <v>1.0</v>
      </c>
      <c r="AT91" s="12">
        <f t="shared" si="5"/>
        <v>7</v>
      </c>
      <c r="AU91" s="12" t="s">
        <v>599</v>
      </c>
    </row>
    <row r="92">
      <c r="A92" s="14">
        <f>IFERROR(__xludf.DUMMYFUNCTION("IF(E92="""", """", VALUE(REGEXREPLACE(E92, ""^[Pp]"", """")))"),24.0)</f>
        <v>24</v>
      </c>
      <c r="B92" s="14">
        <v>808.0</v>
      </c>
      <c r="C92" s="15">
        <v>45869.19236111111</v>
      </c>
      <c r="D92" s="12" t="s">
        <v>612</v>
      </c>
      <c r="E92" s="12" t="s">
        <v>582</v>
      </c>
      <c r="F92" s="12" t="s">
        <v>263</v>
      </c>
      <c r="G92" s="12" t="str">
        <f>IFERROR(__xludf.DUMMYFUNCTION("IF(SPLIT(F92,""-"")=""HR"",""High"",""Low"")"),"Low")</f>
        <v>Low</v>
      </c>
      <c r="H92" s="12" t="str">
        <f>IFERROR(__xludf.DUMMYFUNCTION("INDEX(SPLIT(F92, ""-""), 2)"),"VR")</f>
        <v>VR</v>
      </c>
      <c r="I92" s="12">
        <v>3.0</v>
      </c>
      <c r="J92" s="12">
        <v>7.0</v>
      </c>
      <c r="K92" s="12">
        <v>5.0</v>
      </c>
      <c r="L92" s="12" t="s">
        <v>199</v>
      </c>
      <c r="M92" s="12">
        <v>7.0</v>
      </c>
      <c r="N92" s="12">
        <v>7.0</v>
      </c>
      <c r="O92" s="12">
        <v>5.0</v>
      </c>
      <c r="P92" s="12">
        <v>5.0</v>
      </c>
      <c r="Q92" s="12">
        <v>6.0</v>
      </c>
      <c r="R92" s="12">
        <v>6.0</v>
      </c>
      <c r="S92" s="12">
        <v>5.0</v>
      </c>
      <c r="T92" s="12">
        <v>6.0</v>
      </c>
      <c r="U92" s="12">
        <v>5.0</v>
      </c>
      <c r="V92" s="12">
        <v>2.0</v>
      </c>
      <c r="W92" s="12">
        <v>6.0</v>
      </c>
      <c r="X92" s="12">
        <v>5.0</v>
      </c>
      <c r="Y92" s="12">
        <f t="shared" si="1"/>
        <v>3</v>
      </c>
      <c r="Z92" s="12" t="s">
        <v>613</v>
      </c>
      <c r="AA92" s="12" t="s">
        <v>206</v>
      </c>
      <c r="AB92" s="12">
        <v>7.0</v>
      </c>
      <c r="AC92" s="12">
        <v>7.0</v>
      </c>
      <c r="AD92" s="12">
        <v>7.0</v>
      </c>
      <c r="AE92" s="12">
        <v>7.0</v>
      </c>
      <c r="AF92" s="12">
        <v>7.0</v>
      </c>
      <c r="AG92" s="12">
        <v>7.0</v>
      </c>
      <c r="AH92" s="12" t="s">
        <v>614</v>
      </c>
      <c r="AI92" s="12" t="s">
        <v>206</v>
      </c>
      <c r="AJ92" s="12">
        <v>7.0</v>
      </c>
      <c r="AK92" s="12">
        <v>6.0</v>
      </c>
      <c r="AL92" s="12">
        <v>7.0</v>
      </c>
      <c r="AM92" s="12">
        <v>1.0</v>
      </c>
      <c r="AN92" s="12">
        <f t="shared" si="2"/>
        <v>7</v>
      </c>
      <c r="AO92" s="12">
        <v>1.0</v>
      </c>
      <c r="AP92" s="12">
        <f t="shared" si="3"/>
        <v>7</v>
      </c>
      <c r="AQ92" s="12">
        <v>1.0</v>
      </c>
      <c r="AR92" s="12">
        <f t="shared" si="4"/>
        <v>7</v>
      </c>
      <c r="AS92" s="12">
        <v>1.0</v>
      </c>
      <c r="AT92" s="12">
        <f t="shared" si="5"/>
        <v>7</v>
      </c>
      <c r="AU92" s="12" t="s">
        <v>615</v>
      </c>
    </row>
    <row r="93">
      <c r="A93" s="14">
        <f>IFERROR(__xludf.DUMMYFUNCTION("IF(E93="""", """", VALUE(REGEXREPLACE(E93, ""^[Pp]"", """")))"),24.0)</f>
        <v>24</v>
      </c>
      <c r="B93" s="14">
        <v>677.0</v>
      </c>
      <c r="C93" s="15">
        <v>45869.20416666667</v>
      </c>
      <c r="D93" s="12" t="s">
        <v>620</v>
      </c>
      <c r="E93" s="12" t="s">
        <v>582</v>
      </c>
      <c r="F93" s="12" t="s">
        <v>216</v>
      </c>
      <c r="G93" s="12" t="str">
        <f>IFERROR(__xludf.DUMMYFUNCTION("IF(SPLIT(F93,""-"")=""HR"",""High"",""Low"")"),"Low")</f>
        <v>Low</v>
      </c>
      <c r="H93" s="12" t="str">
        <f>IFERROR(__xludf.DUMMYFUNCTION("INDEX(SPLIT(F93, ""-""), 2)"),"Web")</f>
        <v>Web</v>
      </c>
      <c r="I93" s="12">
        <v>4.0</v>
      </c>
      <c r="J93" s="12">
        <v>7.0</v>
      </c>
      <c r="K93" s="12">
        <v>4.0</v>
      </c>
      <c r="L93" s="12" t="s">
        <v>199</v>
      </c>
      <c r="M93" s="12">
        <v>7.0</v>
      </c>
      <c r="N93" s="12">
        <v>7.0</v>
      </c>
      <c r="O93" s="12">
        <v>3.0</v>
      </c>
      <c r="P93" s="12">
        <v>6.0</v>
      </c>
      <c r="Q93" s="12">
        <v>6.0</v>
      </c>
      <c r="R93" s="12">
        <v>6.0</v>
      </c>
      <c r="S93" s="12">
        <v>6.0</v>
      </c>
      <c r="T93" s="12">
        <v>6.0</v>
      </c>
      <c r="U93" s="12">
        <v>3.0</v>
      </c>
      <c r="V93" s="12">
        <v>1.0</v>
      </c>
      <c r="W93" s="12">
        <v>6.0</v>
      </c>
      <c r="X93" s="12">
        <v>4.0</v>
      </c>
      <c r="Y93" s="12">
        <f t="shared" si="1"/>
        <v>4</v>
      </c>
      <c r="Z93" s="12" t="s">
        <v>621</v>
      </c>
      <c r="AA93" s="12" t="s">
        <v>206</v>
      </c>
      <c r="AB93" s="12">
        <v>6.0</v>
      </c>
      <c r="AC93" s="12">
        <v>6.0</v>
      </c>
      <c r="AD93" s="12">
        <v>7.0</v>
      </c>
      <c r="AE93" s="12">
        <v>6.0</v>
      </c>
      <c r="AF93" s="12">
        <v>7.0</v>
      </c>
      <c r="AG93" s="12">
        <v>7.0</v>
      </c>
      <c r="AH93" s="12" t="s">
        <v>622</v>
      </c>
      <c r="AI93" s="12" t="s">
        <v>206</v>
      </c>
      <c r="AJ93" s="12">
        <v>7.0</v>
      </c>
      <c r="AK93" s="12">
        <v>7.0</v>
      </c>
      <c r="AL93" s="12">
        <v>7.0</v>
      </c>
      <c r="AM93" s="12">
        <v>1.0</v>
      </c>
      <c r="AN93" s="12">
        <f t="shared" si="2"/>
        <v>7</v>
      </c>
      <c r="AO93" s="12">
        <v>1.0</v>
      </c>
      <c r="AP93" s="12">
        <f t="shared" si="3"/>
        <v>7</v>
      </c>
      <c r="AQ93" s="12">
        <v>1.0</v>
      </c>
      <c r="AR93" s="12">
        <f t="shared" si="4"/>
        <v>7</v>
      </c>
      <c r="AS93" s="12">
        <v>1.0</v>
      </c>
      <c r="AT93" s="12">
        <f t="shared" si="5"/>
        <v>7</v>
      </c>
      <c r="AU93" s="12" t="s">
        <v>623</v>
      </c>
    </row>
    <row r="94">
      <c r="A94" s="14">
        <f>IFERROR(__xludf.DUMMYFUNCTION("IF(E94="""", """", VALUE(REGEXREPLACE(E94, ""^[Pp]"", """")))"),25.0)</f>
        <v>25</v>
      </c>
      <c r="B94" s="14">
        <v>644.0</v>
      </c>
      <c r="C94" s="15">
        <v>45869.165972222225</v>
      </c>
      <c r="D94" s="12" t="s">
        <v>594</v>
      </c>
      <c r="E94" s="12" t="s">
        <v>595</v>
      </c>
      <c r="F94" s="12" t="s">
        <v>216</v>
      </c>
      <c r="G94" s="12" t="str">
        <f>IFERROR(__xludf.DUMMYFUNCTION("IF(SPLIT(F94,""-"")=""HR"",""High"",""Low"")"),"Low")</f>
        <v>Low</v>
      </c>
      <c r="H94" s="12" t="str">
        <f>IFERROR(__xludf.DUMMYFUNCTION("INDEX(SPLIT(F94, ""-""), 2)"),"Web")</f>
        <v>Web</v>
      </c>
      <c r="I94" s="12">
        <v>1.0</v>
      </c>
      <c r="J94" s="12">
        <v>6.0</v>
      </c>
      <c r="K94" s="12">
        <v>5.0</v>
      </c>
      <c r="L94" s="12" t="s">
        <v>199</v>
      </c>
      <c r="M94" s="12">
        <v>6.0</v>
      </c>
      <c r="N94" s="12">
        <v>4.0</v>
      </c>
      <c r="O94" s="12">
        <v>6.0</v>
      </c>
      <c r="P94" s="12">
        <v>5.0</v>
      </c>
      <c r="Q94" s="12">
        <v>5.0</v>
      </c>
      <c r="R94" s="12">
        <v>4.0</v>
      </c>
      <c r="S94" s="12">
        <v>5.0</v>
      </c>
      <c r="T94" s="12">
        <v>5.0</v>
      </c>
      <c r="U94" s="12">
        <v>5.0</v>
      </c>
      <c r="V94" s="12">
        <v>3.0</v>
      </c>
      <c r="W94" s="12">
        <v>5.0</v>
      </c>
      <c r="X94" s="12">
        <v>4.0</v>
      </c>
      <c r="Y94" s="12">
        <f t="shared" si="1"/>
        <v>4</v>
      </c>
      <c r="Z94" s="12" t="s">
        <v>413</v>
      </c>
      <c r="AA94" s="12" t="s">
        <v>206</v>
      </c>
      <c r="AB94" s="12">
        <v>5.0</v>
      </c>
      <c r="AC94" s="12">
        <v>3.0</v>
      </c>
      <c r="AD94" s="12">
        <v>4.0</v>
      </c>
      <c r="AE94" s="12">
        <v>3.0</v>
      </c>
      <c r="AF94" s="12">
        <v>3.0</v>
      </c>
      <c r="AG94" s="12">
        <v>3.0</v>
      </c>
      <c r="AH94" s="12" t="s">
        <v>413</v>
      </c>
      <c r="AI94" s="12" t="s">
        <v>206</v>
      </c>
      <c r="AJ94" s="12">
        <v>5.0</v>
      </c>
      <c r="AK94" s="12">
        <v>6.0</v>
      </c>
      <c r="AL94" s="12">
        <v>5.0</v>
      </c>
      <c r="AM94" s="12">
        <v>3.0</v>
      </c>
      <c r="AN94" s="12">
        <f t="shared" si="2"/>
        <v>5</v>
      </c>
      <c r="AO94" s="12">
        <v>3.0</v>
      </c>
      <c r="AP94" s="12">
        <f t="shared" si="3"/>
        <v>5</v>
      </c>
      <c r="AQ94" s="12">
        <v>3.0</v>
      </c>
      <c r="AR94" s="12">
        <f t="shared" si="4"/>
        <v>5</v>
      </c>
      <c r="AS94" s="12">
        <v>3.0</v>
      </c>
      <c r="AT94" s="12">
        <f t="shared" si="5"/>
        <v>5</v>
      </c>
      <c r="AU94" s="12" t="s">
        <v>413</v>
      </c>
    </row>
    <row r="95">
      <c r="A95" s="14">
        <f>IFERROR(__xludf.DUMMYFUNCTION("IF(E95="""", """", VALUE(REGEXREPLACE(E95, ""^[Pp]"", """")))"),25.0)</f>
        <v>25</v>
      </c>
      <c r="B95" s="14">
        <v>447.0</v>
      </c>
      <c r="C95" s="15">
        <v>45869.18194444444</v>
      </c>
      <c r="D95" s="12" t="s">
        <v>600</v>
      </c>
      <c r="E95" s="12" t="s">
        <v>595</v>
      </c>
      <c r="F95" s="12" t="s">
        <v>263</v>
      </c>
      <c r="G95" s="12" t="str">
        <f>IFERROR(__xludf.DUMMYFUNCTION("IF(SPLIT(F95,""-"")=""HR"",""High"",""Low"")"),"Low")</f>
        <v>Low</v>
      </c>
      <c r="H95" s="12" t="str">
        <f>IFERROR(__xludf.DUMMYFUNCTION("INDEX(SPLIT(F95, ""-""), 2)"),"VR")</f>
        <v>VR</v>
      </c>
      <c r="I95" s="12">
        <v>2.0</v>
      </c>
      <c r="J95" s="12">
        <v>6.0</v>
      </c>
      <c r="K95" s="12">
        <v>5.0</v>
      </c>
      <c r="L95" s="12" t="s">
        <v>199</v>
      </c>
      <c r="M95" s="12">
        <v>6.0</v>
      </c>
      <c r="N95" s="12">
        <v>5.0</v>
      </c>
      <c r="O95" s="12">
        <v>6.0</v>
      </c>
      <c r="P95" s="12">
        <v>6.0</v>
      </c>
      <c r="Q95" s="12">
        <v>6.0</v>
      </c>
      <c r="R95" s="12">
        <v>6.0</v>
      </c>
      <c r="S95" s="12">
        <v>6.0</v>
      </c>
      <c r="T95" s="12">
        <v>6.0</v>
      </c>
      <c r="U95" s="12">
        <v>6.0</v>
      </c>
      <c r="V95" s="12">
        <v>3.0</v>
      </c>
      <c r="W95" s="12">
        <v>6.0</v>
      </c>
      <c r="X95" s="12">
        <v>5.0</v>
      </c>
      <c r="Y95" s="12">
        <f t="shared" si="1"/>
        <v>3</v>
      </c>
      <c r="Z95" s="12" t="s">
        <v>413</v>
      </c>
      <c r="AA95" s="12" t="s">
        <v>206</v>
      </c>
      <c r="AB95" s="12">
        <v>6.0</v>
      </c>
      <c r="AC95" s="12">
        <v>6.0</v>
      </c>
      <c r="AD95" s="12">
        <v>6.0</v>
      </c>
      <c r="AE95" s="12">
        <v>6.0</v>
      </c>
      <c r="AF95" s="12">
        <v>6.0</v>
      </c>
      <c r="AG95" s="12">
        <v>5.0</v>
      </c>
      <c r="AH95" s="12" t="s">
        <v>413</v>
      </c>
      <c r="AI95" s="12" t="s">
        <v>206</v>
      </c>
      <c r="AJ95" s="12">
        <v>6.0</v>
      </c>
      <c r="AK95" s="12">
        <v>6.0</v>
      </c>
      <c r="AL95" s="12">
        <v>5.0</v>
      </c>
      <c r="AM95" s="12">
        <v>3.0</v>
      </c>
      <c r="AN95" s="12">
        <f t="shared" si="2"/>
        <v>5</v>
      </c>
      <c r="AO95" s="12">
        <v>2.0</v>
      </c>
      <c r="AP95" s="12">
        <f t="shared" si="3"/>
        <v>6</v>
      </c>
      <c r="AQ95" s="12">
        <v>3.0</v>
      </c>
      <c r="AR95" s="12">
        <f t="shared" si="4"/>
        <v>5</v>
      </c>
      <c r="AS95" s="12">
        <v>2.0</v>
      </c>
      <c r="AT95" s="12">
        <f t="shared" si="5"/>
        <v>6</v>
      </c>
      <c r="AU95" s="12" t="s">
        <v>413</v>
      </c>
    </row>
    <row r="96">
      <c r="A96" s="14">
        <f>IFERROR(__xludf.DUMMYFUNCTION("IF(E96="""", """", VALUE(REGEXREPLACE(E96, ""^[Pp]"", """")))"),25.0)</f>
        <v>25</v>
      </c>
      <c r="B96" s="14">
        <v>300.0</v>
      </c>
      <c r="C96" s="15">
        <v>45869.19097222222</v>
      </c>
      <c r="D96" s="12" t="s">
        <v>611</v>
      </c>
      <c r="E96" s="12" t="s">
        <v>595</v>
      </c>
      <c r="F96" s="12" t="s">
        <v>211</v>
      </c>
      <c r="G96" s="12" t="str">
        <f>IFERROR(__xludf.DUMMYFUNCTION("IF(SPLIT(F96,""-"")=""HR"",""High"",""Low"")"),"High")</f>
        <v>High</v>
      </c>
      <c r="H96" s="12" t="str">
        <f>IFERROR(__xludf.DUMMYFUNCTION("INDEX(SPLIT(F96, ""-""), 2)"),"Web")</f>
        <v>Web</v>
      </c>
      <c r="I96" s="12">
        <v>3.0</v>
      </c>
      <c r="J96" s="12">
        <v>5.0</v>
      </c>
      <c r="K96" s="12">
        <v>6.0</v>
      </c>
      <c r="L96" s="12" t="s">
        <v>199</v>
      </c>
      <c r="M96" s="12">
        <v>6.0</v>
      </c>
      <c r="N96" s="12">
        <v>6.0</v>
      </c>
      <c r="O96" s="12">
        <v>6.0</v>
      </c>
      <c r="P96" s="12">
        <v>6.0</v>
      </c>
      <c r="Q96" s="12">
        <v>6.0</v>
      </c>
      <c r="R96" s="12">
        <v>6.0</v>
      </c>
      <c r="S96" s="12">
        <v>6.0</v>
      </c>
      <c r="T96" s="12">
        <v>6.0</v>
      </c>
      <c r="U96" s="12">
        <v>6.0</v>
      </c>
      <c r="V96" s="12">
        <v>3.0</v>
      </c>
      <c r="W96" s="12">
        <v>6.0</v>
      </c>
      <c r="X96" s="12">
        <v>5.0</v>
      </c>
      <c r="Y96" s="12">
        <f t="shared" si="1"/>
        <v>3</v>
      </c>
      <c r="Z96" s="12" t="s">
        <v>413</v>
      </c>
      <c r="AA96" s="12" t="s">
        <v>206</v>
      </c>
      <c r="AB96" s="12">
        <v>6.0</v>
      </c>
      <c r="AC96" s="12">
        <v>6.0</v>
      </c>
      <c r="AD96" s="12">
        <v>6.0</v>
      </c>
      <c r="AE96" s="12">
        <v>6.0</v>
      </c>
      <c r="AF96" s="12">
        <v>6.0</v>
      </c>
      <c r="AG96" s="12">
        <v>6.0</v>
      </c>
      <c r="AH96" s="12" t="s">
        <v>413</v>
      </c>
      <c r="AI96" s="12" t="s">
        <v>206</v>
      </c>
      <c r="AJ96" s="12">
        <v>6.0</v>
      </c>
      <c r="AK96" s="12">
        <v>6.0</v>
      </c>
      <c r="AL96" s="12">
        <v>5.0</v>
      </c>
      <c r="AM96" s="12">
        <v>2.0</v>
      </c>
      <c r="AN96" s="12">
        <f t="shared" si="2"/>
        <v>6</v>
      </c>
      <c r="AO96" s="12">
        <v>2.0</v>
      </c>
      <c r="AP96" s="12">
        <f t="shared" si="3"/>
        <v>6</v>
      </c>
      <c r="AQ96" s="12">
        <v>2.0</v>
      </c>
      <c r="AR96" s="12">
        <f t="shared" si="4"/>
        <v>6</v>
      </c>
      <c r="AS96" s="12">
        <v>2.0</v>
      </c>
      <c r="AT96" s="12">
        <f t="shared" si="5"/>
        <v>6</v>
      </c>
      <c r="AU96" s="12" t="s">
        <v>413</v>
      </c>
    </row>
    <row r="97">
      <c r="A97" s="14">
        <f>IFERROR(__xludf.DUMMYFUNCTION("IF(E97="""", """", VALUE(REGEXREPLACE(E97, ""^[Pp]"", """")))"),25.0)</f>
        <v>25</v>
      </c>
      <c r="B97" s="14">
        <v>417.0</v>
      </c>
      <c r="C97" s="15">
        <v>45869.21388888889</v>
      </c>
      <c r="D97" s="12" t="s">
        <v>628</v>
      </c>
      <c r="E97" s="12" t="s">
        <v>595</v>
      </c>
      <c r="F97" s="12" t="s">
        <v>197</v>
      </c>
      <c r="G97" s="12" t="str">
        <f>IFERROR(__xludf.DUMMYFUNCTION("IF(SPLIT(F97,""-"")=""HR"",""High"",""Low"")"),"High")</f>
        <v>High</v>
      </c>
      <c r="H97" s="12" t="str">
        <f>IFERROR(__xludf.DUMMYFUNCTION("INDEX(SPLIT(F97, ""-""), 2)"),"VR")</f>
        <v>VR</v>
      </c>
      <c r="I97" s="12">
        <v>4.0</v>
      </c>
      <c r="J97" s="12">
        <v>6.0</v>
      </c>
      <c r="K97" s="12">
        <v>6.0</v>
      </c>
      <c r="L97" s="12" t="s">
        <v>199</v>
      </c>
      <c r="M97" s="12">
        <v>5.0</v>
      </c>
      <c r="N97" s="12">
        <v>5.0</v>
      </c>
      <c r="O97" s="12">
        <v>3.0</v>
      </c>
      <c r="P97" s="12">
        <v>6.0</v>
      </c>
      <c r="Q97" s="12">
        <v>6.0</v>
      </c>
      <c r="R97" s="12">
        <v>6.0</v>
      </c>
      <c r="S97" s="12">
        <v>3.0</v>
      </c>
      <c r="T97" s="12">
        <v>6.0</v>
      </c>
      <c r="U97" s="12">
        <v>6.0</v>
      </c>
      <c r="V97" s="12">
        <v>3.0</v>
      </c>
      <c r="W97" s="12">
        <v>5.0</v>
      </c>
      <c r="X97" s="12">
        <v>3.0</v>
      </c>
      <c r="Y97" s="12">
        <f t="shared" si="1"/>
        <v>5</v>
      </c>
      <c r="Z97" s="12" t="s">
        <v>413</v>
      </c>
      <c r="AA97" s="12" t="s">
        <v>206</v>
      </c>
      <c r="AB97" s="12">
        <v>6.0</v>
      </c>
      <c r="AC97" s="12">
        <v>6.0</v>
      </c>
      <c r="AD97" s="12">
        <v>6.0</v>
      </c>
      <c r="AE97" s="12">
        <v>6.0</v>
      </c>
      <c r="AF97" s="12">
        <v>6.0</v>
      </c>
      <c r="AG97" s="12">
        <v>6.0</v>
      </c>
      <c r="AH97" s="12" t="s">
        <v>413</v>
      </c>
      <c r="AI97" s="12" t="s">
        <v>206</v>
      </c>
      <c r="AJ97" s="12">
        <v>6.0</v>
      </c>
      <c r="AK97" s="12">
        <v>5.0</v>
      </c>
      <c r="AL97" s="12">
        <v>5.0</v>
      </c>
      <c r="AM97" s="12">
        <v>3.0</v>
      </c>
      <c r="AN97" s="12">
        <f t="shared" si="2"/>
        <v>5</v>
      </c>
      <c r="AO97" s="12">
        <v>3.0</v>
      </c>
      <c r="AP97" s="12">
        <f t="shared" si="3"/>
        <v>5</v>
      </c>
      <c r="AQ97" s="12">
        <v>5.0</v>
      </c>
      <c r="AR97" s="12">
        <f t="shared" si="4"/>
        <v>3</v>
      </c>
      <c r="AS97" s="12">
        <v>4.0</v>
      </c>
      <c r="AT97" s="12">
        <f t="shared" si="5"/>
        <v>4</v>
      </c>
      <c r="AU97" s="12" t="s">
        <v>413</v>
      </c>
    </row>
    <row r="98">
      <c r="A98" s="14">
        <f>IFERROR(__xludf.DUMMYFUNCTION("IF(E98="""", """", VALUE(REGEXREPLACE(E98, ""^[Pp]"", """")))"),26.0)</f>
        <v>26</v>
      </c>
      <c r="B98" s="14">
        <v>1215.0</v>
      </c>
      <c r="C98" s="15">
        <v>45869.18402777778</v>
      </c>
      <c r="D98" s="12" t="s">
        <v>601</v>
      </c>
      <c r="E98" s="12" t="s">
        <v>602</v>
      </c>
      <c r="F98" s="12" t="s">
        <v>197</v>
      </c>
      <c r="G98" s="12" t="str">
        <f>IFERROR(__xludf.DUMMYFUNCTION("IF(SPLIT(F98,""-"")=""HR"",""High"",""Low"")"),"High")</f>
        <v>High</v>
      </c>
      <c r="H98" s="12" t="str">
        <f>IFERROR(__xludf.DUMMYFUNCTION("INDEX(SPLIT(F98, ""-""), 2)"),"VR")</f>
        <v>VR</v>
      </c>
      <c r="I98" s="12">
        <v>1.0</v>
      </c>
      <c r="J98" s="12">
        <v>6.0</v>
      </c>
      <c r="K98" s="12">
        <v>5.0</v>
      </c>
      <c r="L98" s="12" t="s">
        <v>199</v>
      </c>
      <c r="M98" s="12">
        <v>6.0</v>
      </c>
      <c r="N98" s="12">
        <v>6.0</v>
      </c>
      <c r="O98" s="12">
        <v>7.0</v>
      </c>
      <c r="P98" s="12">
        <v>5.0</v>
      </c>
      <c r="Q98" s="12">
        <v>5.0</v>
      </c>
      <c r="R98" s="12">
        <v>6.0</v>
      </c>
      <c r="S98" s="12">
        <v>6.0</v>
      </c>
      <c r="T98" s="12">
        <v>7.0</v>
      </c>
      <c r="U98" s="12">
        <v>5.0</v>
      </c>
      <c r="V98" s="12">
        <v>6.0</v>
      </c>
      <c r="W98" s="12">
        <v>6.0</v>
      </c>
      <c r="X98" s="12">
        <v>5.0</v>
      </c>
      <c r="Y98" s="12">
        <f t="shared" si="1"/>
        <v>3</v>
      </c>
      <c r="Z98" s="12" t="s">
        <v>603</v>
      </c>
      <c r="AA98" s="12" t="s">
        <v>206</v>
      </c>
      <c r="AB98" s="12">
        <v>6.0</v>
      </c>
      <c r="AC98" s="12">
        <v>6.0</v>
      </c>
      <c r="AD98" s="12">
        <v>6.0</v>
      </c>
      <c r="AE98" s="12">
        <v>7.0</v>
      </c>
      <c r="AF98" s="12">
        <v>6.0</v>
      </c>
      <c r="AG98" s="12">
        <v>6.0</v>
      </c>
      <c r="AH98" s="12" t="s">
        <v>604</v>
      </c>
      <c r="AI98" s="12" t="s">
        <v>206</v>
      </c>
      <c r="AJ98" s="12">
        <v>6.0</v>
      </c>
      <c r="AK98" s="12">
        <v>6.0</v>
      </c>
      <c r="AL98" s="12">
        <v>7.0</v>
      </c>
      <c r="AM98" s="12">
        <v>1.0</v>
      </c>
      <c r="AN98" s="12">
        <f t="shared" si="2"/>
        <v>7</v>
      </c>
      <c r="AO98" s="12">
        <v>1.0</v>
      </c>
      <c r="AP98" s="12">
        <f t="shared" si="3"/>
        <v>7</v>
      </c>
      <c r="AQ98" s="12">
        <v>1.0</v>
      </c>
      <c r="AR98" s="12">
        <f t="shared" si="4"/>
        <v>7</v>
      </c>
      <c r="AS98" s="12">
        <v>1.0</v>
      </c>
      <c r="AT98" s="12">
        <f t="shared" si="5"/>
        <v>7</v>
      </c>
      <c r="AU98" s="12" t="s">
        <v>605</v>
      </c>
    </row>
    <row r="99">
      <c r="A99" s="14">
        <f>IFERROR(__xludf.DUMMYFUNCTION("IF(E99="""", """", VALUE(REGEXREPLACE(E99, ""^[Pp]"", """")))"),26.0)</f>
        <v>26</v>
      </c>
      <c r="B99" s="14">
        <v>1307.0</v>
      </c>
      <c r="C99" s="15">
        <v>45869.20347222222</v>
      </c>
      <c r="D99" s="12" t="s">
        <v>616</v>
      </c>
      <c r="E99" s="12" t="s">
        <v>602</v>
      </c>
      <c r="F99" s="12" t="s">
        <v>211</v>
      </c>
      <c r="G99" s="12" t="str">
        <f>IFERROR(__xludf.DUMMYFUNCTION("IF(SPLIT(F99,""-"")=""HR"",""High"",""Low"")"),"High")</f>
        <v>High</v>
      </c>
      <c r="H99" s="12" t="str">
        <f>IFERROR(__xludf.DUMMYFUNCTION("INDEX(SPLIT(F99, ""-""), 2)"),"Web")</f>
        <v>Web</v>
      </c>
      <c r="I99" s="12">
        <v>2.0</v>
      </c>
      <c r="J99" s="12">
        <v>3.0</v>
      </c>
      <c r="K99" s="12">
        <v>3.0</v>
      </c>
      <c r="L99" s="12" t="s">
        <v>199</v>
      </c>
      <c r="M99" s="12">
        <v>6.0</v>
      </c>
      <c r="N99" s="12">
        <v>5.0</v>
      </c>
      <c r="O99" s="12">
        <v>3.0</v>
      </c>
      <c r="P99" s="12">
        <v>3.0</v>
      </c>
      <c r="Q99" s="12">
        <v>3.0</v>
      </c>
      <c r="R99" s="12">
        <v>5.0</v>
      </c>
      <c r="S99" s="12">
        <v>5.0</v>
      </c>
      <c r="T99" s="12">
        <v>6.0</v>
      </c>
      <c r="U99" s="12">
        <v>3.0</v>
      </c>
      <c r="V99" s="12">
        <v>3.0</v>
      </c>
      <c r="W99" s="12">
        <v>5.0</v>
      </c>
      <c r="X99" s="12">
        <v>6.0</v>
      </c>
      <c r="Y99" s="12">
        <f t="shared" si="1"/>
        <v>2</v>
      </c>
      <c r="Z99" s="12" t="s">
        <v>617</v>
      </c>
      <c r="AA99" s="12" t="s">
        <v>206</v>
      </c>
      <c r="AB99" s="12">
        <v>6.0</v>
      </c>
      <c r="AC99" s="12">
        <v>5.0</v>
      </c>
      <c r="AD99" s="12">
        <v>3.0</v>
      </c>
      <c r="AE99" s="12">
        <v>3.0</v>
      </c>
      <c r="AF99" s="12">
        <v>3.0</v>
      </c>
      <c r="AG99" s="12">
        <v>3.0</v>
      </c>
      <c r="AH99" s="12" t="s">
        <v>618</v>
      </c>
      <c r="AI99" s="12" t="s">
        <v>206</v>
      </c>
      <c r="AJ99" s="12">
        <v>5.0</v>
      </c>
      <c r="AK99" s="12">
        <v>6.0</v>
      </c>
      <c r="AL99" s="12">
        <v>5.0</v>
      </c>
      <c r="AM99" s="12">
        <v>1.0</v>
      </c>
      <c r="AN99" s="12">
        <f t="shared" si="2"/>
        <v>7</v>
      </c>
      <c r="AO99" s="12">
        <v>1.0</v>
      </c>
      <c r="AP99" s="12">
        <f t="shared" si="3"/>
        <v>7</v>
      </c>
      <c r="AQ99" s="12">
        <v>1.0</v>
      </c>
      <c r="AR99" s="12">
        <f t="shared" si="4"/>
        <v>7</v>
      </c>
      <c r="AS99" s="12">
        <v>1.0</v>
      </c>
      <c r="AT99" s="12">
        <f t="shared" si="5"/>
        <v>7</v>
      </c>
      <c r="AU99" s="12" t="s">
        <v>619</v>
      </c>
    </row>
    <row r="100">
      <c r="A100" s="14">
        <f>IFERROR(__xludf.DUMMYFUNCTION("IF(E100="""", """", VALUE(REGEXREPLACE(E100, ""^[Pp]"", """")))"),26.0)</f>
        <v>26</v>
      </c>
      <c r="B100" s="14">
        <v>1053.0</v>
      </c>
      <c r="C100" s="15">
        <v>45869.217361111114</v>
      </c>
      <c r="D100" s="12" t="s">
        <v>629</v>
      </c>
      <c r="E100" s="12" t="s">
        <v>602</v>
      </c>
      <c r="F100" s="12" t="s">
        <v>216</v>
      </c>
      <c r="G100" s="12" t="str">
        <f>IFERROR(__xludf.DUMMYFUNCTION("IF(SPLIT(F100,""-"")=""HR"",""High"",""Low"")"),"Low")</f>
        <v>Low</v>
      </c>
      <c r="H100" s="12" t="str">
        <f>IFERROR(__xludf.DUMMYFUNCTION("INDEX(SPLIT(F100, ""-""), 2)"),"Web")</f>
        <v>Web</v>
      </c>
      <c r="I100" s="12">
        <v>3.0</v>
      </c>
      <c r="J100" s="12">
        <v>3.0</v>
      </c>
      <c r="K100" s="12">
        <v>2.0</v>
      </c>
      <c r="L100" s="12" t="s">
        <v>199</v>
      </c>
      <c r="M100" s="12">
        <v>6.0</v>
      </c>
      <c r="N100" s="12">
        <v>5.0</v>
      </c>
      <c r="O100" s="12">
        <v>2.0</v>
      </c>
      <c r="P100" s="12">
        <v>2.0</v>
      </c>
      <c r="Q100" s="12">
        <v>5.0</v>
      </c>
      <c r="R100" s="12">
        <v>5.0</v>
      </c>
      <c r="S100" s="12">
        <v>5.0</v>
      </c>
      <c r="T100" s="12">
        <v>6.0</v>
      </c>
      <c r="U100" s="12">
        <v>2.0</v>
      </c>
      <c r="V100" s="12">
        <v>2.0</v>
      </c>
      <c r="W100" s="12">
        <v>3.0</v>
      </c>
      <c r="X100" s="12">
        <v>6.0</v>
      </c>
      <c r="Y100" s="12">
        <f t="shared" si="1"/>
        <v>2</v>
      </c>
      <c r="Z100" s="12" t="s">
        <v>630</v>
      </c>
      <c r="AA100" s="12" t="s">
        <v>206</v>
      </c>
      <c r="AB100" s="12">
        <v>5.0</v>
      </c>
      <c r="AC100" s="12">
        <v>3.0</v>
      </c>
      <c r="AD100" s="12">
        <v>3.0</v>
      </c>
      <c r="AE100" s="12">
        <v>2.0</v>
      </c>
      <c r="AF100" s="12">
        <v>2.0</v>
      </c>
      <c r="AG100" s="12">
        <v>2.0</v>
      </c>
      <c r="AH100" s="12" t="s">
        <v>631</v>
      </c>
      <c r="AI100" s="12" t="s">
        <v>206</v>
      </c>
      <c r="AJ100" s="12">
        <v>5.0</v>
      </c>
      <c r="AK100" s="12">
        <v>6.0</v>
      </c>
      <c r="AL100" s="12">
        <v>3.0</v>
      </c>
      <c r="AM100" s="12">
        <v>1.0</v>
      </c>
      <c r="AN100" s="12">
        <f t="shared" si="2"/>
        <v>7</v>
      </c>
      <c r="AO100" s="12">
        <v>1.0</v>
      </c>
      <c r="AP100" s="12">
        <f t="shared" si="3"/>
        <v>7</v>
      </c>
      <c r="AQ100" s="12">
        <v>1.0</v>
      </c>
      <c r="AR100" s="12">
        <f t="shared" si="4"/>
        <v>7</v>
      </c>
      <c r="AS100" s="12">
        <v>1.0</v>
      </c>
      <c r="AT100" s="12">
        <f t="shared" si="5"/>
        <v>7</v>
      </c>
      <c r="AU100" s="12" t="s">
        <v>632</v>
      </c>
    </row>
    <row r="101">
      <c r="A101" s="14">
        <f>IFERROR(__xludf.DUMMYFUNCTION("IF(E101="""", """", VALUE(REGEXREPLACE(E101, ""^[Pp]"", """")))"),26.0)</f>
        <v>26</v>
      </c>
      <c r="B101" s="14">
        <v>824.0</v>
      </c>
      <c r="C101" s="15">
        <v>45869.23263888889</v>
      </c>
      <c r="D101" s="12" t="s">
        <v>646</v>
      </c>
      <c r="E101" s="12" t="s">
        <v>602</v>
      </c>
      <c r="F101" s="12" t="s">
        <v>263</v>
      </c>
      <c r="G101" s="12" t="str">
        <f>IFERROR(__xludf.DUMMYFUNCTION("IF(SPLIT(F101,""-"")=""HR"",""High"",""Low"")"),"Low")</f>
        <v>Low</v>
      </c>
      <c r="H101" s="12" t="str">
        <f>IFERROR(__xludf.DUMMYFUNCTION("INDEX(SPLIT(F101, ""-""), 2)"),"VR")</f>
        <v>VR</v>
      </c>
      <c r="I101" s="12">
        <v>4.0</v>
      </c>
      <c r="J101" s="12">
        <v>6.0</v>
      </c>
      <c r="K101" s="12">
        <v>5.0</v>
      </c>
      <c r="L101" s="12" t="s">
        <v>199</v>
      </c>
      <c r="M101" s="12">
        <v>6.0</v>
      </c>
      <c r="N101" s="12">
        <v>5.0</v>
      </c>
      <c r="O101" s="12">
        <v>6.0</v>
      </c>
      <c r="P101" s="12">
        <v>2.0</v>
      </c>
      <c r="Q101" s="12">
        <v>3.0</v>
      </c>
      <c r="R101" s="12">
        <v>5.0</v>
      </c>
      <c r="S101" s="12">
        <v>5.0</v>
      </c>
      <c r="T101" s="12">
        <v>6.0</v>
      </c>
      <c r="U101" s="12">
        <v>2.0</v>
      </c>
      <c r="V101" s="12">
        <v>5.0</v>
      </c>
      <c r="W101" s="12">
        <v>5.0</v>
      </c>
      <c r="X101" s="12">
        <v>6.0</v>
      </c>
      <c r="Y101" s="12">
        <f t="shared" si="1"/>
        <v>2</v>
      </c>
      <c r="Z101" s="12" t="s">
        <v>647</v>
      </c>
      <c r="AA101" s="12" t="s">
        <v>206</v>
      </c>
      <c r="AB101" s="12">
        <v>6.0</v>
      </c>
      <c r="AC101" s="12">
        <v>6.0</v>
      </c>
      <c r="AD101" s="12">
        <v>6.0</v>
      </c>
      <c r="AE101" s="12">
        <v>5.0</v>
      </c>
      <c r="AF101" s="12">
        <v>6.0</v>
      </c>
      <c r="AG101" s="12">
        <v>6.0</v>
      </c>
      <c r="AH101" s="12" t="s">
        <v>648</v>
      </c>
      <c r="AI101" s="12" t="s">
        <v>206</v>
      </c>
      <c r="AJ101" s="12">
        <v>6.0</v>
      </c>
      <c r="AK101" s="12">
        <v>6.0</v>
      </c>
      <c r="AL101" s="12">
        <v>6.0</v>
      </c>
      <c r="AM101" s="12">
        <v>1.0</v>
      </c>
      <c r="AN101" s="12">
        <f t="shared" si="2"/>
        <v>7</v>
      </c>
      <c r="AO101" s="12">
        <v>1.0</v>
      </c>
      <c r="AP101" s="12">
        <f t="shared" si="3"/>
        <v>7</v>
      </c>
      <c r="AQ101" s="12">
        <v>1.0</v>
      </c>
      <c r="AR101" s="12">
        <f t="shared" si="4"/>
        <v>7</v>
      </c>
      <c r="AS101" s="12">
        <v>1.0</v>
      </c>
      <c r="AT101" s="12">
        <f t="shared" si="5"/>
        <v>7</v>
      </c>
      <c r="AU101" s="12" t="s">
        <v>649</v>
      </c>
    </row>
    <row r="102">
      <c r="A102" s="14">
        <f>IFERROR(__xludf.DUMMYFUNCTION("IF(E102="""", """", VALUE(REGEXREPLACE(E102, ""^[Pp]"", """")))"),27.0)</f>
        <v>27</v>
      </c>
      <c r="B102" s="14">
        <v>973.0</v>
      </c>
      <c r="C102" s="15">
        <v>45869.18819444445</v>
      </c>
      <c r="D102" s="12" t="s">
        <v>606</v>
      </c>
      <c r="E102" s="12" t="s">
        <v>607</v>
      </c>
      <c r="F102" s="12" t="s">
        <v>211</v>
      </c>
      <c r="G102" s="12" t="str">
        <f>IFERROR(__xludf.DUMMYFUNCTION("IF(SPLIT(F102,""-"")=""HR"",""High"",""Low"")"),"High")</f>
        <v>High</v>
      </c>
      <c r="H102" s="12" t="str">
        <f>IFERROR(__xludf.DUMMYFUNCTION("INDEX(SPLIT(F102, ""-""), 2)"),"Web")</f>
        <v>Web</v>
      </c>
      <c r="I102" s="12">
        <v>1.0</v>
      </c>
      <c r="J102" s="12">
        <v>2.0</v>
      </c>
      <c r="K102" s="12">
        <v>1.0</v>
      </c>
      <c r="L102" s="12" t="s">
        <v>199</v>
      </c>
      <c r="M102" s="12">
        <v>1.0</v>
      </c>
      <c r="N102" s="12">
        <v>1.0</v>
      </c>
      <c r="O102" s="12">
        <v>1.0</v>
      </c>
      <c r="P102" s="12">
        <v>2.0</v>
      </c>
      <c r="Q102" s="12">
        <v>1.0</v>
      </c>
      <c r="R102" s="12">
        <v>5.0</v>
      </c>
      <c r="S102" s="12">
        <v>4.0</v>
      </c>
      <c r="T102" s="12">
        <v>3.0</v>
      </c>
      <c r="U102" s="12">
        <v>1.0</v>
      </c>
      <c r="V102" s="12">
        <v>1.0</v>
      </c>
      <c r="W102" s="12">
        <v>1.0</v>
      </c>
      <c r="X102" s="12">
        <v>7.0</v>
      </c>
      <c r="Y102" s="12">
        <f t="shared" si="1"/>
        <v>1</v>
      </c>
      <c r="Z102" s="12" t="s">
        <v>608</v>
      </c>
      <c r="AA102" s="12" t="s">
        <v>206</v>
      </c>
      <c r="AB102" s="12">
        <v>2.0</v>
      </c>
      <c r="AC102" s="12">
        <v>4.0</v>
      </c>
      <c r="AD102" s="12">
        <v>2.0</v>
      </c>
      <c r="AE102" s="12">
        <v>6.0</v>
      </c>
      <c r="AF102" s="12">
        <v>6.0</v>
      </c>
      <c r="AG102" s="12">
        <v>4.0</v>
      </c>
      <c r="AH102" s="12" t="s">
        <v>609</v>
      </c>
      <c r="AI102" s="12" t="s">
        <v>206</v>
      </c>
      <c r="AJ102" s="12">
        <v>1.0</v>
      </c>
      <c r="AK102" s="12">
        <v>5.0</v>
      </c>
      <c r="AL102" s="12">
        <v>6.0</v>
      </c>
      <c r="AM102" s="12">
        <v>1.0</v>
      </c>
      <c r="AN102" s="12">
        <f t="shared" si="2"/>
        <v>7</v>
      </c>
      <c r="AO102" s="12">
        <v>1.0</v>
      </c>
      <c r="AP102" s="12">
        <f t="shared" si="3"/>
        <v>7</v>
      </c>
      <c r="AQ102" s="12">
        <v>2.0</v>
      </c>
      <c r="AR102" s="12">
        <f t="shared" si="4"/>
        <v>6</v>
      </c>
      <c r="AS102" s="12">
        <v>1.0</v>
      </c>
      <c r="AT102" s="12">
        <f t="shared" si="5"/>
        <v>7</v>
      </c>
      <c r="AU102" s="12" t="s">
        <v>610</v>
      </c>
    </row>
    <row r="103">
      <c r="A103" s="14">
        <f>IFERROR(__xludf.DUMMYFUNCTION("IF(E103="""", """", VALUE(REGEXREPLACE(E103, ""^[Pp]"", """")))"),27.0)</f>
        <v>27</v>
      </c>
      <c r="B103" s="14">
        <v>726.0</v>
      </c>
      <c r="C103" s="15">
        <v>45869.20763888889</v>
      </c>
      <c r="D103" s="12" t="s">
        <v>624</v>
      </c>
      <c r="E103" s="12" t="s">
        <v>607</v>
      </c>
      <c r="F103" s="12" t="s">
        <v>263</v>
      </c>
      <c r="G103" s="12" t="str">
        <f>IFERROR(__xludf.DUMMYFUNCTION("IF(SPLIT(F103,""-"")=""HR"",""High"",""Low"")"),"Low")</f>
        <v>Low</v>
      </c>
      <c r="H103" s="12" t="str">
        <f>IFERROR(__xludf.DUMMYFUNCTION("INDEX(SPLIT(F103, ""-""), 2)"),"VR")</f>
        <v>VR</v>
      </c>
      <c r="I103" s="12">
        <v>2.0</v>
      </c>
      <c r="J103" s="12">
        <v>5.0</v>
      </c>
      <c r="K103" s="12">
        <v>5.0</v>
      </c>
      <c r="L103" s="12" t="s">
        <v>199</v>
      </c>
      <c r="M103" s="12">
        <v>2.0</v>
      </c>
      <c r="N103" s="12">
        <v>5.0</v>
      </c>
      <c r="O103" s="12">
        <v>4.0</v>
      </c>
      <c r="P103" s="12">
        <v>5.0</v>
      </c>
      <c r="Q103" s="12">
        <v>5.0</v>
      </c>
      <c r="R103" s="12">
        <v>5.0</v>
      </c>
      <c r="S103" s="12">
        <v>5.0</v>
      </c>
      <c r="T103" s="12">
        <v>2.0</v>
      </c>
      <c r="U103" s="12">
        <v>5.0</v>
      </c>
      <c r="V103" s="12">
        <v>5.0</v>
      </c>
      <c r="W103" s="12">
        <v>5.0</v>
      </c>
      <c r="X103" s="12">
        <v>7.0</v>
      </c>
      <c r="Y103" s="12">
        <f t="shared" si="1"/>
        <v>1</v>
      </c>
      <c r="Z103" s="12" t="s">
        <v>625</v>
      </c>
      <c r="AA103" s="12" t="s">
        <v>206</v>
      </c>
      <c r="AB103" s="12">
        <v>3.0</v>
      </c>
      <c r="AC103" s="12">
        <v>5.0</v>
      </c>
      <c r="AD103" s="12">
        <v>3.0</v>
      </c>
      <c r="AE103" s="12">
        <v>7.0</v>
      </c>
      <c r="AF103" s="12">
        <v>6.0</v>
      </c>
      <c r="AG103" s="12">
        <v>6.0</v>
      </c>
      <c r="AH103" s="12" t="s">
        <v>626</v>
      </c>
      <c r="AI103" s="12" t="s">
        <v>206</v>
      </c>
      <c r="AJ103" s="12">
        <v>5.0</v>
      </c>
      <c r="AK103" s="12">
        <v>5.0</v>
      </c>
      <c r="AL103" s="12">
        <v>2.0</v>
      </c>
      <c r="AM103" s="12">
        <v>6.0</v>
      </c>
      <c r="AN103" s="12">
        <f t="shared" si="2"/>
        <v>2</v>
      </c>
      <c r="AO103" s="12">
        <v>2.0</v>
      </c>
      <c r="AP103" s="12">
        <f t="shared" si="3"/>
        <v>6</v>
      </c>
      <c r="AQ103" s="12">
        <v>7.0</v>
      </c>
      <c r="AR103" s="12">
        <f t="shared" si="4"/>
        <v>1</v>
      </c>
      <c r="AS103" s="12">
        <v>3.0</v>
      </c>
      <c r="AT103" s="12">
        <f t="shared" si="5"/>
        <v>5</v>
      </c>
      <c r="AU103" s="12" t="s">
        <v>627</v>
      </c>
    </row>
    <row r="104">
      <c r="A104" s="14">
        <f>IFERROR(__xludf.DUMMYFUNCTION("IF(E104="""", """", VALUE(REGEXREPLACE(E104, ""^[Pp]"", """")))"),27.0)</f>
        <v>27</v>
      </c>
      <c r="B104" s="14">
        <v>494.0</v>
      </c>
      <c r="C104" s="15">
        <v>45869.22083333333</v>
      </c>
      <c r="D104" s="12" t="s">
        <v>638</v>
      </c>
      <c r="E104" s="12" t="s">
        <v>607</v>
      </c>
      <c r="F104" s="12" t="s">
        <v>197</v>
      </c>
      <c r="G104" s="12" t="str">
        <f>IFERROR(__xludf.DUMMYFUNCTION("IF(SPLIT(F104,""-"")=""HR"",""High"",""Low"")"),"High")</f>
        <v>High</v>
      </c>
      <c r="H104" s="12" t="str">
        <f>IFERROR(__xludf.DUMMYFUNCTION("INDEX(SPLIT(F104, ""-""), 2)"),"VR")</f>
        <v>VR</v>
      </c>
      <c r="I104" s="12">
        <v>3.0</v>
      </c>
      <c r="J104" s="12">
        <v>4.0</v>
      </c>
      <c r="K104" s="12">
        <v>1.0</v>
      </c>
      <c r="L104" s="12" t="s">
        <v>199</v>
      </c>
      <c r="M104" s="12">
        <v>1.0</v>
      </c>
      <c r="N104" s="12">
        <v>1.0</v>
      </c>
      <c r="O104" s="12">
        <v>1.0</v>
      </c>
      <c r="P104" s="12">
        <v>4.0</v>
      </c>
      <c r="Q104" s="12">
        <v>1.0</v>
      </c>
      <c r="R104" s="12">
        <v>4.0</v>
      </c>
      <c r="S104" s="12">
        <v>1.0</v>
      </c>
      <c r="T104" s="12">
        <v>1.0</v>
      </c>
      <c r="U104" s="12">
        <v>4.0</v>
      </c>
      <c r="V104" s="12">
        <v>1.0</v>
      </c>
      <c r="W104" s="12">
        <v>1.0</v>
      </c>
      <c r="X104" s="12">
        <v>1.0</v>
      </c>
      <c r="Y104" s="12">
        <f t="shared" si="1"/>
        <v>7</v>
      </c>
      <c r="Z104" s="12" t="s">
        <v>639</v>
      </c>
      <c r="AA104" s="12" t="s">
        <v>206</v>
      </c>
      <c r="AB104" s="12">
        <v>1.0</v>
      </c>
      <c r="AC104" s="12">
        <v>1.0</v>
      </c>
      <c r="AD104" s="12">
        <v>1.0</v>
      </c>
      <c r="AE104" s="12">
        <v>4.0</v>
      </c>
      <c r="AF104" s="12">
        <v>5.0</v>
      </c>
      <c r="AG104" s="12">
        <v>1.0</v>
      </c>
      <c r="AH104" s="12" t="s">
        <v>640</v>
      </c>
      <c r="AI104" s="12" t="s">
        <v>206</v>
      </c>
      <c r="AJ104" s="12">
        <v>1.0</v>
      </c>
      <c r="AK104" s="12">
        <v>1.0</v>
      </c>
      <c r="AL104" s="12">
        <v>1.0</v>
      </c>
      <c r="AM104" s="12">
        <v>5.0</v>
      </c>
      <c r="AN104" s="12">
        <f t="shared" si="2"/>
        <v>3</v>
      </c>
      <c r="AO104" s="12">
        <v>4.0</v>
      </c>
      <c r="AP104" s="12">
        <f t="shared" si="3"/>
        <v>4</v>
      </c>
      <c r="AQ104" s="12">
        <v>7.0</v>
      </c>
      <c r="AR104" s="12">
        <f t="shared" si="4"/>
        <v>1</v>
      </c>
      <c r="AS104" s="12">
        <v>5.0</v>
      </c>
      <c r="AT104" s="12">
        <f t="shared" si="5"/>
        <v>3</v>
      </c>
      <c r="AU104" s="16" t="s">
        <v>641</v>
      </c>
    </row>
    <row r="105">
      <c r="A105" s="14">
        <f>IFERROR(__xludf.DUMMYFUNCTION("IF(E105="""", """", VALUE(REGEXREPLACE(E105, ""^[Pp]"", """")))"),27.0)</f>
        <v>27</v>
      </c>
      <c r="B105" s="14">
        <v>567.0</v>
      </c>
      <c r="C105" s="15">
        <v>45869.23402777778</v>
      </c>
      <c r="D105" s="12" t="s">
        <v>650</v>
      </c>
      <c r="E105" s="12" t="s">
        <v>607</v>
      </c>
      <c r="F105" s="12" t="s">
        <v>216</v>
      </c>
      <c r="G105" s="12" t="str">
        <f>IFERROR(__xludf.DUMMYFUNCTION("IF(SPLIT(F105,""-"")=""HR"",""High"",""Low"")"),"Low")</f>
        <v>Low</v>
      </c>
      <c r="H105" s="12" t="str">
        <f>IFERROR(__xludf.DUMMYFUNCTION("INDEX(SPLIT(F105, ""-""), 2)"),"Web")</f>
        <v>Web</v>
      </c>
      <c r="I105" s="12">
        <v>4.0</v>
      </c>
      <c r="J105" s="12">
        <v>3.0</v>
      </c>
      <c r="K105" s="12">
        <v>2.0</v>
      </c>
      <c r="L105" s="12" t="s">
        <v>199</v>
      </c>
      <c r="M105" s="12">
        <v>4.0</v>
      </c>
      <c r="N105" s="12">
        <v>1.0</v>
      </c>
      <c r="O105" s="12">
        <v>1.0</v>
      </c>
      <c r="P105" s="12">
        <v>2.0</v>
      </c>
      <c r="Q105" s="12">
        <v>2.0</v>
      </c>
      <c r="R105" s="12">
        <v>5.0</v>
      </c>
      <c r="S105" s="12">
        <v>6.0</v>
      </c>
      <c r="T105" s="12">
        <v>1.0</v>
      </c>
      <c r="U105" s="12">
        <v>5.0</v>
      </c>
      <c r="V105" s="12">
        <v>2.0</v>
      </c>
      <c r="W105" s="12">
        <v>2.0</v>
      </c>
      <c r="X105" s="12">
        <v>1.0</v>
      </c>
      <c r="Y105" s="12">
        <f t="shared" si="1"/>
        <v>7</v>
      </c>
      <c r="Z105" s="12" t="s">
        <v>651</v>
      </c>
      <c r="AA105" s="12" t="s">
        <v>206</v>
      </c>
      <c r="AB105" s="12">
        <v>5.0</v>
      </c>
      <c r="AC105" s="12">
        <v>5.0</v>
      </c>
      <c r="AD105" s="12">
        <v>2.0</v>
      </c>
      <c r="AE105" s="12">
        <v>5.0</v>
      </c>
      <c r="AF105" s="12">
        <v>2.0</v>
      </c>
      <c r="AG105" s="12">
        <v>6.0</v>
      </c>
      <c r="AH105" s="12" t="s">
        <v>652</v>
      </c>
      <c r="AI105" s="12" t="s">
        <v>206</v>
      </c>
      <c r="AJ105" s="12">
        <v>2.0</v>
      </c>
      <c r="AK105" s="12">
        <v>3.0</v>
      </c>
      <c r="AL105" s="12">
        <v>1.0</v>
      </c>
      <c r="AM105" s="12">
        <v>1.0</v>
      </c>
      <c r="AN105" s="12">
        <f t="shared" si="2"/>
        <v>7</v>
      </c>
      <c r="AO105" s="12">
        <v>1.0</v>
      </c>
      <c r="AP105" s="12">
        <f t="shared" si="3"/>
        <v>7</v>
      </c>
      <c r="AQ105" s="12">
        <v>2.0</v>
      </c>
      <c r="AR105" s="12">
        <f t="shared" si="4"/>
        <v>6</v>
      </c>
      <c r="AS105" s="12">
        <v>1.0</v>
      </c>
      <c r="AT105" s="12">
        <f t="shared" si="5"/>
        <v>7</v>
      </c>
      <c r="AU105" s="12" t="s">
        <v>653</v>
      </c>
    </row>
    <row r="106">
      <c r="A106" s="14">
        <f>IFERROR(__xludf.DUMMYFUNCTION("IF(E106="""", """", VALUE(REGEXREPLACE(E106, ""^[Pp]"", """")))"),28.0)</f>
        <v>28</v>
      </c>
      <c r="B106" s="14">
        <v>315.0</v>
      </c>
      <c r="C106" s="15">
        <v>45869.21805555555</v>
      </c>
      <c r="D106" s="12" t="s">
        <v>633</v>
      </c>
      <c r="E106" s="12" t="s">
        <v>655</v>
      </c>
      <c r="F106" s="12" t="s">
        <v>216</v>
      </c>
      <c r="G106" s="12" t="str">
        <f>IFERROR(__xludf.DUMMYFUNCTION("IF(SPLIT(F106,""-"")=""HR"",""High"",""Low"")"),"Low")</f>
        <v>Low</v>
      </c>
      <c r="H106" s="12" t="str">
        <f>IFERROR(__xludf.DUMMYFUNCTION("INDEX(SPLIT(F106, ""-""), 2)"),"Web")</f>
        <v>Web</v>
      </c>
      <c r="I106" s="12">
        <v>1.0</v>
      </c>
      <c r="J106" s="12">
        <v>2.0</v>
      </c>
      <c r="K106" s="12">
        <v>1.0</v>
      </c>
      <c r="L106" s="12" t="s">
        <v>199</v>
      </c>
      <c r="M106" s="12">
        <v>4.0</v>
      </c>
      <c r="N106" s="12">
        <v>4.0</v>
      </c>
      <c r="O106" s="12">
        <v>1.0</v>
      </c>
      <c r="P106" s="12">
        <v>1.0</v>
      </c>
      <c r="Q106" s="12">
        <v>1.0</v>
      </c>
      <c r="R106" s="12">
        <v>5.0</v>
      </c>
      <c r="S106" s="12">
        <v>6.0</v>
      </c>
      <c r="T106" s="12">
        <v>6.0</v>
      </c>
      <c r="U106" s="12">
        <v>2.0</v>
      </c>
      <c r="V106" s="12">
        <v>2.0</v>
      </c>
      <c r="W106" s="12">
        <v>4.0</v>
      </c>
      <c r="X106" s="12">
        <v>7.0</v>
      </c>
      <c r="Y106" s="12">
        <f t="shared" si="1"/>
        <v>1</v>
      </c>
      <c r="Z106" s="12" t="s">
        <v>635</v>
      </c>
      <c r="AA106" s="12" t="s">
        <v>206</v>
      </c>
      <c r="AB106" s="12">
        <v>4.0</v>
      </c>
      <c r="AC106" s="12">
        <v>5.0</v>
      </c>
      <c r="AD106" s="12">
        <v>5.0</v>
      </c>
      <c r="AE106" s="12">
        <v>5.0</v>
      </c>
      <c r="AF106" s="12">
        <v>4.0</v>
      </c>
      <c r="AG106" s="12">
        <v>5.0</v>
      </c>
      <c r="AH106" s="12" t="s">
        <v>636</v>
      </c>
      <c r="AI106" s="12" t="s">
        <v>206</v>
      </c>
      <c r="AJ106" s="12">
        <v>6.0</v>
      </c>
      <c r="AK106" s="12">
        <v>6.0</v>
      </c>
      <c r="AL106" s="12">
        <v>6.0</v>
      </c>
      <c r="AM106" s="12">
        <v>5.0</v>
      </c>
      <c r="AN106" s="12">
        <f t="shared" si="2"/>
        <v>3</v>
      </c>
      <c r="AO106" s="12">
        <v>2.0</v>
      </c>
      <c r="AP106" s="12">
        <f t="shared" si="3"/>
        <v>6</v>
      </c>
      <c r="AQ106" s="12">
        <v>3.0</v>
      </c>
      <c r="AR106" s="12">
        <f t="shared" si="4"/>
        <v>5</v>
      </c>
      <c r="AS106" s="12">
        <v>2.0</v>
      </c>
      <c r="AT106" s="12">
        <f t="shared" si="5"/>
        <v>6</v>
      </c>
      <c r="AU106" s="12" t="s">
        <v>637</v>
      </c>
    </row>
    <row r="107">
      <c r="A107" s="14">
        <f>IFERROR(__xludf.DUMMYFUNCTION("IF(E107="""", """", VALUE(REGEXREPLACE(E107, ""^[Pp]"", """")))"),28.0)</f>
        <v>28</v>
      </c>
      <c r="B107" s="14">
        <v>359.0</v>
      </c>
      <c r="C107" s="15">
        <v>45869.22777777778</v>
      </c>
      <c r="D107" s="12" t="s">
        <v>642</v>
      </c>
      <c r="E107" s="12" t="s">
        <v>655</v>
      </c>
      <c r="F107" s="12" t="s">
        <v>211</v>
      </c>
      <c r="G107" s="12" t="str">
        <f>IFERROR(__xludf.DUMMYFUNCTION("IF(SPLIT(F107,""-"")=""HR"",""High"",""Low"")"),"High")</f>
        <v>High</v>
      </c>
      <c r="H107" s="12" t="str">
        <f>IFERROR(__xludf.DUMMYFUNCTION("INDEX(SPLIT(F107, ""-""), 2)"),"Web")</f>
        <v>Web</v>
      </c>
      <c r="I107" s="12">
        <v>2.0</v>
      </c>
      <c r="J107" s="12">
        <v>2.0</v>
      </c>
      <c r="K107" s="12">
        <v>2.0</v>
      </c>
      <c r="L107" s="12" t="s">
        <v>199</v>
      </c>
      <c r="M107" s="12">
        <v>6.0</v>
      </c>
      <c r="N107" s="12">
        <v>6.0</v>
      </c>
      <c r="O107" s="12">
        <v>2.0</v>
      </c>
      <c r="P107" s="12">
        <v>2.0</v>
      </c>
      <c r="Q107" s="12">
        <v>3.0</v>
      </c>
      <c r="R107" s="12">
        <v>6.0</v>
      </c>
      <c r="S107" s="12">
        <v>6.0</v>
      </c>
      <c r="T107" s="12">
        <v>6.0</v>
      </c>
      <c r="U107" s="12">
        <v>2.0</v>
      </c>
      <c r="V107" s="12">
        <v>5.0</v>
      </c>
      <c r="W107" s="12">
        <v>6.0</v>
      </c>
      <c r="X107" s="12">
        <v>6.0</v>
      </c>
      <c r="Y107" s="12">
        <f t="shared" si="1"/>
        <v>2</v>
      </c>
      <c r="Z107" s="12" t="s">
        <v>643</v>
      </c>
      <c r="AA107" s="12" t="s">
        <v>206</v>
      </c>
      <c r="AB107" s="12">
        <v>6.0</v>
      </c>
      <c r="AC107" s="12">
        <v>7.0</v>
      </c>
      <c r="AD107" s="12">
        <v>7.0</v>
      </c>
      <c r="AE107" s="12">
        <v>6.0</v>
      </c>
      <c r="AF107" s="12">
        <v>4.0</v>
      </c>
      <c r="AG107" s="12">
        <v>6.0</v>
      </c>
      <c r="AH107" s="12" t="s">
        <v>644</v>
      </c>
      <c r="AI107" s="12" t="s">
        <v>206</v>
      </c>
      <c r="AJ107" s="12">
        <v>6.0</v>
      </c>
      <c r="AK107" s="12">
        <v>6.0</v>
      </c>
      <c r="AL107" s="12">
        <v>6.0</v>
      </c>
      <c r="AM107" s="12">
        <v>2.0</v>
      </c>
      <c r="AN107" s="12">
        <f t="shared" si="2"/>
        <v>6</v>
      </c>
      <c r="AO107" s="12">
        <v>2.0</v>
      </c>
      <c r="AP107" s="12">
        <f t="shared" si="3"/>
        <v>6</v>
      </c>
      <c r="AQ107" s="12">
        <v>2.0</v>
      </c>
      <c r="AR107" s="12">
        <f t="shared" si="4"/>
        <v>6</v>
      </c>
      <c r="AS107" s="12">
        <v>2.0</v>
      </c>
      <c r="AT107" s="12">
        <f t="shared" si="5"/>
        <v>6</v>
      </c>
      <c r="AU107" s="12" t="s">
        <v>645</v>
      </c>
    </row>
    <row r="108">
      <c r="A108" s="14">
        <f>IFERROR(__xludf.DUMMYFUNCTION("IF(E108="""", """", VALUE(REGEXREPLACE(E108, ""^[Pp]"", """")))"),28.0)</f>
        <v>28</v>
      </c>
      <c r="B108" s="14">
        <v>480.0</v>
      </c>
      <c r="C108" s="15">
        <v>45869.236805555556</v>
      </c>
      <c r="D108" s="12" t="s">
        <v>654</v>
      </c>
      <c r="E108" s="12" t="s">
        <v>655</v>
      </c>
      <c r="F108" s="12" t="s">
        <v>197</v>
      </c>
      <c r="G108" s="12" t="str">
        <f>IFERROR(__xludf.DUMMYFUNCTION("IF(SPLIT(F108,""-"")=""HR"",""High"",""Low"")"),"High")</f>
        <v>High</v>
      </c>
      <c r="H108" s="12" t="str">
        <f>IFERROR(__xludf.DUMMYFUNCTION("INDEX(SPLIT(F108, ""-""), 2)"),"VR")</f>
        <v>VR</v>
      </c>
      <c r="I108" s="12">
        <v>3.0</v>
      </c>
      <c r="J108" s="12">
        <v>5.0</v>
      </c>
      <c r="K108" s="12">
        <v>2.0</v>
      </c>
      <c r="L108" s="12" t="s">
        <v>199</v>
      </c>
      <c r="M108" s="12">
        <v>4.0</v>
      </c>
      <c r="N108" s="12">
        <v>6.0</v>
      </c>
      <c r="O108" s="12">
        <v>5.0</v>
      </c>
      <c r="P108" s="12">
        <v>2.0</v>
      </c>
      <c r="Q108" s="12">
        <v>4.0</v>
      </c>
      <c r="R108" s="12">
        <v>6.0</v>
      </c>
      <c r="S108" s="12">
        <v>6.0</v>
      </c>
      <c r="T108" s="12">
        <v>6.0</v>
      </c>
      <c r="U108" s="12">
        <v>2.0</v>
      </c>
      <c r="V108" s="12">
        <v>2.0</v>
      </c>
      <c r="W108" s="12">
        <v>6.0</v>
      </c>
      <c r="X108" s="12">
        <v>6.0</v>
      </c>
      <c r="Y108" s="12">
        <f t="shared" si="1"/>
        <v>2</v>
      </c>
      <c r="Z108" s="12" t="s">
        <v>656</v>
      </c>
      <c r="AA108" s="12" t="s">
        <v>206</v>
      </c>
      <c r="AB108" s="12">
        <v>6.0</v>
      </c>
      <c r="AC108" s="12">
        <v>6.0</v>
      </c>
      <c r="AD108" s="12">
        <v>6.0</v>
      </c>
      <c r="AE108" s="12">
        <v>6.0</v>
      </c>
      <c r="AF108" s="12">
        <v>4.0</v>
      </c>
      <c r="AG108" s="12">
        <v>6.0</v>
      </c>
      <c r="AH108" s="12" t="s">
        <v>657</v>
      </c>
      <c r="AI108" s="12" t="s">
        <v>206</v>
      </c>
      <c r="AJ108" s="12">
        <v>6.0</v>
      </c>
      <c r="AK108" s="12">
        <v>7.0</v>
      </c>
      <c r="AL108" s="12">
        <v>6.0</v>
      </c>
      <c r="AM108" s="12">
        <v>5.0</v>
      </c>
      <c r="AN108" s="12">
        <f t="shared" si="2"/>
        <v>3</v>
      </c>
      <c r="AO108" s="12">
        <v>5.0</v>
      </c>
      <c r="AP108" s="12">
        <f t="shared" si="3"/>
        <v>3</v>
      </c>
      <c r="AQ108" s="12">
        <v>5.0</v>
      </c>
      <c r="AR108" s="12">
        <f t="shared" si="4"/>
        <v>3</v>
      </c>
      <c r="AS108" s="12">
        <v>2.0</v>
      </c>
      <c r="AT108" s="12">
        <f t="shared" si="5"/>
        <v>6</v>
      </c>
      <c r="AU108" s="12" t="s">
        <v>658</v>
      </c>
    </row>
    <row r="109">
      <c r="A109" s="14">
        <f>IFERROR(__xludf.DUMMYFUNCTION("IF(E109="""", """", VALUE(REGEXREPLACE(E109, ""^[Pp]"", """")))"),28.0)</f>
        <v>28</v>
      </c>
      <c r="B109" s="14">
        <v>539.0</v>
      </c>
      <c r="C109" s="15">
        <v>45869.25069444445</v>
      </c>
      <c r="D109" s="12" t="s">
        <v>659</v>
      </c>
      <c r="E109" s="12" t="s">
        <v>655</v>
      </c>
      <c r="F109" s="12" t="s">
        <v>263</v>
      </c>
      <c r="G109" s="12" t="str">
        <f>IFERROR(__xludf.DUMMYFUNCTION("IF(SPLIT(F109,""-"")=""HR"",""High"",""Low"")"),"Low")</f>
        <v>Low</v>
      </c>
      <c r="H109" s="12" t="str">
        <f>IFERROR(__xludf.DUMMYFUNCTION("INDEX(SPLIT(F109, ""-""), 2)"),"VR")</f>
        <v>VR</v>
      </c>
      <c r="I109" s="12">
        <v>4.0</v>
      </c>
      <c r="J109" s="12">
        <v>5.0</v>
      </c>
      <c r="K109" s="12">
        <v>2.0</v>
      </c>
      <c r="L109" s="12" t="s">
        <v>199</v>
      </c>
      <c r="M109" s="12">
        <v>3.0</v>
      </c>
      <c r="N109" s="12">
        <v>3.0</v>
      </c>
      <c r="O109" s="12">
        <v>4.0</v>
      </c>
      <c r="P109" s="12">
        <v>1.0</v>
      </c>
      <c r="Q109" s="12">
        <v>2.0</v>
      </c>
      <c r="R109" s="12">
        <v>4.0</v>
      </c>
      <c r="S109" s="12">
        <v>3.0</v>
      </c>
      <c r="T109" s="12">
        <v>4.0</v>
      </c>
      <c r="U109" s="12">
        <v>1.0</v>
      </c>
      <c r="V109" s="12">
        <v>2.0</v>
      </c>
      <c r="W109" s="12">
        <v>3.0</v>
      </c>
      <c r="X109" s="12">
        <v>6.0</v>
      </c>
      <c r="Y109" s="12">
        <f t="shared" si="1"/>
        <v>2</v>
      </c>
      <c r="Z109" s="12" t="s">
        <v>660</v>
      </c>
      <c r="AA109" s="12" t="s">
        <v>206</v>
      </c>
      <c r="AB109" s="12">
        <v>4.0</v>
      </c>
      <c r="AC109" s="12">
        <v>5.0</v>
      </c>
      <c r="AD109" s="12">
        <v>5.0</v>
      </c>
      <c r="AE109" s="12">
        <v>3.0</v>
      </c>
      <c r="AF109" s="12">
        <v>4.0</v>
      </c>
      <c r="AG109" s="12">
        <v>5.0</v>
      </c>
      <c r="AH109" s="12" t="s">
        <v>661</v>
      </c>
      <c r="AI109" s="12" t="s">
        <v>206</v>
      </c>
      <c r="AJ109" s="12">
        <v>6.0</v>
      </c>
      <c r="AK109" s="12">
        <v>6.0</v>
      </c>
      <c r="AL109" s="12">
        <v>6.0</v>
      </c>
      <c r="AM109" s="12">
        <v>5.0</v>
      </c>
      <c r="AN109" s="12">
        <f t="shared" si="2"/>
        <v>3</v>
      </c>
      <c r="AO109" s="12">
        <v>5.0</v>
      </c>
      <c r="AP109" s="12">
        <f t="shared" si="3"/>
        <v>3</v>
      </c>
      <c r="AQ109" s="12">
        <v>5.0</v>
      </c>
      <c r="AR109" s="12">
        <f t="shared" si="4"/>
        <v>3</v>
      </c>
      <c r="AS109" s="12">
        <v>2.0</v>
      </c>
      <c r="AT109" s="12">
        <f t="shared" si="5"/>
        <v>6</v>
      </c>
      <c r="AU109" s="12" t="s">
        <v>662</v>
      </c>
    </row>
    <row r="110">
      <c r="A110" s="14">
        <f>IFERROR(__xludf.DUMMYFUNCTION("IF(E110="""", """", VALUE(REGEXREPLACE(E110, ""^[Pp]"", """")))"),29.0)</f>
        <v>29</v>
      </c>
      <c r="B110" s="14">
        <v>1112.0</v>
      </c>
      <c r="C110" s="15">
        <v>45869.25347222222</v>
      </c>
      <c r="D110" s="12" t="s">
        <v>663</v>
      </c>
      <c r="E110" s="12" t="s">
        <v>674</v>
      </c>
      <c r="F110" s="12" t="s">
        <v>197</v>
      </c>
      <c r="G110" s="12" t="str">
        <f>IFERROR(__xludf.DUMMYFUNCTION("IF(SPLIT(F110,""-"")=""HR"",""High"",""Low"")"),"High")</f>
        <v>High</v>
      </c>
      <c r="H110" s="12" t="str">
        <f>IFERROR(__xludf.DUMMYFUNCTION("INDEX(SPLIT(F110, ""-""), 2)"),"VR")</f>
        <v>VR</v>
      </c>
      <c r="I110" s="12">
        <v>1.0</v>
      </c>
      <c r="J110" s="12">
        <v>6.0</v>
      </c>
      <c r="K110" s="12">
        <v>6.0</v>
      </c>
      <c r="L110" s="12" t="s">
        <v>199</v>
      </c>
      <c r="M110" s="12">
        <v>5.0</v>
      </c>
      <c r="N110" s="12">
        <v>5.0</v>
      </c>
      <c r="O110" s="12">
        <v>4.0</v>
      </c>
      <c r="P110" s="12">
        <v>5.0</v>
      </c>
      <c r="Q110" s="12">
        <v>3.0</v>
      </c>
      <c r="R110" s="12">
        <v>6.0</v>
      </c>
      <c r="S110" s="12">
        <v>6.0</v>
      </c>
      <c r="T110" s="12">
        <v>5.0</v>
      </c>
      <c r="U110" s="12">
        <v>5.0</v>
      </c>
      <c r="V110" s="12">
        <v>4.0</v>
      </c>
      <c r="W110" s="12">
        <v>6.0</v>
      </c>
      <c r="X110" s="12">
        <v>4.0</v>
      </c>
      <c r="Y110" s="12">
        <f t="shared" si="1"/>
        <v>4</v>
      </c>
      <c r="Z110" s="12" t="s">
        <v>665</v>
      </c>
      <c r="AA110" s="12" t="s">
        <v>206</v>
      </c>
      <c r="AB110" s="12">
        <v>4.0</v>
      </c>
      <c r="AC110" s="12">
        <v>4.0</v>
      </c>
      <c r="AD110" s="12">
        <v>5.0</v>
      </c>
      <c r="AE110" s="12">
        <v>3.0</v>
      </c>
      <c r="AF110" s="12">
        <v>6.0</v>
      </c>
      <c r="AG110" s="12">
        <v>5.0</v>
      </c>
      <c r="AH110" s="12" t="s">
        <v>666</v>
      </c>
      <c r="AI110" s="12" t="s">
        <v>206</v>
      </c>
      <c r="AJ110" s="12">
        <v>4.0</v>
      </c>
      <c r="AK110" s="12">
        <v>5.0</v>
      </c>
      <c r="AL110" s="12">
        <v>7.0</v>
      </c>
      <c r="AM110" s="12">
        <v>1.0</v>
      </c>
      <c r="AN110" s="12">
        <f t="shared" si="2"/>
        <v>7</v>
      </c>
      <c r="AO110" s="12">
        <v>1.0</v>
      </c>
      <c r="AP110" s="12">
        <f t="shared" si="3"/>
        <v>7</v>
      </c>
      <c r="AQ110" s="12">
        <v>2.0</v>
      </c>
      <c r="AR110" s="12">
        <f t="shared" si="4"/>
        <v>6</v>
      </c>
      <c r="AS110" s="12">
        <v>1.0</v>
      </c>
      <c r="AT110" s="12">
        <f t="shared" si="5"/>
        <v>7</v>
      </c>
      <c r="AU110" s="12" t="s">
        <v>667</v>
      </c>
    </row>
    <row r="111">
      <c r="A111" s="14">
        <f>IFERROR(__xludf.DUMMYFUNCTION("IF(E111="""", """", VALUE(REGEXREPLACE(E111, ""^[Pp]"", """")))"),29.0)</f>
        <v>29</v>
      </c>
      <c r="B111" s="14">
        <v>841.0</v>
      </c>
      <c r="C111" s="15">
        <v>45869.268055555556</v>
      </c>
      <c r="D111" s="12" t="s">
        <v>673</v>
      </c>
      <c r="E111" s="12" t="s">
        <v>674</v>
      </c>
      <c r="F111" s="12" t="s">
        <v>211</v>
      </c>
      <c r="G111" s="12" t="str">
        <f>IFERROR(__xludf.DUMMYFUNCTION("IF(SPLIT(F111,""-"")=""HR"",""High"",""Low"")"),"High")</f>
        <v>High</v>
      </c>
      <c r="H111" s="12" t="str">
        <f>IFERROR(__xludf.DUMMYFUNCTION("INDEX(SPLIT(F111, ""-""), 2)"),"Web")</f>
        <v>Web</v>
      </c>
      <c r="I111" s="12">
        <v>2.0</v>
      </c>
      <c r="J111" s="12">
        <v>3.0</v>
      </c>
      <c r="K111" s="12">
        <v>5.0</v>
      </c>
      <c r="L111" s="12" t="s">
        <v>199</v>
      </c>
      <c r="M111" s="12">
        <v>6.0</v>
      </c>
      <c r="N111" s="12">
        <v>6.0</v>
      </c>
      <c r="O111" s="12">
        <v>4.0</v>
      </c>
      <c r="P111" s="12">
        <v>5.0</v>
      </c>
      <c r="Q111" s="12">
        <v>5.0</v>
      </c>
      <c r="R111" s="12">
        <v>6.0</v>
      </c>
      <c r="S111" s="12">
        <v>6.0</v>
      </c>
      <c r="T111" s="12">
        <v>4.0</v>
      </c>
      <c r="U111" s="12">
        <v>4.0</v>
      </c>
      <c r="V111" s="12">
        <v>5.0</v>
      </c>
      <c r="W111" s="12">
        <v>6.0</v>
      </c>
      <c r="X111" s="12">
        <v>5.0</v>
      </c>
      <c r="Y111" s="12">
        <f t="shared" si="1"/>
        <v>3</v>
      </c>
      <c r="Z111" s="12" t="s">
        <v>675</v>
      </c>
      <c r="AA111" s="12" t="s">
        <v>206</v>
      </c>
      <c r="AB111" s="12">
        <v>5.0</v>
      </c>
      <c r="AC111" s="12">
        <v>6.0</v>
      </c>
      <c r="AD111" s="12">
        <v>5.0</v>
      </c>
      <c r="AE111" s="12">
        <v>4.0</v>
      </c>
      <c r="AF111" s="12">
        <v>5.0</v>
      </c>
      <c r="AG111" s="12">
        <v>5.0</v>
      </c>
      <c r="AH111" s="12" t="s">
        <v>676</v>
      </c>
      <c r="AI111" s="12" t="s">
        <v>206</v>
      </c>
      <c r="AJ111" s="12">
        <v>6.0</v>
      </c>
      <c r="AK111" s="12">
        <v>7.0</v>
      </c>
      <c r="AL111" s="12">
        <v>5.0</v>
      </c>
      <c r="AM111" s="12">
        <v>1.0</v>
      </c>
      <c r="AN111" s="12">
        <f t="shared" si="2"/>
        <v>7</v>
      </c>
      <c r="AO111" s="12">
        <v>3.0</v>
      </c>
      <c r="AP111" s="12">
        <f t="shared" si="3"/>
        <v>5</v>
      </c>
      <c r="AQ111" s="12">
        <v>1.0</v>
      </c>
      <c r="AR111" s="12">
        <f t="shared" si="4"/>
        <v>7</v>
      </c>
      <c r="AS111" s="12">
        <v>1.0</v>
      </c>
      <c r="AT111" s="12">
        <f t="shared" si="5"/>
        <v>7</v>
      </c>
      <c r="AU111" s="12" t="s">
        <v>677</v>
      </c>
    </row>
    <row r="112">
      <c r="A112" s="14">
        <f>IFERROR(__xludf.DUMMYFUNCTION("IF(E112="""", """", VALUE(REGEXREPLACE(E112, ""^[Pp]"", """")))"),29.0)</f>
        <v>29</v>
      </c>
      <c r="B112" s="14">
        <v>834.0</v>
      </c>
      <c r="C112" s="15">
        <v>45869.27847222222</v>
      </c>
      <c r="D112" s="12" t="s">
        <v>683</v>
      </c>
      <c r="E112" s="12" t="s">
        <v>674</v>
      </c>
      <c r="F112" s="12" t="s">
        <v>216</v>
      </c>
      <c r="G112" s="12" t="str">
        <f>IFERROR(__xludf.DUMMYFUNCTION("IF(SPLIT(F112,""-"")=""HR"",""High"",""Low"")"),"Low")</f>
        <v>Low</v>
      </c>
      <c r="H112" s="12" t="str">
        <f>IFERROR(__xludf.DUMMYFUNCTION("INDEX(SPLIT(F112, ""-""), 2)"),"Web")</f>
        <v>Web</v>
      </c>
      <c r="I112" s="12">
        <v>3.0</v>
      </c>
      <c r="J112" s="12">
        <v>4.0</v>
      </c>
      <c r="K112" s="12">
        <v>2.0</v>
      </c>
      <c r="L112" s="12" t="s">
        <v>199</v>
      </c>
      <c r="M112" s="12">
        <v>4.0</v>
      </c>
      <c r="N112" s="12">
        <v>5.0</v>
      </c>
      <c r="O112" s="12">
        <v>2.0</v>
      </c>
      <c r="P112" s="12">
        <v>5.0</v>
      </c>
      <c r="Q112" s="12">
        <v>4.0</v>
      </c>
      <c r="R112" s="12">
        <v>3.0</v>
      </c>
      <c r="S112" s="12">
        <v>4.0</v>
      </c>
      <c r="T112" s="12">
        <v>4.0</v>
      </c>
      <c r="U112" s="12">
        <v>2.0</v>
      </c>
      <c r="V112" s="12">
        <v>5.0</v>
      </c>
      <c r="W112" s="12">
        <v>3.0</v>
      </c>
      <c r="X112" s="12">
        <v>7.0</v>
      </c>
      <c r="Y112" s="12">
        <f t="shared" si="1"/>
        <v>1</v>
      </c>
      <c r="Z112" s="12" t="s">
        <v>413</v>
      </c>
      <c r="AA112" s="12" t="s">
        <v>206</v>
      </c>
      <c r="AB112" s="12">
        <v>5.0</v>
      </c>
      <c r="AC112" s="12">
        <v>6.0</v>
      </c>
      <c r="AD112" s="12">
        <v>5.0</v>
      </c>
      <c r="AE112" s="12">
        <v>6.0</v>
      </c>
      <c r="AF112" s="12">
        <v>5.0</v>
      </c>
      <c r="AG112" s="12">
        <v>6.0</v>
      </c>
      <c r="AH112" s="12" t="s">
        <v>413</v>
      </c>
      <c r="AI112" s="12" t="s">
        <v>206</v>
      </c>
      <c r="AJ112" s="12">
        <v>6.0</v>
      </c>
      <c r="AK112" s="12">
        <v>6.0</v>
      </c>
      <c r="AL112" s="12">
        <v>7.0</v>
      </c>
      <c r="AM112" s="12">
        <v>3.0</v>
      </c>
      <c r="AN112" s="12">
        <f t="shared" si="2"/>
        <v>5</v>
      </c>
      <c r="AO112" s="12">
        <v>1.0</v>
      </c>
      <c r="AP112" s="12">
        <f t="shared" si="3"/>
        <v>7</v>
      </c>
      <c r="AQ112" s="12">
        <v>1.0</v>
      </c>
      <c r="AR112" s="12">
        <f t="shared" si="4"/>
        <v>7</v>
      </c>
      <c r="AS112" s="12">
        <v>1.0</v>
      </c>
      <c r="AT112" s="12">
        <f t="shared" si="5"/>
        <v>7</v>
      </c>
      <c r="AU112" s="12" t="s">
        <v>413</v>
      </c>
    </row>
    <row r="113">
      <c r="A113" s="14">
        <f>IFERROR(__xludf.DUMMYFUNCTION("IF(E113="""", """", VALUE(REGEXREPLACE(E113, ""^[Pp]"", """")))"),29.0)</f>
        <v>29</v>
      </c>
      <c r="B113" s="14">
        <v>1099.0</v>
      </c>
      <c r="C113" s="15">
        <v>45869.41527777778</v>
      </c>
      <c r="D113" s="12" t="s">
        <v>717</v>
      </c>
      <c r="E113" s="12" t="s">
        <v>674</v>
      </c>
      <c r="F113" s="12" t="s">
        <v>263</v>
      </c>
      <c r="G113" s="12" t="str">
        <f>IFERROR(__xludf.DUMMYFUNCTION("IF(SPLIT(F113,""-"")=""HR"",""High"",""Low"")"),"Low")</f>
        <v>Low</v>
      </c>
      <c r="H113" s="12" t="str">
        <f>IFERROR(__xludf.DUMMYFUNCTION("INDEX(SPLIT(F113, ""-""), 2)"),"VR")</f>
        <v>VR</v>
      </c>
      <c r="I113" s="12">
        <v>4.0</v>
      </c>
      <c r="J113" s="12">
        <v>6.0</v>
      </c>
      <c r="K113" s="12">
        <v>5.0</v>
      </c>
      <c r="L113" s="12" t="s">
        <v>199</v>
      </c>
      <c r="M113" s="12">
        <v>4.0</v>
      </c>
      <c r="N113" s="12">
        <v>5.0</v>
      </c>
      <c r="O113" s="12">
        <v>5.0</v>
      </c>
      <c r="P113" s="12">
        <v>5.0</v>
      </c>
      <c r="Q113" s="12">
        <v>5.0</v>
      </c>
      <c r="R113" s="12">
        <v>4.0</v>
      </c>
      <c r="S113" s="12">
        <v>4.0</v>
      </c>
      <c r="T113" s="12">
        <v>5.0</v>
      </c>
      <c r="U113" s="12">
        <v>2.0</v>
      </c>
      <c r="V113" s="12">
        <v>5.0</v>
      </c>
      <c r="W113" s="12">
        <v>4.0</v>
      </c>
      <c r="X113" s="12">
        <v>6.0</v>
      </c>
      <c r="Y113" s="12">
        <f t="shared" si="1"/>
        <v>2</v>
      </c>
      <c r="Z113" s="12" t="s">
        <v>413</v>
      </c>
      <c r="AA113" s="12" t="s">
        <v>206</v>
      </c>
      <c r="AB113" s="12">
        <v>4.0</v>
      </c>
      <c r="AC113" s="12">
        <v>5.0</v>
      </c>
      <c r="AD113" s="12">
        <v>5.0</v>
      </c>
      <c r="AE113" s="12">
        <v>5.0</v>
      </c>
      <c r="AF113" s="12">
        <v>5.0</v>
      </c>
      <c r="AG113" s="12">
        <v>6.0</v>
      </c>
      <c r="AH113" s="12" t="s">
        <v>413</v>
      </c>
      <c r="AI113" s="12" t="s">
        <v>206</v>
      </c>
      <c r="AJ113" s="12">
        <v>5.0</v>
      </c>
      <c r="AK113" s="12">
        <v>5.0</v>
      </c>
      <c r="AL113" s="12">
        <v>6.0</v>
      </c>
      <c r="AM113" s="12">
        <v>1.0</v>
      </c>
      <c r="AN113" s="12">
        <f t="shared" si="2"/>
        <v>7</v>
      </c>
      <c r="AO113" s="12">
        <v>1.0</v>
      </c>
      <c r="AP113" s="12">
        <f t="shared" si="3"/>
        <v>7</v>
      </c>
      <c r="AQ113" s="12">
        <v>1.0</v>
      </c>
      <c r="AR113" s="12">
        <f t="shared" si="4"/>
        <v>7</v>
      </c>
      <c r="AS113" s="12">
        <v>1.0</v>
      </c>
      <c r="AT113" s="12">
        <f t="shared" si="5"/>
        <v>7</v>
      </c>
      <c r="AU113" s="12" t="s">
        <v>413</v>
      </c>
    </row>
    <row r="114">
      <c r="A114" s="14">
        <f>IFERROR(__xludf.DUMMYFUNCTION("IF(E114="""", """", VALUE(REGEXREPLACE(E114, ""^[Pp]"", """")))"),30.0)</f>
        <v>30</v>
      </c>
      <c r="B114" s="14">
        <v>1458.0</v>
      </c>
      <c r="C114" s="15">
        <v>45869.263194444444</v>
      </c>
      <c r="D114" s="12" t="s">
        <v>668</v>
      </c>
      <c r="E114" s="12" t="s">
        <v>669</v>
      </c>
      <c r="F114" s="12" t="s">
        <v>211</v>
      </c>
      <c r="G114" s="12" t="str">
        <f>IFERROR(__xludf.DUMMYFUNCTION("IF(SPLIT(F114,""-"")=""HR"",""High"",""Low"")"),"High")</f>
        <v>High</v>
      </c>
      <c r="H114" s="12" t="str">
        <f>IFERROR(__xludf.DUMMYFUNCTION("INDEX(SPLIT(F114, ""-""), 2)"),"Web")</f>
        <v>Web</v>
      </c>
      <c r="I114" s="12">
        <v>1.0</v>
      </c>
      <c r="J114" s="12">
        <v>5.0</v>
      </c>
      <c r="K114" s="12">
        <v>7.0</v>
      </c>
      <c r="L114" s="12" t="s">
        <v>199</v>
      </c>
      <c r="M114" s="12">
        <v>6.0</v>
      </c>
      <c r="N114" s="12">
        <v>6.0</v>
      </c>
      <c r="O114" s="12">
        <v>2.0</v>
      </c>
      <c r="P114" s="12">
        <v>7.0</v>
      </c>
      <c r="Q114" s="12">
        <v>7.0</v>
      </c>
      <c r="R114" s="12">
        <v>6.0</v>
      </c>
      <c r="S114" s="12">
        <v>6.0</v>
      </c>
      <c r="T114" s="12">
        <v>4.0</v>
      </c>
      <c r="U114" s="12">
        <v>3.0</v>
      </c>
      <c r="V114" s="12">
        <v>4.0</v>
      </c>
      <c r="W114" s="12">
        <v>7.0</v>
      </c>
      <c r="X114" s="12">
        <v>5.0</v>
      </c>
      <c r="Y114" s="12">
        <f t="shared" si="1"/>
        <v>3</v>
      </c>
      <c r="Z114" s="12" t="s">
        <v>670</v>
      </c>
      <c r="AA114" s="12" t="s">
        <v>206</v>
      </c>
      <c r="AB114" s="12">
        <v>4.0</v>
      </c>
      <c r="AC114" s="12">
        <v>7.0</v>
      </c>
      <c r="AD114" s="12">
        <v>6.0</v>
      </c>
      <c r="AE114" s="12">
        <v>7.0</v>
      </c>
      <c r="AF114" s="12">
        <v>6.0</v>
      </c>
      <c r="AG114" s="12">
        <v>7.0</v>
      </c>
      <c r="AH114" s="12" t="s">
        <v>671</v>
      </c>
      <c r="AI114" s="12" t="s">
        <v>206</v>
      </c>
      <c r="AJ114" s="12">
        <v>7.0</v>
      </c>
      <c r="AK114" s="12">
        <v>3.0</v>
      </c>
      <c r="AL114" s="12">
        <v>6.0</v>
      </c>
      <c r="AM114" s="12">
        <v>1.0</v>
      </c>
      <c r="AN114" s="12">
        <f t="shared" si="2"/>
        <v>7</v>
      </c>
      <c r="AO114" s="12">
        <v>1.0</v>
      </c>
      <c r="AP114" s="12">
        <f t="shared" si="3"/>
        <v>7</v>
      </c>
      <c r="AQ114" s="12">
        <v>1.0</v>
      </c>
      <c r="AR114" s="12">
        <f t="shared" si="4"/>
        <v>7</v>
      </c>
      <c r="AS114" s="12">
        <v>1.0</v>
      </c>
      <c r="AT114" s="12">
        <f t="shared" si="5"/>
        <v>7</v>
      </c>
      <c r="AU114" s="12" t="s">
        <v>672</v>
      </c>
    </row>
    <row r="115">
      <c r="A115" s="14">
        <f>IFERROR(__xludf.DUMMYFUNCTION("IF(E115="""", """", VALUE(REGEXREPLACE(E115, ""^[Pp]"", """")))"),30.0)</f>
        <v>30</v>
      </c>
      <c r="B115" s="14">
        <v>945.0</v>
      </c>
      <c r="C115" s="15">
        <v>45869.28333333333</v>
      </c>
      <c r="D115" s="12" t="s">
        <v>684</v>
      </c>
      <c r="E115" s="12" t="s">
        <v>669</v>
      </c>
      <c r="F115" s="12" t="s">
        <v>263</v>
      </c>
      <c r="G115" s="12" t="str">
        <f>IFERROR(__xludf.DUMMYFUNCTION("IF(SPLIT(F115,""-"")=""HR"",""High"",""Low"")"),"Low")</f>
        <v>Low</v>
      </c>
      <c r="H115" s="12" t="str">
        <f>IFERROR(__xludf.DUMMYFUNCTION("INDEX(SPLIT(F115, ""-""), 2)"),"VR")</f>
        <v>VR</v>
      </c>
      <c r="I115" s="12">
        <v>2.0</v>
      </c>
      <c r="J115" s="12">
        <v>7.0</v>
      </c>
      <c r="K115" s="12">
        <v>6.0</v>
      </c>
      <c r="L115" s="12" t="s">
        <v>199</v>
      </c>
      <c r="M115" s="12">
        <v>7.0</v>
      </c>
      <c r="N115" s="12">
        <v>6.0</v>
      </c>
      <c r="O115" s="12">
        <v>7.0</v>
      </c>
      <c r="P115" s="12">
        <v>6.0</v>
      </c>
      <c r="Q115" s="12">
        <v>7.0</v>
      </c>
      <c r="R115" s="12">
        <v>7.0</v>
      </c>
      <c r="S115" s="12">
        <v>6.0</v>
      </c>
      <c r="T115" s="12">
        <v>7.0</v>
      </c>
      <c r="U115" s="12">
        <v>6.0</v>
      </c>
      <c r="V115" s="12">
        <v>1.0</v>
      </c>
      <c r="W115" s="12">
        <v>7.0</v>
      </c>
      <c r="X115" s="12">
        <v>6.0</v>
      </c>
      <c r="Y115" s="12">
        <f t="shared" si="1"/>
        <v>2</v>
      </c>
      <c r="Z115" s="12" t="s">
        <v>685</v>
      </c>
      <c r="AA115" s="12" t="s">
        <v>206</v>
      </c>
      <c r="AB115" s="12">
        <v>6.0</v>
      </c>
      <c r="AC115" s="12">
        <v>6.0</v>
      </c>
      <c r="AD115" s="12">
        <v>6.0</v>
      </c>
      <c r="AE115" s="12">
        <v>7.0</v>
      </c>
      <c r="AF115" s="12">
        <v>7.0</v>
      </c>
      <c r="AG115" s="12">
        <v>6.0</v>
      </c>
      <c r="AH115" s="12" t="s">
        <v>686</v>
      </c>
      <c r="AI115" s="12" t="s">
        <v>206</v>
      </c>
      <c r="AJ115" s="12">
        <v>7.0</v>
      </c>
      <c r="AK115" s="12">
        <v>6.0</v>
      </c>
      <c r="AL115" s="12">
        <v>7.0</v>
      </c>
      <c r="AM115" s="12">
        <v>1.0</v>
      </c>
      <c r="AN115" s="12">
        <f t="shared" si="2"/>
        <v>7</v>
      </c>
      <c r="AO115" s="12">
        <v>1.0</v>
      </c>
      <c r="AP115" s="12">
        <f t="shared" si="3"/>
        <v>7</v>
      </c>
      <c r="AQ115" s="12">
        <v>1.0</v>
      </c>
      <c r="AR115" s="12">
        <f t="shared" si="4"/>
        <v>7</v>
      </c>
      <c r="AS115" s="12">
        <v>1.0</v>
      </c>
      <c r="AT115" s="12">
        <f t="shared" si="5"/>
        <v>7</v>
      </c>
      <c r="AU115" s="12" t="s">
        <v>687</v>
      </c>
    </row>
    <row r="116">
      <c r="A116" s="14">
        <f>IFERROR(__xludf.DUMMYFUNCTION("IF(E116="""", """", VALUE(REGEXREPLACE(E116, ""^[Pp]"", """")))"),30.0)</f>
        <v>30</v>
      </c>
      <c r="B116" s="14">
        <v>784.0</v>
      </c>
      <c r="C116" s="15">
        <v>45869.29722222222</v>
      </c>
      <c r="D116" s="12" t="s">
        <v>692</v>
      </c>
      <c r="E116" s="12" t="s">
        <v>669</v>
      </c>
      <c r="F116" s="12" t="s">
        <v>216</v>
      </c>
      <c r="G116" s="12" t="str">
        <f>IFERROR(__xludf.DUMMYFUNCTION("IF(SPLIT(F116,""-"")=""HR"",""High"",""Low"")"),"Low")</f>
        <v>Low</v>
      </c>
      <c r="H116" s="12" t="str">
        <f>IFERROR(__xludf.DUMMYFUNCTION("INDEX(SPLIT(F116, ""-""), 2)"),"Web")</f>
        <v>Web</v>
      </c>
      <c r="I116" s="12">
        <v>3.0</v>
      </c>
      <c r="J116" s="12">
        <v>2.0</v>
      </c>
      <c r="K116" s="12">
        <v>6.0</v>
      </c>
      <c r="L116" s="12" t="s">
        <v>199</v>
      </c>
      <c r="M116" s="12">
        <v>7.0</v>
      </c>
      <c r="N116" s="12">
        <v>6.0</v>
      </c>
      <c r="O116" s="12">
        <v>1.0</v>
      </c>
      <c r="P116" s="12">
        <v>7.0</v>
      </c>
      <c r="Q116" s="12">
        <v>6.0</v>
      </c>
      <c r="R116" s="12">
        <v>6.0</v>
      </c>
      <c r="S116" s="12">
        <v>6.0</v>
      </c>
      <c r="T116" s="12">
        <v>7.0</v>
      </c>
      <c r="U116" s="12">
        <v>5.0</v>
      </c>
      <c r="V116" s="12">
        <v>1.0</v>
      </c>
      <c r="W116" s="12">
        <v>6.0</v>
      </c>
      <c r="X116" s="12">
        <v>6.0</v>
      </c>
      <c r="Y116" s="12">
        <f t="shared" si="1"/>
        <v>2</v>
      </c>
      <c r="Z116" s="12" t="s">
        <v>693</v>
      </c>
      <c r="AA116" s="12" t="s">
        <v>206</v>
      </c>
      <c r="AB116" s="12">
        <v>7.0</v>
      </c>
      <c r="AC116" s="12">
        <v>6.0</v>
      </c>
      <c r="AD116" s="12">
        <v>7.0</v>
      </c>
      <c r="AE116" s="12">
        <v>7.0</v>
      </c>
      <c r="AF116" s="12">
        <v>7.0</v>
      </c>
      <c r="AG116" s="12">
        <v>6.0</v>
      </c>
      <c r="AH116" s="12" t="s">
        <v>694</v>
      </c>
      <c r="AI116" s="12" t="s">
        <v>206</v>
      </c>
      <c r="AJ116" s="12">
        <v>7.0</v>
      </c>
      <c r="AK116" s="12">
        <v>7.0</v>
      </c>
      <c r="AL116" s="12">
        <v>6.0</v>
      </c>
      <c r="AM116" s="12">
        <v>1.0</v>
      </c>
      <c r="AN116" s="12">
        <f t="shared" si="2"/>
        <v>7</v>
      </c>
      <c r="AO116" s="12">
        <v>1.0</v>
      </c>
      <c r="AP116" s="12">
        <f t="shared" si="3"/>
        <v>7</v>
      </c>
      <c r="AQ116" s="12">
        <v>1.0</v>
      </c>
      <c r="AR116" s="12">
        <f t="shared" si="4"/>
        <v>7</v>
      </c>
      <c r="AS116" s="12">
        <v>1.0</v>
      </c>
      <c r="AT116" s="12">
        <f t="shared" si="5"/>
        <v>7</v>
      </c>
      <c r="AU116" s="12" t="s">
        <v>695</v>
      </c>
    </row>
    <row r="117">
      <c r="A117" s="14">
        <f>IFERROR(__xludf.DUMMYFUNCTION("IF(E117="""", """", VALUE(REGEXREPLACE(E117, ""^[Pp]"", """")))"),30.0)</f>
        <v>30</v>
      </c>
      <c r="B117" s="14">
        <v>967.0</v>
      </c>
      <c r="C117" s="15">
        <v>45869.31805555556</v>
      </c>
      <c r="D117" s="12" t="s">
        <v>708</v>
      </c>
      <c r="E117" s="12" t="s">
        <v>669</v>
      </c>
      <c r="F117" s="12" t="s">
        <v>197</v>
      </c>
      <c r="G117" s="12" t="str">
        <f>IFERROR(__xludf.DUMMYFUNCTION("IF(SPLIT(F117,""-"")=""HR"",""High"",""Low"")"),"High")</f>
        <v>High</v>
      </c>
      <c r="H117" s="12" t="str">
        <f>IFERROR(__xludf.DUMMYFUNCTION("INDEX(SPLIT(F117, ""-""), 2)"),"VR")</f>
        <v>VR</v>
      </c>
      <c r="I117" s="12">
        <v>4.0</v>
      </c>
      <c r="J117" s="12">
        <v>7.0</v>
      </c>
      <c r="K117" s="12">
        <v>7.0</v>
      </c>
      <c r="L117" s="12" t="s">
        <v>199</v>
      </c>
      <c r="M117" s="12">
        <v>3.0</v>
      </c>
      <c r="N117" s="12">
        <v>6.0</v>
      </c>
      <c r="O117" s="12">
        <v>7.0</v>
      </c>
      <c r="P117" s="12">
        <v>7.0</v>
      </c>
      <c r="Q117" s="12">
        <v>6.0</v>
      </c>
      <c r="R117" s="12">
        <v>6.0</v>
      </c>
      <c r="S117" s="12">
        <v>6.0</v>
      </c>
      <c r="T117" s="12">
        <v>3.0</v>
      </c>
      <c r="U117" s="12">
        <v>6.0</v>
      </c>
      <c r="V117" s="12">
        <v>1.0</v>
      </c>
      <c r="W117" s="12">
        <v>6.0</v>
      </c>
      <c r="X117" s="12">
        <v>5.0</v>
      </c>
      <c r="Y117" s="12">
        <f t="shared" si="1"/>
        <v>3</v>
      </c>
      <c r="Z117" s="12" t="s">
        <v>709</v>
      </c>
      <c r="AA117" s="12" t="s">
        <v>206</v>
      </c>
      <c r="AB117" s="12">
        <v>6.0</v>
      </c>
      <c r="AC117" s="12">
        <v>6.0</v>
      </c>
      <c r="AD117" s="12">
        <v>3.0</v>
      </c>
      <c r="AE117" s="12">
        <v>7.0</v>
      </c>
      <c r="AF117" s="12">
        <v>7.0</v>
      </c>
      <c r="AG117" s="12">
        <v>7.0</v>
      </c>
      <c r="AH117" s="12" t="s">
        <v>710</v>
      </c>
      <c r="AI117" s="12" t="s">
        <v>206</v>
      </c>
      <c r="AJ117" s="12">
        <v>7.0</v>
      </c>
      <c r="AK117" s="12">
        <v>7.0</v>
      </c>
      <c r="AL117" s="12">
        <v>7.0</v>
      </c>
      <c r="AM117" s="12">
        <v>1.0</v>
      </c>
      <c r="AN117" s="12">
        <f t="shared" si="2"/>
        <v>7</v>
      </c>
      <c r="AO117" s="12">
        <v>1.0</v>
      </c>
      <c r="AP117" s="12">
        <f t="shared" si="3"/>
        <v>7</v>
      </c>
      <c r="AQ117" s="12">
        <v>1.0</v>
      </c>
      <c r="AR117" s="12">
        <f t="shared" si="4"/>
        <v>7</v>
      </c>
      <c r="AS117" s="12">
        <v>1.0</v>
      </c>
      <c r="AT117" s="12">
        <f t="shared" si="5"/>
        <v>7</v>
      </c>
      <c r="AU117" s="12" t="s">
        <v>711</v>
      </c>
    </row>
    <row r="118">
      <c r="A118" s="14">
        <f>IFERROR(__xludf.DUMMYFUNCTION("IF(E118="""", """", VALUE(REGEXREPLACE(E118, ""^[Pp]"", """")))"),31.0)</f>
        <v>31</v>
      </c>
      <c r="B118" s="14">
        <v>934.0</v>
      </c>
      <c r="C118" s="15">
        <v>45869.277083333334</v>
      </c>
      <c r="D118" s="12" t="s">
        <v>678</v>
      </c>
      <c r="E118" s="12" t="s">
        <v>679</v>
      </c>
      <c r="F118" s="12" t="s">
        <v>216</v>
      </c>
      <c r="G118" s="12" t="str">
        <f>IFERROR(__xludf.DUMMYFUNCTION("IF(SPLIT(F118,""-"")=""HR"",""High"",""Low"")"),"Low")</f>
        <v>Low</v>
      </c>
      <c r="H118" s="12" t="str">
        <f>IFERROR(__xludf.DUMMYFUNCTION("INDEX(SPLIT(F118, ""-""), 2)"),"Web")</f>
        <v>Web</v>
      </c>
      <c r="I118" s="12">
        <v>1.0</v>
      </c>
      <c r="J118" s="12">
        <v>2.0</v>
      </c>
      <c r="K118" s="12">
        <v>2.0</v>
      </c>
      <c r="L118" s="12" t="s">
        <v>199</v>
      </c>
      <c r="M118" s="12">
        <v>4.0</v>
      </c>
      <c r="N118" s="12">
        <v>3.0</v>
      </c>
      <c r="O118" s="12">
        <v>3.0</v>
      </c>
      <c r="P118" s="12">
        <v>1.0</v>
      </c>
      <c r="Q118" s="12">
        <v>5.0</v>
      </c>
      <c r="R118" s="12">
        <v>6.0</v>
      </c>
      <c r="S118" s="12">
        <v>6.0</v>
      </c>
      <c r="T118" s="12">
        <v>3.0</v>
      </c>
      <c r="U118" s="12">
        <v>1.0</v>
      </c>
      <c r="V118" s="12">
        <v>6.0</v>
      </c>
      <c r="W118" s="12">
        <v>5.0</v>
      </c>
      <c r="X118" s="12">
        <v>2.0</v>
      </c>
      <c r="Y118" s="12">
        <f t="shared" si="1"/>
        <v>6</v>
      </c>
      <c r="Z118" s="12" t="s">
        <v>680</v>
      </c>
      <c r="AA118" s="12" t="s">
        <v>206</v>
      </c>
      <c r="AB118" s="12">
        <v>2.0</v>
      </c>
      <c r="AC118" s="12">
        <v>2.0</v>
      </c>
      <c r="AD118" s="12">
        <v>3.0</v>
      </c>
      <c r="AE118" s="12">
        <v>2.0</v>
      </c>
      <c r="AF118" s="12">
        <v>1.0</v>
      </c>
      <c r="AG118" s="12">
        <v>5.0</v>
      </c>
      <c r="AH118" s="12" t="s">
        <v>681</v>
      </c>
      <c r="AI118" s="12" t="s">
        <v>206</v>
      </c>
      <c r="AJ118" s="12">
        <v>3.0</v>
      </c>
      <c r="AK118" s="12">
        <v>5.0</v>
      </c>
      <c r="AL118" s="12">
        <v>2.0</v>
      </c>
      <c r="AM118" s="12">
        <v>1.0</v>
      </c>
      <c r="AN118" s="12">
        <f t="shared" si="2"/>
        <v>7</v>
      </c>
      <c r="AO118" s="12">
        <v>2.0</v>
      </c>
      <c r="AP118" s="12">
        <f t="shared" si="3"/>
        <v>6</v>
      </c>
      <c r="AQ118" s="12">
        <v>1.0</v>
      </c>
      <c r="AR118" s="12">
        <f t="shared" si="4"/>
        <v>7</v>
      </c>
      <c r="AS118" s="12">
        <v>1.0</v>
      </c>
      <c r="AT118" s="12">
        <f t="shared" si="5"/>
        <v>7</v>
      </c>
      <c r="AU118" s="12" t="s">
        <v>682</v>
      </c>
    </row>
    <row r="119">
      <c r="A119" s="14">
        <f>IFERROR(__xludf.DUMMYFUNCTION("IF(E119="""", """", VALUE(REGEXREPLACE(E119, ""^[Pp]"", """")))"),31.0)</f>
        <v>31</v>
      </c>
      <c r="B119" s="14">
        <v>1071.0</v>
      </c>
      <c r="C119" s="15">
        <v>45869.30069444444</v>
      </c>
      <c r="D119" s="12" t="s">
        <v>696</v>
      </c>
      <c r="E119" s="12" t="s">
        <v>679</v>
      </c>
      <c r="F119" s="12" t="s">
        <v>197</v>
      </c>
      <c r="G119" s="12" t="str">
        <f>IFERROR(__xludf.DUMMYFUNCTION("IF(SPLIT(F119,""-"")=""HR"",""High"",""Low"")"),"High")</f>
        <v>High</v>
      </c>
      <c r="H119" s="12" t="str">
        <f>IFERROR(__xludf.DUMMYFUNCTION("INDEX(SPLIT(F119, ""-""), 2)"),"VR")</f>
        <v>VR</v>
      </c>
      <c r="I119" s="12">
        <v>2.0</v>
      </c>
      <c r="J119" s="12">
        <v>6.0</v>
      </c>
      <c r="K119" s="12">
        <v>2.0</v>
      </c>
      <c r="L119" s="12" t="s">
        <v>199</v>
      </c>
      <c r="M119" s="12">
        <v>6.0</v>
      </c>
      <c r="N119" s="12">
        <v>6.0</v>
      </c>
      <c r="O119" s="12">
        <v>4.0</v>
      </c>
      <c r="P119" s="12">
        <v>2.0</v>
      </c>
      <c r="Q119" s="12">
        <v>5.0</v>
      </c>
      <c r="R119" s="12">
        <v>6.0</v>
      </c>
      <c r="S119" s="12">
        <v>6.0</v>
      </c>
      <c r="T119" s="12">
        <v>3.0</v>
      </c>
      <c r="U119" s="12">
        <v>2.0</v>
      </c>
      <c r="V119" s="12">
        <v>4.0</v>
      </c>
      <c r="W119" s="12">
        <v>5.0</v>
      </c>
      <c r="X119" s="12">
        <v>5.0</v>
      </c>
      <c r="Y119" s="12">
        <f t="shared" si="1"/>
        <v>3</v>
      </c>
      <c r="Z119" s="12" t="s">
        <v>697</v>
      </c>
      <c r="AA119" s="12" t="s">
        <v>206</v>
      </c>
      <c r="AB119" s="12">
        <v>6.0</v>
      </c>
      <c r="AC119" s="12">
        <v>6.0</v>
      </c>
      <c r="AD119" s="12">
        <v>6.0</v>
      </c>
      <c r="AE119" s="12">
        <v>3.0</v>
      </c>
      <c r="AF119" s="12">
        <v>3.0</v>
      </c>
      <c r="AG119" s="12">
        <v>6.0</v>
      </c>
      <c r="AH119" s="12" t="s">
        <v>698</v>
      </c>
      <c r="AI119" s="12" t="s">
        <v>206</v>
      </c>
      <c r="AJ119" s="12">
        <v>6.0</v>
      </c>
      <c r="AK119" s="12">
        <v>6.0</v>
      </c>
      <c r="AL119" s="12">
        <v>6.0</v>
      </c>
      <c r="AM119" s="12">
        <v>5.0</v>
      </c>
      <c r="AN119" s="12">
        <f t="shared" si="2"/>
        <v>3</v>
      </c>
      <c r="AO119" s="12">
        <v>4.0</v>
      </c>
      <c r="AP119" s="12">
        <f t="shared" si="3"/>
        <v>4</v>
      </c>
      <c r="AQ119" s="12">
        <v>5.0</v>
      </c>
      <c r="AR119" s="12">
        <f t="shared" si="4"/>
        <v>3</v>
      </c>
      <c r="AS119" s="12">
        <v>3.0</v>
      </c>
      <c r="AT119" s="12">
        <f t="shared" si="5"/>
        <v>5</v>
      </c>
      <c r="AU119" s="12" t="s">
        <v>699</v>
      </c>
    </row>
    <row r="120">
      <c r="A120" s="14">
        <f>IFERROR(__xludf.DUMMYFUNCTION("IF(E120="""", """", VALUE(REGEXREPLACE(E120, ""^[Pp]"", """")))"),31.0)</f>
        <v>31</v>
      </c>
      <c r="B120" s="14">
        <v>500.0</v>
      </c>
      <c r="C120" s="15">
        <v>45869.30902777778</v>
      </c>
      <c r="D120" s="12" t="s">
        <v>700</v>
      </c>
      <c r="E120" s="12" t="s">
        <v>679</v>
      </c>
      <c r="F120" s="12" t="s">
        <v>263</v>
      </c>
      <c r="G120" s="12" t="str">
        <f>IFERROR(__xludf.DUMMYFUNCTION("IF(SPLIT(F120,""-"")=""HR"",""High"",""Low"")"),"Low")</f>
        <v>Low</v>
      </c>
      <c r="H120" s="12" t="str">
        <f>IFERROR(__xludf.DUMMYFUNCTION("INDEX(SPLIT(F120, ""-""), 2)"),"VR")</f>
        <v>VR</v>
      </c>
      <c r="I120" s="12">
        <v>3.0</v>
      </c>
      <c r="J120" s="12">
        <v>6.0</v>
      </c>
      <c r="K120" s="12">
        <v>3.0</v>
      </c>
      <c r="L120" s="12" t="s">
        <v>199</v>
      </c>
      <c r="M120" s="12">
        <v>6.0</v>
      </c>
      <c r="N120" s="12">
        <v>6.0</v>
      </c>
      <c r="O120" s="12">
        <v>4.0</v>
      </c>
      <c r="P120" s="12">
        <v>2.0</v>
      </c>
      <c r="Q120" s="12">
        <v>6.0</v>
      </c>
      <c r="R120" s="12">
        <v>6.0</v>
      </c>
      <c r="S120" s="12">
        <v>6.0</v>
      </c>
      <c r="T120" s="12">
        <v>6.0</v>
      </c>
      <c r="U120" s="12">
        <v>3.0</v>
      </c>
      <c r="V120" s="12">
        <v>6.0</v>
      </c>
      <c r="W120" s="12">
        <v>6.0</v>
      </c>
      <c r="X120" s="12">
        <v>6.0</v>
      </c>
      <c r="Y120" s="12">
        <f t="shared" si="1"/>
        <v>2</v>
      </c>
      <c r="Z120" s="12" t="s">
        <v>701</v>
      </c>
      <c r="AA120" s="12" t="s">
        <v>206</v>
      </c>
      <c r="AB120" s="12">
        <v>6.0</v>
      </c>
      <c r="AC120" s="12">
        <v>6.0</v>
      </c>
      <c r="AD120" s="12">
        <v>6.0</v>
      </c>
      <c r="AE120" s="12">
        <v>3.0</v>
      </c>
      <c r="AF120" s="12">
        <v>3.0</v>
      </c>
      <c r="AG120" s="12">
        <v>6.0</v>
      </c>
      <c r="AH120" s="12" t="s">
        <v>702</v>
      </c>
      <c r="AI120" s="12" t="s">
        <v>206</v>
      </c>
      <c r="AJ120" s="12">
        <v>6.0</v>
      </c>
      <c r="AK120" s="12">
        <v>6.0</v>
      </c>
      <c r="AL120" s="12">
        <v>6.0</v>
      </c>
      <c r="AM120" s="12">
        <v>5.0</v>
      </c>
      <c r="AN120" s="12">
        <f t="shared" si="2"/>
        <v>3</v>
      </c>
      <c r="AO120" s="12">
        <v>4.0</v>
      </c>
      <c r="AP120" s="12">
        <f t="shared" si="3"/>
        <v>4</v>
      </c>
      <c r="AQ120" s="12">
        <v>5.0</v>
      </c>
      <c r="AR120" s="12">
        <f t="shared" si="4"/>
        <v>3</v>
      </c>
      <c r="AS120" s="12">
        <v>3.0</v>
      </c>
      <c r="AT120" s="12">
        <f t="shared" si="5"/>
        <v>5</v>
      </c>
      <c r="AU120" s="12" t="s">
        <v>703</v>
      </c>
    </row>
    <row r="121">
      <c r="A121" s="14">
        <f>IFERROR(__xludf.DUMMYFUNCTION("IF(E121="""", """", VALUE(REGEXREPLACE(E121, ""^[Pp]"", """")))"),31.0)</f>
        <v>31</v>
      </c>
      <c r="B121" s="14">
        <v>813.0</v>
      </c>
      <c r="C121" s="15">
        <v>45869.31875</v>
      </c>
      <c r="D121" s="12" t="s">
        <v>712</v>
      </c>
      <c r="E121" s="12" t="s">
        <v>679</v>
      </c>
      <c r="F121" s="12" t="s">
        <v>211</v>
      </c>
      <c r="G121" s="12" t="str">
        <f>IFERROR(__xludf.DUMMYFUNCTION("IF(SPLIT(F121,""-"")=""HR"",""High"",""Low"")"),"High")</f>
        <v>High</v>
      </c>
      <c r="H121" s="12" t="str">
        <f>IFERROR(__xludf.DUMMYFUNCTION("INDEX(SPLIT(F121, ""-""), 2)"),"Web")</f>
        <v>Web</v>
      </c>
      <c r="I121" s="12">
        <v>4.0</v>
      </c>
      <c r="J121" s="12">
        <v>4.0</v>
      </c>
      <c r="K121" s="12">
        <v>2.0</v>
      </c>
      <c r="L121" s="12" t="s">
        <v>199</v>
      </c>
      <c r="M121" s="12">
        <v>5.0</v>
      </c>
      <c r="N121" s="12">
        <v>6.0</v>
      </c>
      <c r="O121" s="12">
        <v>4.0</v>
      </c>
      <c r="P121" s="12">
        <v>2.0</v>
      </c>
      <c r="Q121" s="12">
        <v>5.0</v>
      </c>
      <c r="R121" s="12">
        <v>6.0</v>
      </c>
      <c r="S121" s="12">
        <v>6.0</v>
      </c>
      <c r="T121" s="12">
        <v>5.0</v>
      </c>
      <c r="U121" s="12">
        <v>2.0</v>
      </c>
      <c r="V121" s="12">
        <v>3.0</v>
      </c>
      <c r="W121" s="12">
        <v>6.0</v>
      </c>
      <c r="X121" s="12">
        <v>6.0</v>
      </c>
      <c r="Y121" s="12">
        <f t="shared" si="1"/>
        <v>2</v>
      </c>
      <c r="Z121" s="12" t="s">
        <v>713</v>
      </c>
      <c r="AA121" s="12" t="s">
        <v>206</v>
      </c>
      <c r="AB121" s="12">
        <v>6.0</v>
      </c>
      <c r="AC121" s="12">
        <v>6.0</v>
      </c>
      <c r="AD121" s="12">
        <v>6.0</v>
      </c>
      <c r="AE121" s="12">
        <v>5.0</v>
      </c>
      <c r="AF121" s="12">
        <v>5.0</v>
      </c>
      <c r="AG121" s="12">
        <v>6.0</v>
      </c>
      <c r="AH121" s="12" t="s">
        <v>714</v>
      </c>
      <c r="AI121" s="12" t="s">
        <v>206</v>
      </c>
      <c r="AJ121" s="12">
        <v>6.0</v>
      </c>
      <c r="AK121" s="12">
        <v>6.0</v>
      </c>
      <c r="AL121" s="12">
        <v>5.0</v>
      </c>
      <c r="AM121" s="12">
        <v>1.0</v>
      </c>
      <c r="AN121" s="12">
        <f t="shared" si="2"/>
        <v>7</v>
      </c>
      <c r="AO121" s="12">
        <v>1.0</v>
      </c>
      <c r="AP121" s="12">
        <f t="shared" si="3"/>
        <v>7</v>
      </c>
      <c r="AQ121" s="12">
        <v>1.0</v>
      </c>
      <c r="AR121" s="12">
        <f t="shared" si="4"/>
        <v>7</v>
      </c>
      <c r="AS121" s="12">
        <v>1.0</v>
      </c>
      <c r="AT121" s="12">
        <f t="shared" si="5"/>
        <v>7</v>
      </c>
      <c r="AU121" s="12" t="s">
        <v>715</v>
      </c>
    </row>
    <row r="122">
      <c r="F122" s="3" t="str">
        <f t="array" ref="F122:F125">UNIQUE(F2:F121)</f>
        <v>HR-Web</v>
      </c>
      <c r="G122" s="3">
        <f t="shared" ref="G122:G125" si="6">COUNTIF(F2:F121,F122)</f>
        <v>30</v>
      </c>
    </row>
    <row r="123">
      <c r="F123" s="3" t="s">
        <v>216</v>
      </c>
      <c r="G123" s="3">
        <f t="shared" si="6"/>
        <v>31</v>
      </c>
    </row>
    <row r="124">
      <c r="F124" s="3" t="s">
        <v>197</v>
      </c>
      <c r="G124" s="3">
        <f t="shared" si="6"/>
        <v>31</v>
      </c>
    </row>
    <row r="125">
      <c r="F125" s="3" t="s">
        <v>263</v>
      </c>
      <c r="G125" s="3">
        <f t="shared" si="6"/>
        <v>28</v>
      </c>
    </row>
  </sheetData>
  <mergeCells count="3">
    <mergeCell ref="AH14:AI14"/>
    <mergeCell ref="AH83:AI83"/>
    <mergeCell ref="AH84:AI8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44</v>
      </c>
      <c r="B1" s="5" t="s">
        <v>45</v>
      </c>
      <c r="C1" s="5" t="s">
        <v>46</v>
      </c>
      <c r="D1" s="5" t="s">
        <v>47</v>
      </c>
      <c r="E1" s="5" t="s">
        <v>48</v>
      </c>
      <c r="F1" s="5" t="s">
        <v>49</v>
      </c>
      <c r="G1" s="5" t="s">
        <v>50</v>
      </c>
      <c r="H1" s="5" t="s">
        <v>51</v>
      </c>
      <c r="I1" s="5" t="s">
        <v>52</v>
      </c>
      <c r="J1" s="5" t="s">
        <v>53</v>
      </c>
      <c r="K1" s="5" t="s">
        <v>54</v>
      </c>
      <c r="L1" s="5" t="s">
        <v>55</v>
      </c>
      <c r="M1" s="5" t="s">
        <v>56</v>
      </c>
      <c r="N1" s="5" t="s">
        <v>57</v>
      </c>
      <c r="O1" s="5" t="s">
        <v>58</v>
      </c>
      <c r="P1" s="5" t="s">
        <v>59</v>
      </c>
      <c r="Q1" s="5" t="s">
        <v>60</v>
      </c>
      <c r="R1" s="5" t="s">
        <v>774</v>
      </c>
      <c r="S1" s="5" t="s">
        <v>61</v>
      </c>
      <c r="T1" s="5" t="s">
        <v>775</v>
      </c>
      <c r="U1" s="5" t="s">
        <v>776</v>
      </c>
      <c r="V1" s="5" t="s">
        <v>777</v>
      </c>
      <c r="W1" s="5" t="s">
        <v>778</v>
      </c>
      <c r="X1" s="5" t="s">
        <v>779</v>
      </c>
      <c r="Y1" s="5" t="s">
        <v>780</v>
      </c>
      <c r="Z1" s="5" t="s">
        <v>781</v>
      </c>
      <c r="AA1" s="5" t="s">
        <v>782</v>
      </c>
      <c r="AB1" s="5" t="s">
        <v>783</v>
      </c>
    </row>
    <row r="2">
      <c r="A2" s="5" t="s">
        <v>96</v>
      </c>
      <c r="B2" s="5" t="s">
        <v>97</v>
      </c>
      <c r="C2" s="5" t="s">
        <v>98</v>
      </c>
      <c r="D2" s="5" t="s">
        <v>99</v>
      </c>
      <c r="E2" s="5" t="s">
        <v>48</v>
      </c>
      <c r="F2" s="5" t="s">
        <v>49</v>
      </c>
      <c r="G2" s="5" t="s">
        <v>50</v>
      </c>
      <c r="H2" s="5" t="s">
        <v>100</v>
      </c>
      <c r="I2" s="5" t="s">
        <v>101</v>
      </c>
      <c r="J2" s="5" t="s">
        <v>102</v>
      </c>
      <c r="K2" s="5" t="s">
        <v>103</v>
      </c>
      <c r="L2" s="5" t="s">
        <v>104</v>
      </c>
      <c r="M2" s="5" t="s">
        <v>105</v>
      </c>
      <c r="N2" s="5" t="s">
        <v>106</v>
      </c>
      <c r="O2" s="5" t="s">
        <v>107</v>
      </c>
      <c r="P2" s="5" t="s">
        <v>108</v>
      </c>
      <c r="Q2" s="5" t="s">
        <v>109</v>
      </c>
      <c r="R2" s="5" t="s">
        <v>774</v>
      </c>
      <c r="S2" s="5" t="s">
        <v>110</v>
      </c>
      <c r="T2" s="5" t="s">
        <v>784</v>
      </c>
      <c r="U2" s="5" t="s">
        <v>785</v>
      </c>
      <c r="V2" s="5" t="s">
        <v>786</v>
      </c>
      <c r="W2" s="5" t="s">
        <v>787</v>
      </c>
      <c r="X2" s="5" t="s">
        <v>788</v>
      </c>
      <c r="Y2" s="5" t="s">
        <v>789</v>
      </c>
      <c r="Z2" s="5" t="s">
        <v>790</v>
      </c>
      <c r="AA2" s="5" t="s">
        <v>791</v>
      </c>
      <c r="AB2" s="5" t="s">
        <v>792</v>
      </c>
    </row>
    <row r="3">
      <c r="A3" s="5" t="s">
        <v>140</v>
      </c>
      <c r="B3" s="5" t="s">
        <v>141</v>
      </c>
      <c r="C3" s="5" t="s">
        <v>142</v>
      </c>
      <c r="D3" s="5" t="s">
        <v>143</v>
      </c>
      <c r="E3" s="5" t="s">
        <v>144</v>
      </c>
      <c r="F3" s="5" t="s">
        <v>145</v>
      </c>
      <c r="G3" s="5" t="s">
        <v>146</v>
      </c>
      <c r="H3" s="5" t="s">
        <v>147</v>
      </c>
      <c r="I3" s="5" t="s">
        <v>148</v>
      </c>
      <c r="J3" s="5" t="s">
        <v>149</v>
      </c>
      <c r="K3" s="5" t="s">
        <v>150</v>
      </c>
      <c r="L3" s="5" t="s">
        <v>151</v>
      </c>
      <c r="M3" s="5" t="s">
        <v>152</v>
      </c>
      <c r="N3" s="5" t="s">
        <v>153</v>
      </c>
      <c r="O3" s="5" t="s">
        <v>154</v>
      </c>
      <c r="P3" s="5" t="s">
        <v>155</v>
      </c>
      <c r="Q3" s="5" t="s">
        <v>156</v>
      </c>
      <c r="R3" s="5" t="s">
        <v>793</v>
      </c>
      <c r="S3" s="5" t="s">
        <v>157</v>
      </c>
      <c r="T3" s="5" t="s">
        <v>794</v>
      </c>
      <c r="U3" s="5" t="s">
        <v>795</v>
      </c>
      <c r="V3" s="5" t="s">
        <v>796</v>
      </c>
      <c r="W3" s="5" t="s">
        <v>797</v>
      </c>
      <c r="X3" s="5" t="s">
        <v>798</v>
      </c>
      <c r="Y3" s="5" t="s">
        <v>799</v>
      </c>
      <c r="Z3" s="5" t="s">
        <v>800</v>
      </c>
      <c r="AA3" s="5" t="s">
        <v>801</v>
      </c>
      <c r="AB3" s="5" t="s">
        <v>802</v>
      </c>
    </row>
    <row r="4">
      <c r="A4" s="7">
        <v>45867.200694444444</v>
      </c>
      <c r="B4" s="7">
        <v>45867.20277777778</v>
      </c>
      <c r="C4" s="5" t="s">
        <v>99</v>
      </c>
      <c r="D4" s="5" t="s">
        <v>192</v>
      </c>
      <c r="E4" s="8">
        <v>100.0</v>
      </c>
      <c r="F4" s="8">
        <v>157.0</v>
      </c>
      <c r="G4" s="9" t="b">
        <v>1</v>
      </c>
      <c r="H4" s="7">
        <v>45867.20277777778</v>
      </c>
      <c r="I4" s="5" t="s">
        <v>803</v>
      </c>
      <c r="K4" s="10"/>
      <c r="L4" s="10"/>
      <c r="M4" s="10"/>
      <c r="N4" s="8">
        <v>60.1816</v>
      </c>
      <c r="O4" s="8">
        <v>24.8368</v>
      </c>
      <c r="P4" s="5" t="s">
        <v>194</v>
      </c>
      <c r="Q4" s="5" t="s">
        <v>195</v>
      </c>
      <c r="R4" s="5" t="s">
        <v>804</v>
      </c>
      <c r="S4" s="5" t="s">
        <v>318</v>
      </c>
      <c r="T4" s="8">
        <v>29.0</v>
      </c>
      <c r="U4" s="5" t="s">
        <v>805</v>
      </c>
      <c r="V4" s="10"/>
      <c r="W4" s="5" t="s">
        <v>806</v>
      </c>
      <c r="X4" s="5" t="s">
        <v>807</v>
      </c>
      <c r="Y4" s="5" t="s">
        <v>808</v>
      </c>
      <c r="Z4" s="5" t="s">
        <v>809</v>
      </c>
      <c r="AA4" s="8">
        <v>1.0</v>
      </c>
      <c r="AB4" s="8">
        <v>2.0</v>
      </c>
    </row>
    <row r="5">
      <c r="A5" s="7">
        <v>45867.05416666667</v>
      </c>
      <c r="B5" s="7">
        <v>45867.08541666667</v>
      </c>
      <c r="C5" s="5" t="s">
        <v>99</v>
      </c>
      <c r="D5" s="5" t="s">
        <v>256</v>
      </c>
      <c r="E5" s="8">
        <v>100.0</v>
      </c>
      <c r="F5" s="8">
        <v>2670.0</v>
      </c>
      <c r="G5" s="9" t="b">
        <v>1</v>
      </c>
      <c r="H5" s="7">
        <v>45867.08541666667</v>
      </c>
      <c r="I5" s="5" t="s">
        <v>810</v>
      </c>
      <c r="L5" s="10"/>
      <c r="M5" s="10"/>
      <c r="N5" s="8">
        <v>60.1816</v>
      </c>
      <c r="O5" s="8">
        <v>24.8368</v>
      </c>
      <c r="P5" s="5" t="s">
        <v>194</v>
      </c>
      <c r="Q5" s="5" t="s">
        <v>195</v>
      </c>
      <c r="R5" s="5" t="s">
        <v>804</v>
      </c>
      <c r="S5" s="5" t="s">
        <v>289</v>
      </c>
      <c r="T5" s="8">
        <v>23.0</v>
      </c>
      <c r="U5" s="5" t="s">
        <v>805</v>
      </c>
      <c r="V5" s="10"/>
      <c r="W5" s="5" t="s">
        <v>811</v>
      </c>
      <c r="X5" s="5" t="s">
        <v>807</v>
      </c>
      <c r="Y5" s="5" t="s">
        <v>812</v>
      </c>
      <c r="Z5" s="5" t="s">
        <v>813</v>
      </c>
      <c r="AA5" s="8">
        <v>1.0</v>
      </c>
      <c r="AB5" s="8">
        <v>7.0</v>
      </c>
    </row>
    <row r="6">
      <c r="A6" s="7">
        <v>45867.080555555556</v>
      </c>
      <c r="B6" s="7">
        <v>45867.08125</v>
      </c>
      <c r="C6" s="5" t="s">
        <v>99</v>
      </c>
      <c r="D6" s="5" t="s">
        <v>192</v>
      </c>
      <c r="E6" s="8">
        <v>100.0</v>
      </c>
      <c r="F6" s="8">
        <v>89.0</v>
      </c>
      <c r="G6" s="9" t="b">
        <v>1</v>
      </c>
      <c r="H6" s="7">
        <v>45867.08125</v>
      </c>
      <c r="I6" s="5" t="s">
        <v>814</v>
      </c>
      <c r="K6" s="10"/>
      <c r="L6" s="10"/>
      <c r="M6" s="10"/>
      <c r="N6" s="8">
        <v>60.1816</v>
      </c>
      <c r="O6" s="8">
        <v>24.8368</v>
      </c>
      <c r="P6" s="5" t="s">
        <v>194</v>
      </c>
      <c r="Q6" s="5" t="s">
        <v>195</v>
      </c>
      <c r="R6" s="10"/>
      <c r="S6" s="5" t="s">
        <v>284</v>
      </c>
      <c r="T6" s="8">
        <v>24.0</v>
      </c>
      <c r="U6" s="5" t="s">
        <v>805</v>
      </c>
      <c r="V6" s="10"/>
      <c r="W6" s="5" t="s">
        <v>815</v>
      </c>
      <c r="X6" s="5" t="s">
        <v>816</v>
      </c>
      <c r="Y6" s="5" t="s">
        <v>817</v>
      </c>
      <c r="Z6" s="5" t="s">
        <v>813</v>
      </c>
      <c r="AA6" s="8">
        <v>5.0</v>
      </c>
      <c r="AB6" s="8">
        <v>5.0</v>
      </c>
    </row>
    <row r="7">
      <c r="A7" s="7">
        <v>45866.30069444444</v>
      </c>
      <c r="B7" s="7">
        <v>45867.010416666664</v>
      </c>
      <c r="C7" s="5" t="s">
        <v>99</v>
      </c>
      <c r="D7" s="5" t="s">
        <v>256</v>
      </c>
      <c r="E7" s="8">
        <v>100.0</v>
      </c>
      <c r="F7" s="8">
        <v>61319.0</v>
      </c>
      <c r="G7" s="9" t="b">
        <v>1</v>
      </c>
      <c r="H7" s="7">
        <v>45867.010416666664</v>
      </c>
      <c r="I7" s="5" t="s">
        <v>818</v>
      </c>
      <c r="K7" s="10"/>
      <c r="L7" s="10"/>
      <c r="M7" s="10"/>
      <c r="N7" s="8">
        <v>60.2498</v>
      </c>
      <c r="O7" s="8">
        <v>24.9939</v>
      </c>
      <c r="P7" s="5" t="s">
        <v>194</v>
      </c>
      <c r="Q7" s="5" t="s">
        <v>195</v>
      </c>
      <c r="R7" s="5" t="s">
        <v>804</v>
      </c>
      <c r="S7" s="5" t="s">
        <v>258</v>
      </c>
      <c r="T7" s="8">
        <v>40.0</v>
      </c>
      <c r="U7" s="5" t="s">
        <v>819</v>
      </c>
      <c r="V7" s="10"/>
      <c r="W7" s="5" t="s">
        <v>820</v>
      </c>
      <c r="X7" s="5" t="s">
        <v>816</v>
      </c>
      <c r="Y7" s="5" t="s">
        <v>821</v>
      </c>
      <c r="Z7" s="5" t="s">
        <v>822</v>
      </c>
      <c r="AA7" s="8">
        <v>5.0</v>
      </c>
      <c r="AB7" s="8">
        <v>5.0</v>
      </c>
    </row>
    <row r="8">
      <c r="A8" s="7">
        <v>45869.01458333333</v>
      </c>
      <c r="B8" s="7">
        <v>45869.01527777778</v>
      </c>
      <c r="C8" s="5" t="s">
        <v>99</v>
      </c>
      <c r="D8" s="5" t="s">
        <v>192</v>
      </c>
      <c r="E8" s="8">
        <v>100.0</v>
      </c>
      <c r="F8" s="8">
        <v>85.0</v>
      </c>
      <c r="G8" s="9" t="b">
        <v>1</v>
      </c>
      <c r="H8" s="7">
        <v>45869.01527777778</v>
      </c>
      <c r="I8" s="5" t="s">
        <v>823</v>
      </c>
      <c r="K8" s="10"/>
      <c r="L8" s="10"/>
      <c r="M8" s="10"/>
      <c r="N8" s="8">
        <v>60.1816</v>
      </c>
      <c r="O8" s="8">
        <v>24.8368</v>
      </c>
      <c r="P8" s="5" t="s">
        <v>194</v>
      </c>
      <c r="Q8" s="5" t="s">
        <v>195</v>
      </c>
      <c r="R8" s="5" t="s">
        <v>804</v>
      </c>
      <c r="S8" s="5" t="s">
        <v>536</v>
      </c>
      <c r="T8" s="8">
        <v>27.0</v>
      </c>
      <c r="U8" s="5" t="s">
        <v>805</v>
      </c>
      <c r="V8" s="10"/>
      <c r="W8" s="5" t="s">
        <v>824</v>
      </c>
      <c r="X8" s="5" t="s">
        <v>807</v>
      </c>
      <c r="Y8" s="5" t="s">
        <v>825</v>
      </c>
      <c r="Z8" s="5" t="s">
        <v>826</v>
      </c>
      <c r="AA8" s="8">
        <v>1.0</v>
      </c>
      <c r="AB8" s="8">
        <v>1.0</v>
      </c>
    </row>
    <row r="9">
      <c r="A9" s="7">
        <v>45866.291666666664</v>
      </c>
      <c r="B9" s="7">
        <v>45866.29305555556</v>
      </c>
      <c r="C9" s="5" t="s">
        <v>99</v>
      </c>
      <c r="D9" s="5" t="s">
        <v>192</v>
      </c>
      <c r="E9" s="8">
        <v>100.0</v>
      </c>
      <c r="F9" s="8">
        <v>105.0</v>
      </c>
      <c r="G9" s="9" t="b">
        <v>1</v>
      </c>
      <c r="H9" s="7">
        <v>45866.29305555556</v>
      </c>
      <c r="I9" s="5" t="s">
        <v>827</v>
      </c>
      <c r="K9" s="10"/>
      <c r="L9" s="10"/>
      <c r="M9" s="10"/>
      <c r="N9" s="8">
        <v>60.1816</v>
      </c>
      <c r="O9" s="8">
        <v>24.8368</v>
      </c>
      <c r="P9" s="5" t="s">
        <v>194</v>
      </c>
      <c r="Q9" s="5" t="s">
        <v>195</v>
      </c>
      <c r="R9" s="5" t="s">
        <v>804</v>
      </c>
      <c r="S9" s="5" t="s">
        <v>239</v>
      </c>
      <c r="T9" s="8">
        <v>34.0</v>
      </c>
      <c r="U9" s="5" t="s">
        <v>819</v>
      </c>
      <c r="V9" s="10"/>
      <c r="W9" s="5" t="s">
        <v>828</v>
      </c>
      <c r="X9" s="5" t="s">
        <v>807</v>
      </c>
      <c r="Y9" s="5" t="s">
        <v>821</v>
      </c>
      <c r="Z9" s="5" t="s">
        <v>822</v>
      </c>
      <c r="AA9" s="8">
        <v>4.0</v>
      </c>
      <c r="AB9" s="8">
        <v>4.0</v>
      </c>
    </row>
    <row r="10">
      <c r="A10" s="7">
        <v>45869.26111111111</v>
      </c>
      <c r="B10" s="7">
        <v>45869.2625</v>
      </c>
      <c r="C10" s="5" t="s">
        <v>99</v>
      </c>
      <c r="D10" s="5" t="s">
        <v>192</v>
      </c>
      <c r="E10" s="8">
        <v>100.0</v>
      </c>
      <c r="F10" s="8">
        <v>81.0</v>
      </c>
      <c r="G10" s="9" t="b">
        <v>1</v>
      </c>
      <c r="H10" s="7">
        <v>45869.2625</v>
      </c>
      <c r="I10" s="5" t="s">
        <v>829</v>
      </c>
      <c r="K10" s="10"/>
      <c r="L10" s="10"/>
      <c r="M10" s="10"/>
      <c r="N10" s="8">
        <v>60.1816</v>
      </c>
      <c r="O10" s="8">
        <v>24.8368</v>
      </c>
      <c r="P10" s="5" t="s">
        <v>194</v>
      </c>
      <c r="Q10" s="5" t="s">
        <v>195</v>
      </c>
      <c r="R10" s="10"/>
      <c r="S10" s="5" t="s">
        <v>679</v>
      </c>
      <c r="T10" s="8">
        <v>25.0</v>
      </c>
      <c r="U10" s="5" t="s">
        <v>819</v>
      </c>
      <c r="V10" s="10"/>
      <c r="W10" s="5" t="s">
        <v>830</v>
      </c>
      <c r="X10" s="5" t="s">
        <v>807</v>
      </c>
      <c r="Y10" s="5" t="s">
        <v>831</v>
      </c>
      <c r="Z10" s="5" t="s">
        <v>813</v>
      </c>
      <c r="AA10" s="8">
        <v>5.0</v>
      </c>
      <c r="AB10" s="8">
        <v>6.0</v>
      </c>
    </row>
    <row r="11">
      <c r="A11" s="7">
        <v>45869.240277777775</v>
      </c>
      <c r="B11" s="7">
        <v>45869.24166666667</v>
      </c>
      <c r="C11" s="5" t="s">
        <v>99</v>
      </c>
      <c r="D11" s="5" t="s">
        <v>347</v>
      </c>
      <c r="E11" s="8">
        <v>100.0</v>
      </c>
      <c r="F11" s="8">
        <v>125.0</v>
      </c>
      <c r="G11" s="9" t="b">
        <v>1</v>
      </c>
      <c r="H11" s="7">
        <v>45869.24166666667</v>
      </c>
      <c r="I11" s="5" t="s">
        <v>832</v>
      </c>
      <c r="K11" s="10"/>
      <c r="L11" s="10"/>
      <c r="M11" s="10"/>
      <c r="N11" s="8">
        <v>60.2141</v>
      </c>
      <c r="O11" s="8">
        <v>24.896</v>
      </c>
      <c r="P11" s="5" t="s">
        <v>194</v>
      </c>
      <c r="Q11" s="5" t="s">
        <v>195</v>
      </c>
      <c r="R11" s="10"/>
      <c r="S11" s="5" t="s">
        <v>669</v>
      </c>
      <c r="T11" s="8">
        <v>31.0</v>
      </c>
      <c r="U11" s="5" t="s">
        <v>805</v>
      </c>
      <c r="V11" s="10"/>
      <c r="W11" s="5" t="s">
        <v>833</v>
      </c>
      <c r="X11" s="5" t="s">
        <v>807</v>
      </c>
      <c r="Y11" s="5" t="s">
        <v>817</v>
      </c>
      <c r="Z11" s="5" t="s">
        <v>834</v>
      </c>
      <c r="AA11" s="8">
        <v>1.0</v>
      </c>
      <c r="AB11" s="8">
        <v>1.0</v>
      </c>
    </row>
    <row r="12">
      <c r="A12" s="7">
        <v>45866.28958333333</v>
      </c>
      <c r="B12" s="7">
        <v>45866.29305555556</v>
      </c>
      <c r="C12" s="5" t="s">
        <v>99</v>
      </c>
      <c r="D12" s="5" t="s">
        <v>237</v>
      </c>
      <c r="E12" s="8">
        <v>100.0</v>
      </c>
      <c r="F12" s="8">
        <v>258.0</v>
      </c>
      <c r="G12" s="9" t="b">
        <v>1</v>
      </c>
      <c r="H12" s="7">
        <v>45866.29305555556</v>
      </c>
      <c r="I12" s="5" t="s">
        <v>835</v>
      </c>
      <c r="K12" s="10"/>
      <c r="L12" s="10"/>
      <c r="M12" s="10"/>
      <c r="N12" s="8">
        <v>60.2498</v>
      </c>
      <c r="O12" s="8">
        <v>24.9939</v>
      </c>
      <c r="P12" s="5" t="s">
        <v>194</v>
      </c>
      <c r="Q12" s="5" t="s">
        <v>195</v>
      </c>
      <c r="R12" s="5" t="s">
        <v>804</v>
      </c>
      <c r="S12" s="5" t="s">
        <v>244</v>
      </c>
      <c r="T12" s="8">
        <v>25.0</v>
      </c>
      <c r="U12" s="5" t="s">
        <v>819</v>
      </c>
      <c r="V12" s="10"/>
      <c r="W12" s="5" t="s">
        <v>824</v>
      </c>
      <c r="X12" s="5" t="s">
        <v>816</v>
      </c>
      <c r="Y12" s="5" t="s">
        <v>836</v>
      </c>
      <c r="Z12" s="5" t="s">
        <v>813</v>
      </c>
      <c r="AA12" s="8">
        <v>6.0</v>
      </c>
      <c r="AB12" s="8">
        <v>2.0</v>
      </c>
    </row>
    <row r="13">
      <c r="A13" s="7">
        <v>45869.23333333333</v>
      </c>
      <c r="B13" s="7">
        <v>45869.23472222222</v>
      </c>
      <c r="C13" s="5" t="s">
        <v>99</v>
      </c>
      <c r="D13" s="5" t="s">
        <v>347</v>
      </c>
      <c r="E13" s="8">
        <v>100.0</v>
      </c>
      <c r="F13" s="8">
        <v>102.0</v>
      </c>
      <c r="G13" s="9" t="b">
        <v>1</v>
      </c>
      <c r="H13" s="7">
        <v>45869.23472222222</v>
      </c>
      <c r="I13" s="5" t="s">
        <v>837</v>
      </c>
      <c r="K13" s="10"/>
      <c r="L13" s="10"/>
      <c r="M13" s="10"/>
      <c r="N13" s="8">
        <v>60.2141</v>
      </c>
      <c r="O13" s="8">
        <v>24.896</v>
      </c>
      <c r="P13" s="5" t="s">
        <v>194</v>
      </c>
      <c r="Q13" s="5" t="s">
        <v>195</v>
      </c>
      <c r="R13" s="5" t="s">
        <v>804</v>
      </c>
      <c r="S13" s="5" t="s">
        <v>674</v>
      </c>
      <c r="T13" s="8">
        <v>25.0</v>
      </c>
      <c r="U13" s="5" t="s">
        <v>805</v>
      </c>
      <c r="V13" s="10"/>
      <c r="W13" s="5" t="s">
        <v>824</v>
      </c>
      <c r="X13" s="5" t="s">
        <v>807</v>
      </c>
      <c r="Y13" s="5" t="s">
        <v>817</v>
      </c>
      <c r="Z13" s="5" t="s">
        <v>838</v>
      </c>
      <c r="AA13" s="8">
        <v>6.0</v>
      </c>
      <c r="AB13" s="8">
        <v>4.0</v>
      </c>
    </row>
    <row r="14">
      <c r="A14" s="7">
        <v>45869.208333333336</v>
      </c>
      <c r="B14" s="7">
        <v>45869.209027777775</v>
      </c>
      <c r="C14" s="5" t="s">
        <v>99</v>
      </c>
      <c r="D14" s="5" t="s">
        <v>347</v>
      </c>
      <c r="E14" s="8">
        <v>100.0</v>
      </c>
      <c r="F14" s="8">
        <v>65.0</v>
      </c>
      <c r="G14" s="9" t="b">
        <v>1</v>
      </c>
      <c r="H14" s="7">
        <v>45869.209027777775</v>
      </c>
      <c r="I14" s="5" t="s">
        <v>839</v>
      </c>
      <c r="K14" s="10"/>
      <c r="L14" s="10"/>
      <c r="M14" s="10"/>
      <c r="N14" s="8">
        <v>60.2141</v>
      </c>
      <c r="O14" s="8">
        <v>24.896</v>
      </c>
      <c r="P14" s="5" t="s">
        <v>194</v>
      </c>
      <c r="Q14" s="5" t="s">
        <v>195</v>
      </c>
      <c r="R14" s="5" t="s">
        <v>804</v>
      </c>
      <c r="S14" s="5" t="s">
        <v>655</v>
      </c>
      <c r="T14" s="8">
        <v>34.0</v>
      </c>
      <c r="U14" s="5" t="s">
        <v>819</v>
      </c>
      <c r="V14" s="10"/>
      <c r="W14" s="5" t="s">
        <v>840</v>
      </c>
      <c r="X14" s="5" t="s">
        <v>807</v>
      </c>
      <c r="Y14" s="5" t="s">
        <v>841</v>
      </c>
      <c r="Z14" s="5" t="s">
        <v>842</v>
      </c>
      <c r="AA14" s="8">
        <v>7.0</v>
      </c>
      <c r="AB14" s="8">
        <v>5.0</v>
      </c>
    </row>
    <row r="15">
      <c r="A15" s="7">
        <v>45869.17083333333</v>
      </c>
      <c r="B15" s="7">
        <v>45869.17291666667</v>
      </c>
      <c r="C15" s="5" t="s">
        <v>99</v>
      </c>
      <c r="D15" s="5" t="s">
        <v>529</v>
      </c>
      <c r="E15" s="8">
        <v>100.0</v>
      </c>
      <c r="F15" s="8">
        <v>143.0</v>
      </c>
      <c r="G15" s="9" t="b">
        <v>1</v>
      </c>
      <c r="H15" s="7">
        <v>45869.17291666667</v>
      </c>
      <c r="I15" s="5" t="s">
        <v>843</v>
      </c>
      <c r="K15" s="10"/>
      <c r="L15" s="10"/>
      <c r="M15" s="10"/>
      <c r="N15" s="8">
        <v>60.1816</v>
      </c>
      <c r="O15" s="8">
        <v>24.8368</v>
      </c>
      <c r="P15" s="5" t="s">
        <v>194</v>
      </c>
      <c r="Q15" s="5" t="s">
        <v>195</v>
      </c>
      <c r="R15" s="5" t="s">
        <v>804</v>
      </c>
      <c r="S15" s="5" t="s">
        <v>607</v>
      </c>
      <c r="T15" s="8">
        <v>25.0</v>
      </c>
      <c r="U15" s="5" t="s">
        <v>805</v>
      </c>
      <c r="V15" s="10"/>
      <c r="W15" s="5" t="s">
        <v>844</v>
      </c>
      <c r="X15" s="5" t="s">
        <v>807</v>
      </c>
      <c r="Y15" s="5" t="s">
        <v>845</v>
      </c>
      <c r="Z15" s="5" t="s">
        <v>838</v>
      </c>
      <c r="AA15" s="8">
        <v>1.0</v>
      </c>
      <c r="AB15" s="8">
        <v>2.0</v>
      </c>
    </row>
    <row r="16">
      <c r="A16" s="7">
        <v>45869.18402777778</v>
      </c>
      <c r="B16" s="7">
        <v>45869.18541666667</v>
      </c>
      <c r="C16" s="5" t="s">
        <v>99</v>
      </c>
      <c r="D16" s="5" t="s">
        <v>383</v>
      </c>
      <c r="E16" s="8">
        <v>100.0</v>
      </c>
      <c r="F16" s="8">
        <v>106.0</v>
      </c>
      <c r="G16" s="9" t="b">
        <v>1</v>
      </c>
      <c r="H16" s="7">
        <v>45869.18541666667</v>
      </c>
      <c r="I16" s="5" t="s">
        <v>846</v>
      </c>
      <c r="K16" s="10"/>
      <c r="L16" s="10"/>
      <c r="M16" s="10"/>
      <c r="N16" s="8">
        <v>60.1816</v>
      </c>
      <c r="O16" s="8">
        <v>24.8368</v>
      </c>
      <c r="P16" s="5" t="s">
        <v>194</v>
      </c>
      <c r="Q16" s="5" t="s">
        <v>195</v>
      </c>
      <c r="R16" s="5" t="s">
        <v>804</v>
      </c>
      <c r="S16" s="5" t="s">
        <v>602</v>
      </c>
      <c r="T16" s="8">
        <v>26.0</v>
      </c>
      <c r="U16" s="5" t="s">
        <v>805</v>
      </c>
      <c r="V16" s="10"/>
      <c r="W16" s="5" t="s">
        <v>824</v>
      </c>
      <c r="X16" s="5" t="s">
        <v>807</v>
      </c>
      <c r="Y16" s="5" t="s">
        <v>847</v>
      </c>
      <c r="Z16" s="5" t="s">
        <v>826</v>
      </c>
      <c r="AA16" s="8">
        <v>1.0</v>
      </c>
      <c r="AB16" s="8">
        <v>1.0</v>
      </c>
    </row>
    <row r="17">
      <c r="A17" s="7">
        <v>45869.14791666667</v>
      </c>
      <c r="B17" s="7">
        <v>45869.15138888889</v>
      </c>
      <c r="C17" s="5" t="s">
        <v>99</v>
      </c>
      <c r="D17" s="5" t="s">
        <v>192</v>
      </c>
      <c r="E17" s="8">
        <v>100.0</v>
      </c>
      <c r="F17" s="8">
        <v>299.0</v>
      </c>
      <c r="G17" s="9" t="b">
        <v>1</v>
      </c>
      <c r="H17" s="7">
        <v>45869.15138888889</v>
      </c>
      <c r="I17" s="5" t="s">
        <v>848</v>
      </c>
      <c r="K17" s="10"/>
      <c r="L17" s="10"/>
      <c r="M17" s="10"/>
      <c r="N17" s="8">
        <v>60.1816</v>
      </c>
      <c r="O17" s="8">
        <v>24.8368</v>
      </c>
      <c r="P17" s="5" t="s">
        <v>194</v>
      </c>
      <c r="Q17" s="5" t="s">
        <v>195</v>
      </c>
      <c r="R17" s="5" t="s">
        <v>804</v>
      </c>
      <c r="S17" s="5" t="s">
        <v>595</v>
      </c>
      <c r="T17" s="8">
        <v>38.0</v>
      </c>
      <c r="U17" s="5" t="s">
        <v>819</v>
      </c>
      <c r="V17" s="10"/>
      <c r="W17" s="5" t="s">
        <v>849</v>
      </c>
      <c r="X17" s="5" t="s">
        <v>807</v>
      </c>
      <c r="Y17" s="5" t="s">
        <v>850</v>
      </c>
      <c r="Z17" s="5" t="s">
        <v>822</v>
      </c>
      <c r="AA17" s="8">
        <v>4.0</v>
      </c>
      <c r="AB17" s="8">
        <v>2.0</v>
      </c>
    </row>
    <row r="18">
      <c r="A18" s="7">
        <v>45869.08263888889</v>
      </c>
      <c r="B18" s="7">
        <v>45869.083333333336</v>
      </c>
      <c r="C18" s="5" t="s">
        <v>99</v>
      </c>
      <c r="D18" s="5" t="s">
        <v>347</v>
      </c>
      <c r="E18" s="8">
        <v>100.0</v>
      </c>
      <c r="F18" s="8">
        <v>114.0</v>
      </c>
      <c r="G18" s="9" t="b">
        <v>1</v>
      </c>
      <c r="H18" s="7">
        <v>45869.083333333336</v>
      </c>
      <c r="I18" s="5" t="s">
        <v>851</v>
      </c>
      <c r="L18" s="10"/>
      <c r="M18" s="10"/>
      <c r="N18" s="8">
        <v>60.2141</v>
      </c>
      <c r="O18" s="8">
        <v>24.896</v>
      </c>
      <c r="P18" s="5" t="s">
        <v>194</v>
      </c>
      <c r="Q18" s="5" t="s">
        <v>195</v>
      </c>
      <c r="R18" s="5" t="s">
        <v>804</v>
      </c>
      <c r="S18" s="5" t="s">
        <v>582</v>
      </c>
      <c r="T18" s="8">
        <v>23.0</v>
      </c>
      <c r="U18" s="5" t="s">
        <v>805</v>
      </c>
      <c r="V18" s="10"/>
      <c r="W18" s="5" t="s">
        <v>824</v>
      </c>
      <c r="X18" s="5" t="s">
        <v>807</v>
      </c>
      <c r="Y18" s="5" t="s">
        <v>825</v>
      </c>
      <c r="Z18" s="5" t="s">
        <v>813</v>
      </c>
      <c r="AA18" s="8">
        <v>1.0</v>
      </c>
      <c r="AB18" s="8">
        <v>1.0</v>
      </c>
    </row>
    <row r="19">
      <c r="A19" s="7">
        <v>45869.07638888889</v>
      </c>
      <c r="B19" s="7">
        <v>45869.07847222222</v>
      </c>
      <c r="C19" s="5" t="s">
        <v>99</v>
      </c>
      <c r="D19" s="5" t="s">
        <v>383</v>
      </c>
      <c r="E19" s="8">
        <v>100.0</v>
      </c>
      <c r="F19" s="8">
        <v>203.0</v>
      </c>
      <c r="G19" s="9" t="b">
        <v>1</v>
      </c>
      <c r="H19" s="7">
        <v>45869.07847222222</v>
      </c>
      <c r="I19" s="5" t="s">
        <v>852</v>
      </c>
      <c r="K19" s="10"/>
      <c r="L19" s="10"/>
      <c r="M19" s="10"/>
      <c r="N19" s="8">
        <v>60.1816</v>
      </c>
      <c r="O19" s="8">
        <v>24.8368</v>
      </c>
      <c r="P19" s="5" t="s">
        <v>194</v>
      </c>
      <c r="Q19" s="5" t="s">
        <v>195</v>
      </c>
      <c r="R19" s="10"/>
      <c r="S19" s="5" t="s">
        <v>573</v>
      </c>
      <c r="T19" s="8">
        <v>22.0</v>
      </c>
      <c r="U19" s="5" t="s">
        <v>805</v>
      </c>
      <c r="V19" s="10"/>
      <c r="W19" s="5" t="s">
        <v>824</v>
      </c>
      <c r="X19" s="5" t="s">
        <v>807</v>
      </c>
      <c r="Y19" s="5" t="s">
        <v>812</v>
      </c>
      <c r="Z19" s="5" t="s">
        <v>838</v>
      </c>
      <c r="AA19" s="8">
        <v>1.0</v>
      </c>
      <c r="AB19" s="8">
        <v>1.0</v>
      </c>
    </row>
    <row r="20">
      <c r="A20" s="7">
        <v>45869.00763888889</v>
      </c>
      <c r="B20" s="7">
        <v>45869.00902777778</v>
      </c>
      <c r="C20" s="5" t="s">
        <v>99</v>
      </c>
      <c r="D20" s="5" t="s">
        <v>529</v>
      </c>
      <c r="E20" s="8">
        <v>100.0</v>
      </c>
      <c r="F20" s="8">
        <v>90.0</v>
      </c>
      <c r="G20" s="9" t="b">
        <v>1</v>
      </c>
      <c r="H20" s="7">
        <v>45869.00902777778</v>
      </c>
      <c r="I20" s="5" t="s">
        <v>853</v>
      </c>
      <c r="K20" s="10"/>
      <c r="L20" s="10"/>
      <c r="M20" s="10"/>
      <c r="N20" s="8">
        <v>60.1816</v>
      </c>
      <c r="O20" s="8">
        <v>24.8368</v>
      </c>
      <c r="P20" s="5" t="s">
        <v>194</v>
      </c>
      <c r="Q20" s="5" t="s">
        <v>195</v>
      </c>
      <c r="R20" s="10"/>
      <c r="S20" s="5" t="s">
        <v>531</v>
      </c>
      <c r="T20" s="8">
        <v>26.0</v>
      </c>
      <c r="U20" s="5" t="s">
        <v>805</v>
      </c>
      <c r="V20" s="10"/>
      <c r="W20" s="5" t="s">
        <v>824</v>
      </c>
      <c r="X20" s="5" t="s">
        <v>807</v>
      </c>
      <c r="Y20" s="5" t="s">
        <v>812</v>
      </c>
      <c r="Z20" s="5" t="s">
        <v>854</v>
      </c>
      <c r="AA20" s="8">
        <v>1.0</v>
      </c>
      <c r="AB20" s="8">
        <v>3.0</v>
      </c>
    </row>
    <row r="21">
      <c r="A21" s="7">
        <v>45868.27013888889</v>
      </c>
      <c r="B21" s="7">
        <v>45868.274305555555</v>
      </c>
      <c r="C21" s="5" t="s">
        <v>99</v>
      </c>
      <c r="D21" s="5" t="s">
        <v>192</v>
      </c>
      <c r="E21" s="8">
        <v>100.0</v>
      </c>
      <c r="F21" s="8">
        <v>340.0</v>
      </c>
      <c r="G21" s="9" t="b">
        <v>1</v>
      </c>
      <c r="H21" s="7">
        <v>45868.274305555555</v>
      </c>
      <c r="I21" s="5" t="s">
        <v>855</v>
      </c>
      <c r="K21" s="10"/>
      <c r="L21" s="10"/>
      <c r="M21" s="10"/>
      <c r="N21" s="8">
        <v>60.1816</v>
      </c>
      <c r="O21" s="8">
        <v>24.8368</v>
      </c>
      <c r="P21" s="5" t="s">
        <v>194</v>
      </c>
      <c r="Q21" s="5" t="s">
        <v>195</v>
      </c>
      <c r="R21" s="5" t="s">
        <v>804</v>
      </c>
      <c r="S21" s="5" t="s">
        <v>496</v>
      </c>
      <c r="T21" s="8">
        <v>27.0</v>
      </c>
      <c r="U21" s="5" t="s">
        <v>805</v>
      </c>
      <c r="V21" s="10"/>
      <c r="W21" s="5" t="s">
        <v>824</v>
      </c>
      <c r="X21" s="5" t="s">
        <v>807</v>
      </c>
      <c r="Y21" s="5" t="s">
        <v>856</v>
      </c>
      <c r="Z21" s="5" t="s">
        <v>822</v>
      </c>
      <c r="AA21" s="8">
        <v>1.0</v>
      </c>
      <c r="AB21" s="8">
        <v>2.0</v>
      </c>
    </row>
    <row r="22">
      <c r="A22" s="7">
        <v>45866.243055555555</v>
      </c>
      <c r="B22" s="7">
        <v>45866.24444444444</v>
      </c>
      <c r="C22" s="5" t="s">
        <v>99</v>
      </c>
      <c r="D22" s="5" t="s">
        <v>192</v>
      </c>
      <c r="E22" s="8">
        <v>100.0</v>
      </c>
      <c r="F22" s="8">
        <v>168.0</v>
      </c>
      <c r="G22" s="9" t="b">
        <v>1</v>
      </c>
      <c r="H22" s="7">
        <v>45866.24444444444</v>
      </c>
      <c r="I22" s="5" t="s">
        <v>857</v>
      </c>
      <c r="K22" s="10"/>
      <c r="L22" s="10"/>
      <c r="M22" s="10"/>
      <c r="N22" s="8">
        <v>60.1816</v>
      </c>
      <c r="O22" s="8">
        <v>24.8368</v>
      </c>
      <c r="P22" s="5" t="s">
        <v>194</v>
      </c>
      <c r="Q22" s="5" t="s">
        <v>195</v>
      </c>
      <c r="R22" s="5" t="s">
        <v>804</v>
      </c>
      <c r="S22" s="5" t="s">
        <v>221</v>
      </c>
      <c r="T22" s="8">
        <v>26.0</v>
      </c>
      <c r="U22" s="5" t="s">
        <v>819</v>
      </c>
      <c r="V22" s="10"/>
      <c r="W22" s="5" t="s">
        <v>858</v>
      </c>
      <c r="X22" s="5" t="s">
        <v>807</v>
      </c>
      <c r="Y22" s="5" t="s">
        <v>821</v>
      </c>
      <c r="Z22" s="5" t="s">
        <v>859</v>
      </c>
      <c r="AA22" s="8">
        <v>1.0</v>
      </c>
      <c r="AB22" s="8">
        <v>2.0</v>
      </c>
    </row>
    <row r="23">
      <c r="A23" s="7">
        <v>45868.211805555555</v>
      </c>
      <c r="B23" s="7">
        <v>45868.22152777778</v>
      </c>
      <c r="C23" s="5" t="s">
        <v>99</v>
      </c>
      <c r="D23" s="5" t="s">
        <v>192</v>
      </c>
      <c r="E23" s="8">
        <v>100.0</v>
      </c>
      <c r="F23" s="8">
        <v>858.0</v>
      </c>
      <c r="G23" s="9" t="b">
        <v>1</v>
      </c>
      <c r="H23" s="7">
        <v>45868.22152777778</v>
      </c>
      <c r="I23" s="5" t="s">
        <v>860</v>
      </c>
      <c r="K23" s="10"/>
      <c r="L23" s="10"/>
      <c r="M23" s="10"/>
      <c r="N23" s="8">
        <v>60.1816</v>
      </c>
      <c r="O23" s="8">
        <v>24.8368</v>
      </c>
      <c r="P23" s="5" t="s">
        <v>194</v>
      </c>
      <c r="Q23" s="5" t="s">
        <v>195</v>
      </c>
      <c r="R23" s="5" t="s">
        <v>804</v>
      </c>
      <c r="S23" s="5" t="s">
        <v>470</v>
      </c>
      <c r="T23" s="8">
        <v>29.0</v>
      </c>
      <c r="U23" s="5" t="s">
        <v>819</v>
      </c>
      <c r="V23" s="10"/>
      <c r="W23" s="5" t="s">
        <v>861</v>
      </c>
      <c r="X23" s="5" t="s">
        <v>807</v>
      </c>
      <c r="Y23" s="5" t="s">
        <v>862</v>
      </c>
      <c r="Z23" s="5" t="s">
        <v>863</v>
      </c>
      <c r="AA23" s="8">
        <v>2.0</v>
      </c>
      <c r="AB23" s="8">
        <v>3.0</v>
      </c>
    </row>
    <row r="24">
      <c r="A24" s="7">
        <v>45868.16458333333</v>
      </c>
      <c r="B24" s="7">
        <v>45868.16736111111</v>
      </c>
      <c r="C24" s="5" t="s">
        <v>99</v>
      </c>
      <c r="D24" s="5" t="s">
        <v>192</v>
      </c>
      <c r="E24" s="8">
        <v>100.0</v>
      </c>
      <c r="F24" s="8">
        <v>233.0</v>
      </c>
      <c r="G24" s="9" t="b">
        <v>1</v>
      </c>
      <c r="H24" s="7">
        <v>45868.16736111111</v>
      </c>
      <c r="I24" s="5" t="s">
        <v>864</v>
      </c>
      <c r="K24" s="10"/>
      <c r="L24" s="10"/>
      <c r="M24" s="10"/>
      <c r="N24" s="8">
        <v>60.1816</v>
      </c>
      <c r="O24" s="8">
        <v>24.8368</v>
      </c>
      <c r="P24" s="5" t="s">
        <v>194</v>
      </c>
      <c r="Q24" s="5" t="s">
        <v>195</v>
      </c>
      <c r="R24" s="10"/>
      <c r="S24" s="5" t="s">
        <v>442</v>
      </c>
      <c r="T24" s="8">
        <v>29.0</v>
      </c>
      <c r="U24" s="5" t="s">
        <v>819</v>
      </c>
      <c r="V24" s="10"/>
      <c r="W24" s="5" t="s">
        <v>830</v>
      </c>
      <c r="X24" s="5" t="s">
        <v>807</v>
      </c>
      <c r="Y24" s="5" t="s">
        <v>865</v>
      </c>
      <c r="Z24" s="5" t="s">
        <v>826</v>
      </c>
      <c r="AA24" s="8">
        <v>1.0</v>
      </c>
      <c r="AB24" s="8">
        <v>2.0</v>
      </c>
    </row>
    <row r="25">
      <c r="A25" s="7">
        <v>45868.14791666667</v>
      </c>
      <c r="B25" s="7">
        <v>45868.149305555555</v>
      </c>
      <c r="C25" s="5" t="s">
        <v>99</v>
      </c>
      <c r="D25" s="5" t="s">
        <v>192</v>
      </c>
      <c r="E25" s="8">
        <v>100.0</v>
      </c>
      <c r="F25" s="8">
        <v>92.0</v>
      </c>
      <c r="G25" s="9" t="b">
        <v>1</v>
      </c>
      <c r="H25" s="7">
        <v>45868.149305555555</v>
      </c>
      <c r="I25" s="5" t="s">
        <v>866</v>
      </c>
      <c r="K25" s="10"/>
      <c r="L25" s="10"/>
      <c r="M25" s="10"/>
      <c r="N25" s="8">
        <v>60.1816</v>
      </c>
      <c r="O25" s="8">
        <v>24.8368</v>
      </c>
      <c r="P25" s="5" t="s">
        <v>194</v>
      </c>
      <c r="Q25" s="5" t="s">
        <v>195</v>
      </c>
      <c r="R25" s="5" t="s">
        <v>804</v>
      </c>
      <c r="S25" s="5" t="s">
        <v>433</v>
      </c>
      <c r="T25" s="8">
        <v>27.0</v>
      </c>
      <c r="U25" s="5" t="s">
        <v>805</v>
      </c>
      <c r="V25" s="10"/>
      <c r="W25" s="5" t="s">
        <v>849</v>
      </c>
      <c r="X25" s="5" t="s">
        <v>807</v>
      </c>
      <c r="Y25" s="5" t="s">
        <v>867</v>
      </c>
      <c r="Z25" s="5" t="s">
        <v>826</v>
      </c>
      <c r="AA25" s="8">
        <v>3.0</v>
      </c>
      <c r="AB25" s="8">
        <v>3.0</v>
      </c>
    </row>
    <row r="26">
      <c r="A26" s="7">
        <v>45868.07152777778</v>
      </c>
      <c r="B26" s="7">
        <v>45868.072222222225</v>
      </c>
      <c r="C26" s="5" t="s">
        <v>99</v>
      </c>
      <c r="D26" s="5" t="s">
        <v>383</v>
      </c>
      <c r="E26" s="8">
        <v>100.0</v>
      </c>
      <c r="F26" s="8">
        <v>97.0</v>
      </c>
      <c r="G26" s="9" t="b">
        <v>1</v>
      </c>
      <c r="H26" s="7">
        <v>45868.072222222225</v>
      </c>
      <c r="I26" s="5" t="s">
        <v>868</v>
      </c>
      <c r="K26" s="10"/>
      <c r="L26" s="10"/>
      <c r="M26" s="10"/>
      <c r="N26" s="8">
        <v>60.1816</v>
      </c>
      <c r="O26" s="8">
        <v>24.8368</v>
      </c>
      <c r="P26" s="5" t="s">
        <v>194</v>
      </c>
      <c r="Q26" s="5" t="s">
        <v>195</v>
      </c>
      <c r="R26" s="5" t="s">
        <v>804</v>
      </c>
      <c r="S26" s="5" t="s">
        <v>411</v>
      </c>
      <c r="T26" s="8">
        <v>30.0</v>
      </c>
      <c r="U26" s="5" t="s">
        <v>805</v>
      </c>
      <c r="V26" s="10"/>
      <c r="W26" s="5" t="s">
        <v>824</v>
      </c>
      <c r="X26" s="5" t="s">
        <v>807</v>
      </c>
      <c r="Y26" s="5" t="s">
        <v>825</v>
      </c>
      <c r="Z26" s="5" t="s">
        <v>869</v>
      </c>
      <c r="AA26" s="8">
        <v>2.0</v>
      </c>
      <c r="AB26" s="8">
        <v>4.0</v>
      </c>
    </row>
    <row r="27">
      <c r="A27" s="7">
        <v>45868.07083333333</v>
      </c>
      <c r="B27" s="7">
        <v>45868.072916666664</v>
      </c>
      <c r="C27" s="5" t="s">
        <v>99</v>
      </c>
      <c r="D27" s="5" t="s">
        <v>347</v>
      </c>
      <c r="E27" s="8">
        <v>100.0</v>
      </c>
      <c r="F27" s="8">
        <v>149.0</v>
      </c>
      <c r="G27" s="9" t="b">
        <v>1</v>
      </c>
      <c r="H27" s="7">
        <v>45868.072916666664</v>
      </c>
      <c r="I27" s="5" t="s">
        <v>870</v>
      </c>
      <c r="K27" s="10"/>
      <c r="L27" s="10"/>
      <c r="M27" s="10"/>
      <c r="N27" s="8">
        <v>60.2141</v>
      </c>
      <c r="O27" s="8">
        <v>24.896</v>
      </c>
      <c r="P27" s="5" t="s">
        <v>194</v>
      </c>
      <c r="Q27" s="5" t="s">
        <v>195</v>
      </c>
      <c r="R27" s="10"/>
      <c r="S27" s="5" t="s">
        <v>428</v>
      </c>
      <c r="T27" s="8">
        <v>44.0</v>
      </c>
      <c r="U27" s="5" t="s">
        <v>819</v>
      </c>
      <c r="V27" s="10"/>
      <c r="W27" s="5" t="s">
        <v>871</v>
      </c>
      <c r="X27" s="5" t="s">
        <v>807</v>
      </c>
      <c r="Y27" s="6" t="s">
        <v>872</v>
      </c>
      <c r="Z27" s="5" t="s">
        <v>873</v>
      </c>
      <c r="AA27" s="8">
        <v>5.0</v>
      </c>
      <c r="AB27" s="8">
        <v>2.0</v>
      </c>
    </row>
    <row r="28">
      <c r="A28" s="7">
        <v>45868.01597222222</v>
      </c>
      <c r="B28" s="7">
        <v>45868.01736111111</v>
      </c>
      <c r="C28" s="5" t="s">
        <v>99</v>
      </c>
      <c r="D28" s="5" t="s">
        <v>383</v>
      </c>
      <c r="E28" s="8">
        <v>100.0</v>
      </c>
      <c r="F28" s="8">
        <v>119.0</v>
      </c>
      <c r="G28" s="9" t="b">
        <v>1</v>
      </c>
      <c r="H28" s="7">
        <v>45868.01736111111</v>
      </c>
      <c r="I28" s="5" t="s">
        <v>874</v>
      </c>
      <c r="K28" s="10"/>
      <c r="L28" s="10"/>
      <c r="M28" s="10"/>
      <c r="N28" s="8">
        <v>60.1816</v>
      </c>
      <c r="O28" s="8">
        <v>24.8368</v>
      </c>
      <c r="P28" s="5" t="s">
        <v>194</v>
      </c>
      <c r="Q28" s="5" t="s">
        <v>195</v>
      </c>
      <c r="R28" s="5" t="s">
        <v>804</v>
      </c>
      <c r="S28" s="5" t="s">
        <v>385</v>
      </c>
      <c r="T28" s="8">
        <v>29.0</v>
      </c>
      <c r="U28" s="5" t="s">
        <v>805</v>
      </c>
      <c r="V28" s="10"/>
      <c r="W28" s="5" t="s">
        <v>875</v>
      </c>
      <c r="X28" s="5" t="s">
        <v>807</v>
      </c>
      <c r="Y28" s="5" t="s">
        <v>876</v>
      </c>
      <c r="Z28" s="5" t="s">
        <v>813</v>
      </c>
      <c r="AA28" s="8">
        <v>2.0</v>
      </c>
      <c r="AB28" s="8">
        <v>4.0</v>
      </c>
    </row>
    <row r="29">
      <c r="A29" s="7">
        <v>45868.013194444444</v>
      </c>
      <c r="B29" s="7">
        <v>45868.01527777778</v>
      </c>
      <c r="C29" s="5" t="s">
        <v>99</v>
      </c>
      <c r="D29" s="5" t="s">
        <v>192</v>
      </c>
      <c r="E29" s="8">
        <v>100.0</v>
      </c>
      <c r="F29" s="8">
        <v>163.0</v>
      </c>
      <c r="G29" s="9" t="b">
        <v>1</v>
      </c>
      <c r="H29" s="7">
        <v>45868.01527777778</v>
      </c>
      <c r="I29" s="5" t="s">
        <v>877</v>
      </c>
      <c r="K29" s="10"/>
      <c r="L29" s="10"/>
      <c r="M29" s="10"/>
      <c r="N29" s="8">
        <v>60.1816</v>
      </c>
      <c r="O29" s="8">
        <v>24.8368</v>
      </c>
      <c r="P29" s="5" t="s">
        <v>194</v>
      </c>
      <c r="Q29" s="5" t="s">
        <v>195</v>
      </c>
      <c r="R29" s="5" t="s">
        <v>804</v>
      </c>
      <c r="S29" s="5" t="s">
        <v>379</v>
      </c>
      <c r="T29" s="8">
        <v>40.0</v>
      </c>
      <c r="U29" s="5" t="s">
        <v>805</v>
      </c>
      <c r="V29" s="10"/>
      <c r="W29" s="5" t="s">
        <v>878</v>
      </c>
      <c r="X29" s="5" t="s">
        <v>816</v>
      </c>
      <c r="Y29" s="5" t="s">
        <v>879</v>
      </c>
      <c r="Z29" s="5" t="s">
        <v>859</v>
      </c>
      <c r="AA29" s="8">
        <v>6.0</v>
      </c>
      <c r="AB29" s="8">
        <v>6.0</v>
      </c>
    </row>
    <row r="30">
      <c r="A30" s="7">
        <v>45867.26666666667</v>
      </c>
      <c r="B30" s="7">
        <v>45867.26944444444</v>
      </c>
      <c r="C30" s="5" t="s">
        <v>99</v>
      </c>
      <c r="D30" s="5" t="s">
        <v>347</v>
      </c>
      <c r="E30" s="8">
        <v>100.0</v>
      </c>
      <c r="F30" s="8">
        <v>232.0</v>
      </c>
      <c r="G30" s="9" t="b">
        <v>1</v>
      </c>
      <c r="H30" s="7">
        <v>45867.26944444444</v>
      </c>
      <c r="I30" s="5" t="s">
        <v>880</v>
      </c>
      <c r="K30" s="10"/>
      <c r="L30" s="10"/>
      <c r="M30" s="10"/>
      <c r="N30" s="8">
        <v>60.2141</v>
      </c>
      <c r="O30" s="8">
        <v>24.896</v>
      </c>
      <c r="P30" s="5" t="s">
        <v>194</v>
      </c>
      <c r="Q30" s="5" t="s">
        <v>195</v>
      </c>
      <c r="R30" s="5" t="s">
        <v>804</v>
      </c>
      <c r="S30" s="5" t="s">
        <v>353</v>
      </c>
      <c r="T30" s="8">
        <v>26.0</v>
      </c>
      <c r="U30" s="5" t="s">
        <v>805</v>
      </c>
      <c r="V30" s="10"/>
      <c r="W30" s="5" t="s">
        <v>881</v>
      </c>
      <c r="X30" s="5" t="s">
        <v>807</v>
      </c>
      <c r="Y30" s="5" t="s">
        <v>882</v>
      </c>
      <c r="Z30" s="5" t="s">
        <v>863</v>
      </c>
      <c r="AA30" s="8">
        <v>5.0</v>
      </c>
      <c r="AB30" s="8">
        <v>7.0</v>
      </c>
    </row>
    <row r="31">
      <c r="A31" s="7">
        <v>45867.26527777778</v>
      </c>
      <c r="B31" s="7">
        <v>45867.26875</v>
      </c>
      <c r="C31" s="5" t="s">
        <v>99</v>
      </c>
      <c r="D31" s="5" t="s">
        <v>256</v>
      </c>
      <c r="E31" s="8">
        <v>100.0</v>
      </c>
      <c r="F31" s="8">
        <v>316.0</v>
      </c>
      <c r="G31" s="9" t="b">
        <v>1</v>
      </c>
      <c r="H31" s="7">
        <v>45867.26875</v>
      </c>
      <c r="I31" s="5" t="s">
        <v>883</v>
      </c>
      <c r="K31" s="10"/>
      <c r="L31" s="10"/>
      <c r="M31" s="10"/>
      <c r="N31" s="8">
        <v>60.1816</v>
      </c>
      <c r="O31" s="8">
        <v>24.8368</v>
      </c>
      <c r="P31" s="5" t="s">
        <v>194</v>
      </c>
      <c r="Q31" s="5" t="s">
        <v>195</v>
      </c>
      <c r="R31" s="10"/>
      <c r="S31" s="5" t="s">
        <v>362</v>
      </c>
      <c r="T31" s="8">
        <v>29.0</v>
      </c>
      <c r="U31" s="5" t="s">
        <v>805</v>
      </c>
      <c r="V31" s="10"/>
      <c r="W31" s="5" t="s">
        <v>878</v>
      </c>
      <c r="X31" s="5" t="s">
        <v>807</v>
      </c>
      <c r="Y31" s="5" t="s">
        <v>884</v>
      </c>
      <c r="Z31" s="5" t="s">
        <v>822</v>
      </c>
      <c r="AA31" s="8">
        <v>2.0</v>
      </c>
      <c r="AB31" s="8">
        <v>3.0</v>
      </c>
    </row>
    <row r="32">
      <c r="A32" s="7">
        <v>45867.21597222222</v>
      </c>
      <c r="B32" s="7">
        <v>45867.21805555555</v>
      </c>
      <c r="C32" s="5" t="s">
        <v>99</v>
      </c>
      <c r="D32" s="5" t="s">
        <v>192</v>
      </c>
      <c r="E32" s="8">
        <v>100.0</v>
      </c>
      <c r="F32" s="8">
        <v>179.0</v>
      </c>
      <c r="G32" s="9" t="b">
        <v>1</v>
      </c>
      <c r="H32" s="7">
        <v>45867.21805555555</v>
      </c>
      <c r="I32" s="5" t="s">
        <v>885</v>
      </c>
      <c r="K32" s="10"/>
      <c r="L32" s="10"/>
      <c r="M32" s="10"/>
      <c r="N32" s="8">
        <v>60.1816</v>
      </c>
      <c r="O32" s="8">
        <v>24.8368</v>
      </c>
      <c r="P32" s="5" t="s">
        <v>194</v>
      </c>
      <c r="Q32" s="5" t="s">
        <v>195</v>
      </c>
      <c r="R32" s="10"/>
      <c r="S32" s="5" t="s">
        <v>331</v>
      </c>
      <c r="T32" s="8">
        <v>26.0</v>
      </c>
      <c r="U32" s="5" t="s">
        <v>805</v>
      </c>
      <c r="V32" s="10"/>
      <c r="W32" s="5" t="s">
        <v>886</v>
      </c>
      <c r="X32" s="5" t="s">
        <v>807</v>
      </c>
      <c r="Y32" s="5" t="s">
        <v>825</v>
      </c>
      <c r="Z32" s="5" t="s">
        <v>826</v>
      </c>
      <c r="AA32" s="8">
        <v>4.0</v>
      </c>
      <c r="AB32" s="8">
        <v>5.0</v>
      </c>
    </row>
    <row r="33">
      <c r="A33" s="7">
        <v>45866.15138888889</v>
      </c>
      <c r="B33" s="7">
        <v>45866.15347222222</v>
      </c>
      <c r="C33" s="5" t="s">
        <v>99</v>
      </c>
      <c r="D33" s="5" t="s">
        <v>192</v>
      </c>
      <c r="E33" s="8">
        <v>100.0</v>
      </c>
      <c r="F33" s="8">
        <v>205.0</v>
      </c>
      <c r="G33" s="9" t="b">
        <v>1</v>
      </c>
      <c r="H33" s="7">
        <v>45866.15347222222</v>
      </c>
      <c r="I33" s="5" t="s">
        <v>887</v>
      </c>
      <c r="K33" s="10"/>
      <c r="L33" s="10"/>
      <c r="M33" s="10"/>
      <c r="N33" s="8">
        <v>60.1816</v>
      </c>
      <c r="O33" s="8">
        <v>24.8368</v>
      </c>
      <c r="P33" s="5" t="s">
        <v>194</v>
      </c>
      <c r="Q33" s="5" t="s">
        <v>195</v>
      </c>
      <c r="R33" s="5" t="s">
        <v>804</v>
      </c>
      <c r="S33" s="5" t="s">
        <v>196</v>
      </c>
      <c r="T33" s="8">
        <v>32.0</v>
      </c>
      <c r="U33" s="5" t="s">
        <v>819</v>
      </c>
      <c r="V33" s="10"/>
      <c r="W33" s="5" t="s">
        <v>888</v>
      </c>
      <c r="X33" s="5" t="s">
        <v>807</v>
      </c>
      <c r="Y33" s="5" t="s">
        <v>821</v>
      </c>
      <c r="Z33" s="5" t="s">
        <v>826</v>
      </c>
      <c r="AA33" s="8">
        <v>5.0</v>
      </c>
      <c r="AB33" s="8">
        <v>1.0</v>
      </c>
    </row>
    <row r="34">
      <c r="A34" s="9" t="s">
        <v>889</v>
      </c>
      <c r="B34" s="9" t="s">
        <v>889</v>
      </c>
      <c r="C34" s="5" t="s">
        <v>99</v>
      </c>
      <c r="D34" s="5" t="s">
        <v>890</v>
      </c>
      <c r="E34" s="8">
        <v>100.0</v>
      </c>
      <c r="F34" s="8">
        <v>386.0</v>
      </c>
      <c r="G34" s="9" t="b">
        <v>1</v>
      </c>
      <c r="H34" s="9" t="s">
        <v>889</v>
      </c>
      <c r="I34" s="5" t="s">
        <v>891</v>
      </c>
      <c r="K34" s="10"/>
      <c r="L34" s="10"/>
      <c r="M34" s="10"/>
      <c r="N34" s="8">
        <v>60.1968</v>
      </c>
      <c r="O34" s="8">
        <v>24.9608</v>
      </c>
      <c r="P34" s="5" t="s">
        <v>194</v>
      </c>
      <c r="Q34" s="5" t="s">
        <v>195</v>
      </c>
      <c r="R34" s="10"/>
      <c r="S34" s="5" t="s">
        <v>501</v>
      </c>
      <c r="T34" s="8">
        <v>24.0</v>
      </c>
      <c r="U34" s="5" t="s">
        <v>819</v>
      </c>
      <c r="V34" s="10"/>
      <c r="W34" s="5" t="s">
        <v>824</v>
      </c>
      <c r="X34" s="5" t="s">
        <v>807</v>
      </c>
      <c r="Y34" s="5" t="s">
        <v>892</v>
      </c>
      <c r="Z34" s="5" t="s">
        <v>893</v>
      </c>
      <c r="AA34" s="8">
        <v>2.0</v>
      </c>
      <c r="AB34" s="8">
        <v>2.0</v>
      </c>
    </row>
  </sheetData>
  <mergeCells count="31">
    <mergeCell ref="I4:J4"/>
    <mergeCell ref="I5:K5"/>
    <mergeCell ref="I6:J6"/>
    <mergeCell ref="I7:J7"/>
    <mergeCell ref="I8:J8"/>
    <mergeCell ref="I9:J9"/>
    <mergeCell ref="I10:J10"/>
    <mergeCell ref="I11:J11"/>
    <mergeCell ref="I12:J12"/>
    <mergeCell ref="I13:J13"/>
    <mergeCell ref="I14:J14"/>
    <mergeCell ref="I15:J15"/>
    <mergeCell ref="I16:J16"/>
    <mergeCell ref="I17:J17"/>
    <mergeCell ref="I18:K18"/>
    <mergeCell ref="I19:J19"/>
    <mergeCell ref="I20:J20"/>
    <mergeCell ref="I21:J21"/>
    <mergeCell ref="I22:J22"/>
    <mergeCell ref="I23:J23"/>
    <mergeCell ref="I24:J24"/>
    <mergeCell ref="I32:J32"/>
    <mergeCell ref="I33:J33"/>
    <mergeCell ref="I34:J34"/>
    <mergeCell ref="I25:J25"/>
    <mergeCell ref="I26:J26"/>
    <mergeCell ref="I27:J27"/>
    <mergeCell ref="I28:J28"/>
    <mergeCell ref="I29:J29"/>
    <mergeCell ref="I30:J30"/>
    <mergeCell ref="I31:J3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44</v>
      </c>
      <c r="B1" s="5" t="s">
        <v>45</v>
      </c>
      <c r="C1" s="5" t="s">
        <v>46</v>
      </c>
      <c r="D1" s="5" t="s">
        <v>47</v>
      </c>
      <c r="E1" s="5" t="s">
        <v>48</v>
      </c>
      <c r="F1" s="5" t="s">
        <v>49</v>
      </c>
      <c r="G1" s="5" t="s">
        <v>50</v>
      </c>
      <c r="H1" s="5" t="s">
        <v>51</v>
      </c>
      <c r="I1" s="5" t="s">
        <v>52</v>
      </c>
      <c r="J1" s="5" t="s">
        <v>53</v>
      </c>
      <c r="K1" s="5" t="s">
        <v>54</v>
      </c>
      <c r="L1" s="5" t="s">
        <v>55</v>
      </c>
      <c r="M1" s="5" t="s">
        <v>56</v>
      </c>
      <c r="N1" s="5" t="s">
        <v>57</v>
      </c>
      <c r="O1" s="5" t="s">
        <v>58</v>
      </c>
      <c r="P1" s="5" t="s">
        <v>59</v>
      </c>
      <c r="Q1" s="5" t="s">
        <v>60</v>
      </c>
      <c r="R1" s="5" t="s">
        <v>774</v>
      </c>
      <c r="S1" s="5" t="s">
        <v>61</v>
      </c>
      <c r="T1" s="5" t="s">
        <v>775</v>
      </c>
      <c r="U1" s="5" t="s">
        <v>776</v>
      </c>
      <c r="V1" s="5" t="s">
        <v>777</v>
      </c>
      <c r="W1" s="5" t="s">
        <v>778</v>
      </c>
      <c r="X1" s="5" t="s">
        <v>779</v>
      </c>
      <c r="Y1" s="5" t="s">
        <v>780</v>
      </c>
      <c r="Z1" s="5" t="s">
        <v>781</v>
      </c>
      <c r="AA1" s="5" t="s">
        <v>782</v>
      </c>
      <c r="AB1" s="5" t="s">
        <v>783</v>
      </c>
    </row>
    <row r="2">
      <c r="A2" s="7">
        <v>45867.200694444444</v>
      </c>
      <c r="B2" s="7">
        <v>45867.20277777778</v>
      </c>
      <c r="C2" s="5" t="s">
        <v>99</v>
      </c>
      <c r="D2" s="5" t="s">
        <v>192</v>
      </c>
      <c r="E2" s="8">
        <v>100.0</v>
      </c>
      <c r="F2" s="8">
        <v>157.0</v>
      </c>
      <c r="G2" s="9" t="b">
        <v>1</v>
      </c>
      <c r="H2" s="7">
        <v>45867.20277777778</v>
      </c>
      <c r="I2" s="5" t="s">
        <v>803</v>
      </c>
      <c r="K2" s="10"/>
      <c r="L2" s="10"/>
      <c r="M2" s="10"/>
      <c r="N2" s="8">
        <v>60.1816</v>
      </c>
      <c r="O2" s="8">
        <v>24.8368</v>
      </c>
      <c r="P2" s="5" t="s">
        <v>194</v>
      </c>
      <c r="Q2" s="5" t="s">
        <v>195</v>
      </c>
      <c r="R2" s="5" t="s">
        <v>804</v>
      </c>
      <c r="S2" s="5" t="s">
        <v>318</v>
      </c>
      <c r="T2" s="8">
        <v>29.0</v>
      </c>
      <c r="U2" s="5" t="s">
        <v>805</v>
      </c>
      <c r="V2" s="10"/>
      <c r="W2" s="5" t="s">
        <v>806</v>
      </c>
      <c r="X2" s="5" t="s">
        <v>807</v>
      </c>
      <c r="Y2" s="5" t="s">
        <v>808</v>
      </c>
      <c r="Z2" s="5" t="s">
        <v>809</v>
      </c>
      <c r="AA2" s="8">
        <v>1.0</v>
      </c>
      <c r="AB2" s="8">
        <v>2.0</v>
      </c>
    </row>
    <row r="3">
      <c r="A3" s="7">
        <v>45867.05416666667</v>
      </c>
      <c r="B3" s="7">
        <v>45867.08541666667</v>
      </c>
      <c r="C3" s="5" t="s">
        <v>99</v>
      </c>
      <c r="D3" s="5" t="s">
        <v>256</v>
      </c>
      <c r="E3" s="8">
        <v>100.0</v>
      </c>
      <c r="F3" s="8">
        <v>2670.0</v>
      </c>
      <c r="G3" s="9" t="b">
        <v>1</v>
      </c>
      <c r="H3" s="7">
        <v>45867.08541666667</v>
      </c>
      <c r="I3" s="5" t="s">
        <v>810</v>
      </c>
      <c r="L3" s="10"/>
      <c r="M3" s="10"/>
      <c r="N3" s="8">
        <v>60.1816</v>
      </c>
      <c r="O3" s="8">
        <v>24.8368</v>
      </c>
      <c r="P3" s="5" t="s">
        <v>194</v>
      </c>
      <c r="Q3" s="5" t="s">
        <v>195</v>
      </c>
      <c r="R3" s="5" t="s">
        <v>804</v>
      </c>
      <c r="S3" s="5" t="s">
        <v>289</v>
      </c>
      <c r="T3" s="8">
        <v>23.0</v>
      </c>
      <c r="U3" s="5" t="s">
        <v>805</v>
      </c>
      <c r="V3" s="10"/>
      <c r="W3" s="5" t="s">
        <v>811</v>
      </c>
      <c r="X3" s="5" t="s">
        <v>807</v>
      </c>
      <c r="Y3" s="5" t="s">
        <v>812</v>
      </c>
      <c r="Z3" s="5" t="s">
        <v>813</v>
      </c>
      <c r="AA3" s="8">
        <v>1.0</v>
      </c>
      <c r="AB3" s="8">
        <v>7.0</v>
      </c>
    </row>
    <row r="4">
      <c r="A4" s="7">
        <v>45867.080555555556</v>
      </c>
      <c r="B4" s="7">
        <v>45867.08125</v>
      </c>
      <c r="C4" s="5" t="s">
        <v>99</v>
      </c>
      <c r="D4" s="5" t="s">
        <v>192</v>
      </c>
      <c r="E4" s="8">
        <v>100.0</v>
      </c>
      <c r="F4" s="8">
        <v>89.0</v>
      </c>
      <c r="G4" s="9" t="b">
        <v>1</v>
      </c>
      <c r="H4" s="7">
        <v>45867.08125</v>
      </c>
      <c r="I4" s="5" t="s">
        <v>814</v>
      </c>
      <c r="K4" s="10"/>
      <c r="L4" s="10"/>
      <c r="M4" s="10"/>
      <c r="N4" s="8">
        <v>60.1816</v>
      </c>
      <c r="O4" s="8">
        <v>24.8368</v>
      </c>
      <c r="P4" s="5" t="s">
        <v>194</v>
      </c>
      <c r="Q4" s="5" t="s">
        <v>195</v>
      </c>
      <c r="R4" s="10"/>
      <c r="S4" s="5" t="s">
        <v>284</v>
      </c>
      <c r="T4" s="8">
        <v>24.0</v>
      </c>
      <c r="U4" s="5" t="s">
        <v>805</v>
      </c>
      <c r="V4" s="10"/>
      <c r="W4" s="5" t="s">
        <v>815</v>
      </c>
      <c r="X4" s="5" t="s">
        <v>816</v>
      </c>
      <c r="Y4" s="5" t="s">
        <v>817</v>
      </c>
      <c r="Z4" s="5" t="s">
        <v>813</v>
      </c>
      <c r="AA4" s="8">
        <v>5.0</v>
      </c>
      <c r="AB4" s="8">
        <v>5.0</v>
      </c>
    </row>
    <row r="5">
      <c r="A5" s="7">
        <v>45866.30069444444</v>
      </c>
      <c r="B5" s="7">
        <v>45867.010416666664</v>
      </c>
      <c r="C5" s="5" t="s">
        <v>99</v>
      </c>
      <c r="D5" s="5" t="s">
        <v>256</v>
      </c>
      <c r="E5" s="8">
        <v>100.0</v>
      </c>
      <c r="F5" s="8">
        <v>61319.0</v>
      </c>
      <c r="G5" s="9" t="b">
        <v>1</v>
      </c>
      <c r="H5" s="7">
        <v>45867.010416666664</v>
      </c>
      <c r="I5" s="5" t="s">
        <v>818</v>
      </c>
      <c r="K5" s="10"/>
      <c r="L5" s="10"/>
      <c r="M5" s="10"/>
      <c r="N5" s="8">
        <v>60.2498</v>
      </c>
      <c r="O5" s="8">
        <v>24.9939</v>
      </c>
      <c r="P5" s="5" t="s">
        <v>194</v>
      </c>
      <c r="Q5" s="5" t="s">
        <v>195</v>
      </c>
      <c r="R5" s="5" t="s">
        <v>804</v>
      </c>
      <c r="S5" s="5" t="s">
        <v>258</v>
      </c>
      <c r="T5" s="8">
        <v>40.0</v>
      </c>
      <c r="U5" s="5" t="s">
        <v>819</v>
      </c>
      <c r="V5" s="10"/>
      <c r="W5" s="5" t="s">
        <v>820</v>
      </c>
      <c r="X5" s="5" t="s">
        <v>816</v>
      </c>
      <c r="Y5" s="5" t="s">
        <v>821</v>
      </c>
      <c r="Z5" s="5" t="s">
        <v>822</v>
      </c>
      <c r="AA5" s="8">
        <v>5.0</v>
      </c>
      <c r="AB5" s="8">
        <v>5.0</v>
      </c>
    </row>
    <row r="6">
      <c r="A6" s="7">
        <v>45869.01458333333</v>
      </c>
      <c r="B6" s="7">
        <v>45869.01527777778</v>
      </c>
      <c r="C6" s="5" t="s">
        <v>99</v>
      </c>
      <c r="D6" s="5" t="s">
        <v>192</v>
      </c>
      <c r="E6" s="8">
        <v>100.0</v>
      </c>
      <c r="F6" s="8">
        <v>85.0</v>
      </c>
      <c r="G6" s="9" t="b">
        <v>1</v>
      </c>
      <c r="H6" s="7">
        <v>45869.01527777778</v>
      </c>
      <c r="I6" s="5" t="s">
        <v>823</v>
      </c>
      <c r="K6" s="10"/>
      <c r="L6" s="10"/>
      <c r="M6" s="10"/>
      <c r="N6" s="8">
        <v>60.1816</v>
      </c>
      <c r="O6" s="8">
        <v>24.8368</v>
      </c>
      <c r="P6" s="5" t="s">
        <v>194</v>
      </c>
      <c r="Q6" s="5" t="s">
        <v>195</v>
      </c>
      <c r="R6" s="5" t="s">
        <v>804</v>
      </c>
      <c r="S6" s="5" t="s">
        <v>536</v>
      </c>
      <c r="T6" s="8">
        <v>27.0</v>
      </c>
      <c r="U6" s="5" t="s">
        <v>805</v>
      </c>
      <c r="V6" s="10"/>
      <c r="W6" s="5" t="s">
        <v>824</v>
      </c>
      <c r="X6" s="5" t="s">
        <v>807</v>
      </c>
      <c r="Y6" s="5" t="s">
        <v>825</v>
      </c>
      <c r="Z6" s="5" t="s">
        <v>826</v>
      </c>
      <c r="AA6" s="8">
        <v>1.0</v>
      </c>
      <c r="AB6" s="8">
        <v>1.0</v>
      </c>
    </row>
    <row r="7">
      <c r="A7" s="7">
        <v>45866.291666666664</v>
      </c>
      <c r="B7" s="7">
        <v>45866.29305555556</v>
      </c>
      <c r="C7" s="5" t="s">
        <v>99</v>
      </c>
      <c r="D7" s="5" t="s">
        <v>192</v>
      </c>
      <c r="E7" s="8">
        <v>100.0</v>
      </c>
      <c r="F7" s="8">
        <v>105.0</v>
      </c>
      <c r="G7" s="9" t="b">
        <v>1</v>
      </c>
      <c r="H7" s="7">
        <v>45866.29305555556</v>
      </c>
      <c r="I7" s="5" t="s">
        <v>827</v>
      </c>
      <c r="K7" s="10"/>
      <c r="L7" s="10"/>
      <c r="M7" s="10"/>
      <c r="N7" s="8">
        <v>60.1816</v>
      </c>
      <c r="O7" s="8">
        <v>24.8368</v>
      </c>
      <c r="P7" s="5" t="s">
        <v>194</v>
      </c>
      <c r="Q7" s="5" t="s">
        <v>195</v>
      </c>
      <c r="R7" s="5" t="s">
        <v>804</v>
      </c>
      <c r="S7" s="5" t="s">
        <v>239</v>
      </c>
      <c r="T7" s="8">
        <v>34.0</v>
      </c>
      <c r="U7" s="5" t="s">
        <v>819</v>
      </c>
      <c r="V7" s="10"/>
      <c r="W7" s="5" t="s">
        <v>828</v>
      </c>
      <c r="X7" s="5" t="s">
        <v>807</v>
      </c>
      <c r="Y7" s="5" t="s">
        <v>821</v>
      </c>
      <c r="Z7" s="5" t="s">
        <v>822</v>
      </c>
      <c r="AA7" s="8">
        <v>4.0</v>
      </c>
      <c r="AB7" s="8">
        <v>4.0</v>
      </c>
    </row>
    <row r="8">
      <c r="A8" s="7">
        <v>45869.26111111111</v>
      </c>
      <c r="B8" s="7">
        <v>45869.2625</v>
      </c>
      <c r="C8" s="5" t="s">
        <v>99</v>
      </c>
      <c r="D8" s="5" t="s">
        <v>192</v>
      </c>
      <c r="E8" s="8">
        <v>100.0</v>
      </c>
      <c r="F8" s="8">
        <v>81.0</v>
      </c>
      <c r="G8" s="9" t="b">
        <v>1</v>
      </c>
      <c r="H8" s="7">
        <v>45869.2625</v>
      </c>
      <c r="I8" s="5" t="s">
        <v>829</v>
      </c>
      <c r="K8" s="10"/>
      <c r="L8" s="10"/>
      <c r="M8" s="10"/>
      <c r="N8" s="8">
        <v>60.1816</v>
      </c>
      <c r="O8" s="8">
        <v>24.8368</v>
      </c>
      <c r="P8" s="5" t="s">
        <v>194</v>
      </c>
      <c r="Q8" s="5" t="s">
        <v>195</v>
      </c>
      <c r="R8" s="10"/>
      <c r="S8" s="5" t="s">
        <v>679</v>
      </c>
      <c r="T8" s="8">
        <v>25.0</v>
      </c>
      <c r="U8" s="5" t="s">
        <v>819</v>
      </c>
      <c r="V8" s="10"/>
      <c r="W8" s="5" t="s">
        <v>830</v>
      </c>
      <c r="X8" s="5" t="s">
        <v>807</v>
      </c>
      <c r="Y8" s="5" t="s">
        <v>831</v>
      </c>
      <c r="Z8" s="5" t="s">
        <v>813</v>
      </c>
      <c r="AA8" s="8">
        <v>5.0</v>
      </c>
      <c r="AB8" s="8">
        <v>6.0</v>
      </c>
    </row>
    <row r="9">
      <c r="A9" s="7">
        <v>45869.240277777775</v>
      </c>
      <c r="B9" s="7">
        <v>45869.24166666667</v>
      </c>
      <c r="C9" s="5" t="s">
        <v>99</v>
      </c>
      <c r="D9" s="5" t="s">
        <v>347</v>
      </c>
      <c r="E9" s="8">
        <v>100.0</v>
      </c>
      <c r="F9" s="8">
        <v>125.0</v>
      </c>
      <c r="G9" s="9" t="b">
        <v>1</v>
      </c>
      <c r="H9" s="7">
        <v>45869.24166666667</v>
      </c>
      <c r="I9" s="5" t="s">
        <v>832</v>
      </c>
      <c r="K9" s="10"/>
      <c r="L9" s="10"/>
      <c r="M9" s="10"/>
      <c r="N9" s="8">
        <v>60.2141</v>
      </c>
      <c r="O9" s="8">
        <v>24.896</v>
      </c>
      <c r="P9" s="5" t="s">
        <v>194</v>
      </c>
      <c r="Q9" s="5" t="s">
        <v>195</v>
      </c>
      <c r="R9" s="10"/>
      <c r="S9" s="5" t="s">
        <v>669</v>
      </c>
      <c r="T9" s="8">
        <v>31.0</v>
      </c>
      <c r="U9" s="5" t="s">
        <v>805</v>
      </c>
      <c r="V9" s="10"/>
      <c r="W9" s="5" t="s">
        <v>833</v>
      </c>
      <c r="X9" s="5" t="s">
        <v>807</v>
      </c>
      <c r="Y9" s="5" t="s">
        <v>817</v>
      </c>
      <c r="Z9" s="5" t="s">
        <v>834</v>
      </c>
      <c r="AA9" s="8">
        <v>1.0</v>
      </c>
      <c r="AB9" s="8">
        <v>1.0</v>
      </c>
    </row>
    <row r="10">
      <c r="A10" s="7">
        <v>45866.28958333333</v>
      </c>
      <c r="B10" s="7">
        <v>45866.29305555556</v>
      </c>
      <c r="C10" s="5" t="s">
        <v>99</v>
      </c>
      <c r="D10" s="5" t="s">
        <v>237</v>
      </c>
      <c r="E10" s="8">
        <v>100.0</v>
      </c>
      <c r="F10" s="8">
        <v>258.0</v>
      </c>
      <c r="G10" s="9" t="b">
        <v>1</v>
      </c>
      <c r="H10" s="7">
        <v>45866.29305555556</v>
      </c>
      <c r="I10" s="5" t="s">
        <v>835</v>
      </c>
      <c r="K10" s="10"/>
      <c r="L10" s="10"/>
      <c r="M10" s="10"/>
      <c r="N10" s="8">
        <v>60.2498</v>
      </c>
      <c r="O10" s="8">
        <v>24.9939</v>
      </c>
      <c r="P10" s="5" t="s">
        <v>194</v>
      </c>
      <c r="Q10" s="5" t="s">
        <v>195</v>
      </c>
      <c r="R10" s="5" t="s">
        <v>804</v>
      </c>
      <c r="S10" s="5" t="s">
        <v>244</v>
      </c>
      <c r="T10" s="8">
        <v>25.0</v>
      </c>
      <c r="U10" s="5" t="s">
        <v>819</v>
      </c>
      <c r="V10" s="10"/>
      <c r="W10" s="5" t="s">
        <v>824</v>
      </c>
      <c r="X10" s="5" t="s">
        <v>816</v>
      </c>
      <c r="Y10" s="5" t="s">
        <v>836</v>
      </c>
      <c r="Z10" s="5" t="s">
        <v>813</v>
      </c>
      <c r="AA10" s="8">
        <v>6.0</v>
      </c>
      <c r="AB10" s="8">
        <v>2.0</v>
      </c>
    </row>
    <row r="11">
      <c r="A11" s="7">
        <v>45869.23333333333</v>
      </c>
      <c r="B11" s="7">
        <v>45869.23472222222</v>
      </c>
      <c r="C11" s="5" t="s">
        <v>99</v>
      </c>
      <c r="D11" s="5" t="s">
        <v>347</v>
      </c>
      <c r="E11" s="8">
        <v>100.0</v>
      </c>
      <c r="F11" s="8">
        <v>102.0</v>
      </c>
      <c r="G11" s="9" t="b">
        <v>1</v>
      </c>
      <c r="H11" s="7">
        <v>45869.23472222222</v>
      </c>
      <c r="I11" s="5" t="s">
        <v>837</v>
      </c>
      <c r="K11" s="10"/>
      <c r="L11" s="10"/>
      <c r="M11" s="10"/>
      <c r="N11" s="8">
        <v>60.2141</v>
      </c>
      <c r="O11" s="8">
        <v>24.896</v>
      </c>
      <c r="P11" s="5" t="s">
        <v>194</v>
      </c>
      <c r="Q11" s="5" t="s">
        <v>195</v>
      </c>
      <c r="R11" s="5" t="s">
        <v>804</v>
      </c>
      <c r="S11" s="5" t="s">
        <v>674</v>
      </c>
      <c r="T11" s="8">
        <v>25.0</v>
      </c>
      <c r="U11" s="5" t="s">
        <v>805</v>
      </c>
      <c r="V11" s="10"/>
      <c r="W11" s="5" t="s">
        <v>824</v>
      </c>
      <c r="X11" s="5" t="s">
        <v>807</v>
      </c>
      <c r="Y11" s="5" t="s">
        <v>817</v>
      </c>
      <c r="Z11" s="5" t="s">
        <v>838</v>
      </c>
      <c r="AA11" s="8">
        <v>6.0</v>
      </c>
      <c r="AB11" s="8">
        <v>4.0</v>
      </c>
    </row>
    <row r="12">
      <c r="A12" s="7">
        <v>45869.208333333336</v>
      </c>
      <c r="B12" s="7">
        <v>45869.209027777775</v>
      </c>
      <c r="C12" s="5" t="s">
        <v>99</v>
      </c>
      <c r="D12" s="5" t="s">
        <v>347</v>
      </c>
      <c r="E12" s="8">
        <v>100.0</v>
      </c>
      <c r="F12" s="8">
        <v>65.0</v>
      </c>
      <c r="G12" s="9" t="b">
        <v>1</v>
      </c>
      <c r="H12" s="7">
        <v>45869.209027777775</v>
      </c>
      <c r="I12" s="5" t="s">
        <v>839</v>
      </c>
      <c r="K12" s="10"/>
      <c r="L12" s="10"/>
      <c r="M12" s="10"/>
      <c r="N12" s="8">
        <v>60.2141</v>
      </c>
      <c r="O12" s="8">
        <v>24.896</v>
      </c>
      <c r="P12" s="5" t="s">
        <v>194</v>
      </c>
      <c r="Q12" s="5" t="s">
        <v>195</v>
      </c>
      <c r="R12" s="5" t="s">
        <v>804</v>
      </c>
      <c r="S12" s="5" t="s">
        <v>655</v>
      </c>
      <c r="T12" s="8">
        <v>34.0</v>
      </c>
      <c r="U12" s="5" t="s">
        <v>819</v>
      </c>
      <c r="V12" s="10"/>
      <c r="W12" s="5" t="s">
        <v>840</v>
      </c>
      <c r="X12" s="5" t="s">
        <v>807</v>
      </c>
      <c r="Y12" s="5" t="s">
        <v>841</v>
      </c>
      <c r="Z12" s="5" t="s">
        <v>842</v>
      </c>
      <c r="AA12" s="8">
        <v>7.0</v>
      </c>
      <c r="AB12" s="8">
        <v>5.0</v>
      </c>
    </row>
    <row r="13">
      <c r="A13" s="7">
        <v>45869.17083333333</v>
      </c>
      <c r="B13" s="7">
        <v>45869.17291666667</v>
      </c>
      <c r="C13" s="5" t="s">
        <v>99</v>
      </c>
      <c r="D13" s="5" t="s">
        <v>529</v>
      </c>
      <c r="E13" s="8">
        <v>100.0</v>
      </c>
      <c r="F13" s="8">
        <v>143.0</v>
      </c>
      <c r="G13" s="9" t="b">
        <v>1</v>
      </c>
      <c r="H13" s="7">
        <v>45869.17291666667</v>
      </c>
      <c r="I13" s="5" t="s">
        <v>843</v>
      </c>
      <c r="K13" s="10"/>
      <c r="L13" s="10"/>
      <c r="M13" s="10"/>
      <c r="N13" s="8">
        <v>60.1816</v>
      </c>
      <c r="O13" s="8">
        <v>24.8368</v>
      </c>
      <c r="P13" s="5" t="s">
        <v>194</v>
      </c>
      <c r="Q13" s="5" t="s">
        <v>195</v>
      </c>
      <c r="R13" s="5" t="s">
        <v>804</v>
      </c>
      <c r="S13" s="5" t="s">
        <v>607</v>
      </c>
      <c r="T13" s="8">
        <v>25.0</v>
      </c>
      <c r="U13" s="5" t="s">
        <v>805</v>
      </c>
      <c r="V13" s="10"/>
      <c r="W13" s="5" t="s">
        <v>844</v>
      </c>
      <c r="X13" s="5" t="s">
        <v>807</v>
      </c>
      <c r="Y13" s="5" t="s">
        <v>845</v>
      </c>
      <c r="Z13" s="5" t="s">
        <v>838</v>
      </c>
      <c r="AA13" s="8">
        <v>1.0</v>
      </c>
      <c r="AB13" s="8">
        <v>2.0</v>
      </c>
    </row>
    <row r="14">
      <c r="A14" s="7">
        <v>45869.18402777778</v>
      </c>
      <c r="B14" s="7">
        <v>45869.18541666667</v>
      </c>
      <c r="C14" s="5" t="s">
        <v>99</v>
      </c>
      <c r="D14" s="5" t="s">
        <v>383</v>
      </c>
      <c r="E14" s="8">
        <v>100.0</v>
      </c>
      <c r="F14" s="8">
        <v>106.0</v>
      </c>
      <c r="G14" s="9" t="b">
        <v>1</v>
      </c>
      <c r="H14" s="7">
        <v>45869.18541666667</v>
      </c>
      <c r="I14" s="5" t="s">
        <v>846</v>
      </c>
      <c r="K14" s="10"/>
      <c r="L14" s="10"/>
      <c r="M14" s="10"/>
      <c r="N14" s="8">
        <v>60.1816</v>
      </c>
      <c r="O14" s="8">
        <v>24.8368</v>
      </c>
      <c r="P14" s="5" t="s">
        <v>194</v>
      </c>
      <c r="Q14" s="5" t="s">
        <v>195</v>
      </c>
      <c r="R14" s="5" t="s">
        <v>804</v>
      </c>
      <c r="S14" s="5" t="s">
        <v>602</v>
      </c>
      <c r="T14" s="8">
        <v>26.0</v>
      </c>
      <c r="U14" s="5" t="s">
        <v>805</v>
      </c>
      <c r="V14" s="10"/>
      <c r="W14" s="5" t="s">
        <v>824</v>
      </c>
      <c r="X14" s="5" t="s">
        <v>807</v>
      </c>
      <c r="Y14" s="5" t="s">
        <v>847</v>
      </c>
      <c r="Z14" s="5" t="s">
        <v>826</v>
      </c>
      <c r="AA14" s="8">
        <v>1.0</v>
      </c>
      <c r="AB14" s="8">
        <v>1.0</v>
      </c>
    </row>
    <row r="15">
      <c r="A15" s="7">
        <v>45869.14791666667</v>
      </c>
      <c r="B15" s="7">
        <v>45869.15138888889</v>
      </c>
      <c r="C15" s="5" t="s">
        <v>99</v>
      </c>
      <c r="D15" s="5" t="s">
        <v>192</v>
      </c>
      <c r="E15" s="8">
        <v>100.0</v>
      </c>
      <c r="F15" s="8">
        <v>299.0</v>
      </c>
      <c r="G15" s="9" t="b">
        <v>1</v>
      </c>
      <c r="H15" s="7">
        <v>45869.15138888889</v>
      </c>
      <c r="I15" s="5" t="s">
        <v>848</v>
      </c>
      <c r="K15" s="10"/>
      <c r="L15" s="10"/>
      <c r="M15" s="10"/>
      <c r="N15" s="8">
        <v>60.1816</v>
      </c>
      <c r="O15" s="8">
        <v>24.8368</v>
      </c>
      <c r="P15" s="5" t="s">
        <v>194</v>
      </c>
      <c r="Q15" s="5" t="s">
        <v>195</v>
      </c>
      <c r="R15" s="5" t="s">
        <v>804</v>
      </c>
      <c r="S15" s="5" t="s">
        <v>595</v>
      </c>
      <c r="T15" s="8">
        <v>38.0</v>
      </c>
      <c r="U15" s="5" t="s">
        <v>819</v>
      </c>
      <c r="V15" s="10"/>
      <c r="W15" s="5" t="s">
        <v>849</v>
      </c>
      <c r="X15" s="5" t="s">
        <v>807</v>
      </c>
      <c r="Y15" s="5" t="s">
        <v>850</v>
      </c>
      <c r="Z15" s="5" t="s">
        <v>822</v>
      </c>
      <c r="AA15" s="8">
        <v>4.0</v>
      </c>
      <c r="AB15" s="8">
        <v>2.0</v>
      </c>
    </row>
    <row r="16">
      <c r="A16" s="7">
        <v>45869.08263888889</v>
      </c>
      <c r="B16" s="7">
        <v>45869.083333333336</v>
      </c>
      <c r="C16" s="5" t="s">
        <v>99</v>
      </c>
      <c r="D16" s="5" t="s">
        <v>347</v>
      </c>
      <c r="E16" s="8">
        <v>100.0</v>
      </c>
      <c r="F16" s="8">
        <v>114.0</v>
      </c>
      <c r="G16" s="9" t="b">
        <v>1</v>
      </c>
      <c r="H16" s="7">
        <v>45869.083333333336</v>
      </c>
      <c r="I16" s="5" t="s">
        <v>851</v>
      </c>
      <c r="L16" s="10"/>
      <c r="M16" s="10"/>
      <c r="N16" s="8">
        <v>60.2141</v>
      </c>
      <c r="O16" s="8">
        <v>24.896</v>
      </c>
      <c r="P16" s="5" t="s">
        <v>194</v>
      </c>
      <c r="Q16" s="5" t="s">
        <v>195</v>
      </c>
      <c r="R16" s="5" t="s">
        <v>804</v>
      </c>
      <c r="S16" s="5" t="s">
        <v>582</v>
      </c>
      <c r="T16" s="8">
        <v>23.0</v>
      </c>
      <c r="U16" s="5" t="s">
        <v>805</v>
      </c>
      <c r="V16" s="10"/>
      <c r="W16" s="5" t="s">
        <v>824</v>
      </c>
      <c r="X16" s="5" t="s">
        <v>807</v>
      </c>
      <c r="Y16" s="5" t="s">
        <v>825</v>
      </c>
      <c r="Z16" s="5" t="s">
        <v>813</v>
      </c>
      <c r="AA16" s="8">
        <v>1.0</v>
      </c>
      <c r="AB16" s="8">
        <v>1.0</v>
      </c>
    </row>
    <row r="17">
      <c r="A17" s="7">
        <v>45869.07638888889</v>
      </c>
      <c r="B17" s="7">
        <v>45869.07847222222</v>
      </c>
      <c r="C17" s="5" t="s">
        <v>99</v>
      </c>
      <c r="D17" s="5" t="s">
        <v>383</v>
      </c>
      <c r="E17" s="8">
        <v>100.0</v>
      </c>
      <c r="F17" s="8">
        <v>203.0</v>
      </c>
      <c r="G17" s="9" t="b">
        <v>1</v>
      </c>
      <c r="H17" s="7">
        <v>45869.07847222222</v>
      </c>
      <c r="I17" s="5" t="s">
        <v>852</v>
      </c>
      <c r="K17" s="10"/>
      <c r="L17" s="10"/>
      <c r="M17" s="10"/>
      <c r="N17" s="8">
        <v>60.1816</v>
      </c>
      <c r="O17" s="8">
        <v>24.8368</v>
      </c>
      <c r="P17" s="5" t="s">
        <v>194</v>
      </c>
      <c r="Q17" s="5" t="s">
        <v>195</v>
      </c>
      <c r="R17" s="10"/>
      <c r="S17" s="5" t="s">
        <v>573</v>
      </c>
      <c r="T17" s="8">
        <v>22.0</v>
      </c>
      <c r="U17" s="5" t="s">
        <v>805</v>
      </c>
      <c r="V17" s="10"/>
      <c r="W17" s="5" t="s">
        <v>824</v>
      </c>
      <c r="X17" s="5" t="s">
        <v>807</v>
      </c>
      <c r="Y17" s="5" t="s">
        <v>812</v>
      </c>
      <c r="Z17" s="5" t="s">
        <v>838</v>
      </c>
      <c r="AA17" s="8">
        <v>1.0</v>
      </c>
      <c r="AB17" s="8">
        <v>1.0</v>
      </c>
    </row>
    <row r="18">
      <c r="A18" s="7">
        <v>45869.00763888889</v>
      </c>
      <c r="B18" s="7">
        <v>45869.00902777778</v>
      </c>
      <c r="C18" s="5" t="s">
        <v>99</v>
      </c>
      <c r="D18" s="5" t="s">
        <v>529</v>
      </c>
      <c r="E18" s="8">
        <v>100.0</v>
      </c>
      <c r="F18" s="8">
        <v>90.0</v>
      </c>
      <c r="G18" s="9" t="b">
        <v>1</v>
      </c>
      <c r="H18" s="7">
        <v>45869.00902777778</v>
      </c>
      <c r="I18" s="5" t="s">
        <v>853</v>
      </c>
      <c r="K18" s="10"/>
      <c r="L18" s="10"/>
      <c r="M18" s="10"/>
      <c r="N18" s="8">
        <v>60.1816</v>
      </c>
      <c r="O18" s="8">
        <v>24.8368</v>
      </c>
      <c r="P18" s="5" t="s">
        <v>194</v>
      </c>
      <c r="Q18" s="5" t="s">
        <v>195</v>
      </c>
      <c r="R18" s="10"/>
      <c r="S18" s="5" t="s">
        <v>531</v>
      </c>
      <c r="T18" s="8">
        <v>26.0</v>
      </c>
      <c r="U18" s="5" t="s">
        <v>805</v>
      </c>
      <c r="V18" s="10"/>
      <c r="W18" s="5" t="s">
        <v>824</v>
      </c>
      <c r="X18" s="5" t="s">
        <v>807</v>
      </c>
      <c r="Y18" s="5" t="s">
        <v>812</v>
      </c>
      <c r="Z18" s="5" t="s">
        <v>854</v>
      </c>
      <c r="AA18" s="8">
        <v>1.0</v>
      </c>
      <c r="AB18" s="8">
        <v>3.0</v>
      </c>
    </row>
    <row r="19">
      <c r="A19" s="7">
        <v>45868.27013888889</v>
      </c>
      <c r="B19" s="7">
        <v>45868.274305555555</v>
      </c>
      <c r="C19" s="5" t="s">
        <v>99</v>
      </c>
      <c r="D19" s="5" t="s">
        <v>192</v>
      </c>
      <c r="E19" s="8">
        <v>100.0</v>
      </c>
      <c r="F19" s="8">
        <v>340.0</v>
      </c>
      <c r="G19" s="9" t="b">
        <v>1</v>
      </c>
      <c r="H19" s="7">
        <v>45868.274305555555</v>
      </c>
      <c r="I19" s="5" t="s">
        <v>855</v>
      </c>
      <c r="K19" s="10"/>
      <c r="L19" s="10"/>
      <c r="M19" s="10"/>
      <c r="N19" s="8">
        <v>60.1816</v>
      </c>
      <c r="O19" s="8">
        <v>24.8368</v>
      </c>
      <c r="P19" s="5" t="s">
        <v>194</v>
      </c>
      <c r="Q19" s="5" t="s">
        <v>195</v>
      </c>
      <c r="R19" s="5" t="s">
        <v>804</v>
      </c>
      <c r="S19" s="5" t="s">
        <v>496</v>
      </c>
      <c r="T19" s="8">
        <v>27.0</v>
      </c>
      <c r="U19" s="5" t="s">
        <v>805</v>
      </c>
      <c r="V19" s="10"/>
      <c r="W19" s="5" t="s">
        <v>824</v>
      </c>
      <c r="X19" s="5" t="s">
        <v>807</v>
      </c>
      <c r="Y19" s="5" t="s">
        <v>856</v>
      </c>
      <c r="Z19" s="5" t="s">
        <v>822</v>
      </c>
      <c r="AA19" s="8">
        <v>1.0</v>
      </c>
      <c r="AB19" s="8">
        <v>2.0</v>
      </c>
    </row>
    <row r="20">
      <c r="A20" s="7">
        <v>45866.243055555555</v>
      </c>
      <c r="B20" s="7">
        <v>45866.24444444444</v>
      </c>
      <c r="C20" s="5" t="s">
        <v>99</v>
      </c>
      <c r="D20" s="5" t="s">
        <v>192</v>
      </c>
      <c r="E20" s="8">
        <v>100.0</v>
      </c>
      <c r="F20" s="8">
        <v>168.0</v>
      </c>
      <c r="G20" s="9" t="b">
        <v>1</v>
      </c>
      <c r="H20" s="7">
        <v>45866.24444444444</v>
      </c>
      <c r="I20" s="5" t="s">
        <v>857</v>
      </c>
      <c r="K20" s="10"/>
      <c r="L20" s="10"/>
      <c r="M20" s="10"/>
      <c r="N20" s="8">
        <v>60.1816</v>
      </c>
      <c r="O20" s="8">
        <v>24.8368</v>
      </c>
      <c r="P20" s="5" t="s">
        <v>194</v>
      </c>
      <c r="Q20" s="5" t="s">
        <v>195</v>
      </c>
      <c r="R20" s="5" t="s">
        <v>804</v>
      </c>
      <c r="S20" s="5" t="s">
        <v>221</v>
      </c>
      <c r="T20" s="8">
        <v>26.0</v>
      </c>
      <c r="U20" s="5" t="s">
        <v>819</v>
      </c>
      <c r="V20" s="10"/>
      <c r="W20" s="5" t="s">
        <v>858</v>
      </c>
      <c r="X20" s="5" t="s">
        <v>807</v>
      </c>
      <c r="Y20" s="5" t="s">
        <v>821</v>
      </c>
      <c r="Z20" s="5" t="s">
        <v>859</v>
      </c>
      <c r="AA20" s="8">
        <v>1.0</v>
      </c>
      <c r="AB20" s="8">
        <v>2.0</v>
      </c>
    </row>
    <row r="21">
      <c r="A21" s="7">
        <v>45868.211805555555</v>
      </c>
      <c r="B21" s="7">
        <v>45868.22152777778</v>
      </c>
      <c r="C21" s="5" t="s">
        <v>99</v>
      </c>
      <c r="D21" s="5" t="s">
        <v>192</v>
      </c>
      <c r="E21" s="8">
        <v>100.0</v>
      </c>
      <c r="F21" s="8">
        <v>858.0</v>
      </c>
      <c r="G21" s="9" t="b">
        <v>1</v>
      </c>
      <c r="H21" s="7">
        <v>45868.22152777778</v>
      </c>
      <c r="I21" s="5" t="s">
        <v>860</v>
      </c>
      <c r="K21" s="10"/>
      <c r="L21" s="10"/>
      <c r="M21" s="10"/>
      <c r="N21" s="8">
        <v>60.1816</v>
      </c>
      <c r="O21" s="8">
        <v>24.8368</v>
      </c>
      <c r="P21" s="5" t="s">
        <v>194</v>
      </c>
      <c r="Q21" s="5" t="s">
        <v>195</v>
      </c>
      <c r="R21" s="5" t="s">
        <v>804</v>
      </c>
      <c r="S21" s="5" t="s">
        <v>470</v>
      </c>
      <c r="T21" s="8">
        <v>29.0</v>
      </c>
      <c r="U21" s="5" t="s">
        <v>819</v>
      </c>
      <c r="V21" s="10"/>
      <c r="W21" s="5" t="s">
        <v>861</v>
      </c>
      <c r="X21" s="5" t="s">
        <v>807</v>
      </c>
      <c r="Y21" s="5" t="s">
        <v>862</v>
      </c>
      <c r="Z21" s="5" t="s">
        <v>863</v>
      </c>
      <c r="AA21" s="8">
        <v>2.0</v>
      </c>
      <c r="AB21" s="8">
        <v>3.0</v>
      </c>
    </row>
    <row r="22">
      <c r="A22" s="7">
        <v>45868.16458333333</v>
      </c>
      <c r="B22" s="7">
        <v>45868.16736111111</v>
      </c>
      <c r="C22" s="5" t="s">
        <v>99</v>
      </c>
      <c r="D22" s="5" t="s">
        <v>192</v>
      </c>
      <c r="E22" s="8">
        <v>100.0</v>
      </c>
      <c r="F22" s="8">
        <v>233.0</v>
      </c>
      <c r="G22" s="9" t="b">
        <v>1</v>
      </c>
      <c r="H22" s="7">
        <v>45868.16736111111</v>
      </c>
      <c r="I22" s="5" t="s">
        <v>864</v>
      </c>
      <c r="K22" s="10"/>
      <c r="L22" s="10"/>
      <c r="M22" s="10"/>
      <c r="N22" s="8">
        <v>60.1816</v>
      </c>
      <c r="O22" s="8">
        <v>24.8368</v>
      </c>
      <c r="P22" s="5" t="s">
        <v>194</v>
      </c>
      <c r="Q22" s="5" t="s">
        <v>195</v>
      </c>
      <c r="R22" s="10"/>
      <c r="S22" s="5" t="s">
        <v>442</v>
      </c>
      <c r="T22" s="8">
        <v>29.0</v>
      </c>
      <c r="U22" s="5" t="s">
        <v>819</v>
      </c>
      <c r="V22" s="10"/>
      <c r="W22" s="5" t="s">
        <v>830</v>
      </c>
      <c r="X22" s="5" t="s">
        <v>807</v>
      </c>
      <c r="Y22" s="5" t="s">
        <v>865</v>
      </c>
      <c r="Z22" s="5" t="s">
        <v>826</v>
      </c>
      <c r="AA22" s="8">
        <v>1.0</v>
      </c>
      <c r="AB22" s="8">
        <v>2.0</v>
      </c>
    </row>
    <row r="23">
      <c r="A23" s="7">
        <v>45868.14791666667</v>
      </c>
      <c r="B23" s="7">
        <v>45868.149305555555</v>
      </c>
      <c r="C23" s="5" t="s">
        <v>99</v>
      </c>
      <c r="D23" s="5" t="s">
        <v>192</v>
      </c>
      <c r="E23" s="8">
        <v>100.0</v>
      </c>
      <c r="F23" s="8">
        <v>92.0</v>
      </c>
      <c r="G23" s="9" t="b">
        <v>1</v>
      </c>
      <c r="H23" s="7">
        <v>45868.149305555555</v>
      </c>
      <c r="I23" s="5" t="s">
        <v>866</v>
      </c>
      <c r="K23" s="10"/>
      <c r="L23" s="10"/>
      <c r="M23" s="10"/>
      <c r="N23" s="8">
        <v>60.1816</v>
      </c>
      <c r="O23" s="8">
        <v>24.8368</v>
      </c>
      <c r="P23" s="5" t="s">
        <v>194</v>
      </c>
      <c r="Q23" s="5" t="s">
        <v>195</v>
      </c>
      <c r="R23" s="5" t="s">
        <v>804</v>
      </c>
      <c r="S23" s="5" t="s">
        <v>433</v>
      </c>
      <c r="T23" s="8">
        <v>27.0</v>
      </c>
      <c r="U23" s="5" t="s">
        <v>805</v>
      </c>
      <c r="V23" s="10"/>
      <c r="W23" s="5" t="s">
        <v>849</v>
      </c>
      <c r="X23" s="5" t="s">
        <v>807</v>
      </c>
      <c r="Y23" s="5" t="s">
        <v>867</v>
      </c>
      <c r="Z23" s="5" t="s">
        <v>826</v>
      </c>
      <c r="AA23" s="8">
        <v>3.0</v>
      </c>
      <c r="AB23" s="8">
        <v>3.0</v>
      </c>
    </row>
    <row r="24">
      <c r="A24" s="7">
        <v>45868.07152777778</v>
      </c>
      <c r="B24" s="7">
        <v>45868.072222222225</v>
      </c>
      <c r="C24" s="5" t="s">
        <v>99</v>
      </c>
      <c r="D24" s="5" t="s">
        <v>383</v>
      </c>
      <c r="E24" s="8">
        <v>100.0</v>
      </c>
      <c r="F24" s="8">
        <v>97.0</v>
      </c>
      <c r="G24" s="9" t="b">
        <v>1</v>
      </c>
      <c r="H24" s="7">
        <v>45868.072222222225</v>
      </c>
      <c r="I24" s="5" t="s">
        <v>868</v>
      </c>
      <c r="K24" s="10"/>
      <c r="L24" s="10"/>
      <c r="M24" s="10"/>
      <c r="N24" s="8">
        <v>60.1816</v>
      </c>
      <c r="O24" s="8">
        <v>24.8368</v>
      </c>
      <c r="P24" s="5" t="s">
        <v>194</v>
      </c>
      <c r="Q24" s="5" t="s">
        <v>195</v>
      </c>
      <c r="R24" s="5" t="s">
        <v>804</v>
      </c>
      <c r="S24" s="5" t="s">
        <v>411</v>
      </c>
      <c r="T24" s="8">
        <v>30.0</v>
      </c>
      <c r="U24" s="5" t="s">
        <v>805</v>
      </c>
      <c r="V24" s="10"/>
      <c r="W24" s="5" t="s">
        <v>824</v>
      </c>
      <c r="X24" s="5" t="s">
        <v>807</v>
      </c>
      <c r="Y24" s="5" t="s">
        <v>825</v>
      </c>
      <c r="Z24" s="5" t="s">
        <v>869</v>
      </c>
      <c r="AA24" s="8">
        <v>2.0</v>
      </c>
      <c r="AB24" s="8">
        <v>4.0</v>
      </c>
    </row>
    <row r="25">
      <c r="A25" s="7">
        <v>45868.07083333333</v>
      </c>
      <c r="B25" s="7">
        <v>45868.072916666664</v>
      </c>
      <c r="C25" s="5" t="s">
        <v>99</v>
      </c>
      <c r="D25" s="5" t="s">
        <v>347</v>
      </c>
      <c r="E25" s="8">
        <v>100.0</v>
      </c>
      <c r="F25" s="8">
        <v>149.0</v>
      </c>
      <c r="G25" s="9" t="b">
        <v>1</v>
      </c>
      <c r="H25" s="7">
        <v>45868.072916666664</v>
      </c>
      <c r="I25" s="5" t="s">
        <v>870</v>
      </c>
      <c r="K25" s="10"/>
      <c r="L25" s="10"/>
      <c r="M25" s="10"/>
      <c r="N25" s="8">
        <v>60.2141</v>
      </c>
      <c r="O25" s="8">
        <v>24.896</v>
      </c>
      <c r="P25" s="5" t="s">
        <v>194</v>
      </c>
      <c r="Q25" s="5" t="s">
        <v>195</v>
      </c>
      <c r="R25" s="10"/>
      <c r="S25" s="5" t="s">
        <v>428</v>
      </c>
      <c r="T25" s="8">
        <v>44.0</v>
      </c>
      <c r="U25" s="5" t="s">
        <v>819</v>
      </c>
      <c r="V25" s="10"/>
      <c r="W25" s="5" t="s">
        <v>871</v>
      </c>
      <c r="X25" s="5" t="s">
        <v>807</v>
      </c>
      <c r="Y25" s="6" t="s">
        <v>872</v>
      </c>
      <c r="Z25" s="5" t="s">
        <v>873</v>
      </c>
      <c r="AA25" s="8">
        <v>5.0</v>
      </c>
      <c r="AB25" s="8">
        <v>2.0</v>
      </c>
    </row>
    <row r="26">
      <c r="A26" s="7">
        <v>45868.01597222222</v>
      </c>
      <c r="B26" s="7">
        <v>45868.01736111111</v>
      </c>
      <c r="C26" s="5" t="s">
        <v>99</v>
      </c>
      <c r="D26" s="5" t="s">
        <v>383</v>
      </c>
      <c r="E26" s="8">
        <v>100.0</v>
      </c>
      <c r="F26" s="8">
        <v>119.0</v>
      </c>
      <c r="G26" s="9" t="b">
        <v>1</v>
      </c>
      <c r="H26" s="7">
        <v>45868.01736111111</v>
      </c>
      <c r="I26" s="5" t="s">
        <v>874</v>
      </c>
      <c r="K26" s="10"/>
      <c r="L26" s="10"/>
      <c r="M26" s="10"/>
      <c r="N26" s="8">
        <v>60.1816</v>
      </c>
      <c r="O26" s="8">
        <v>24.8368</v>
      </c>
      <c r="P26" s="5" t="s">
        <v>194</v>
      </c>
      <c r="Q26" s="5" t="s">
        <v>195</v>
      </c>
      <c r="R26" s="5" t="s">
        <v>804</v>
      </c>
      <c r="S26" s="5" t="s">
        <v>385</v>
      </c>
      <c r="T26" s="8">
        <v>29.0</v>
      </c>
      <c r="U26" s="5" t="s">
        <v>805</v>
      </c>
      <c r="V26" s="10"/>
      <c r="W26" s="5" t="s">
        <v>875</v>
      </c>
      <c r="X26" s="5" t="s">
        <v>807</v>
      </c>
      <c r="Y26" s="5" t="s">
        <v>876</v>
      </c>
      <c r="Z26" s="5" t="s">
        <v>813</v>
      </c>
      <c r="AA26" s="8">
        <v>2.0</v>
      </c>
      <c r="AB26" s="8">
        <v>4.0</v>
      </c>
    </row>
    <row r="27">
      <c r="A27" s="7">
        <v>45868.013194444444</v>
      </c>
      <c r="B27" s="7">
        <v>45868.01527777778</v>
      </c>
      <c r="C27" s="5" t="s">
        <v>99</v>
      </c>
      <c r="D27" s="5" t="s">
        <v>192</v>
      </c>
      <c r="E27" s="8">
        <v>100.0</v>
      </c>
      <c r="F27" s="8">
        <v>163.0</v>
      </c>
      <c r="G27" s="9" t="b">
        <v>1</v>
      </c>
      <c r="H27" s="7">
        <v>45868.01527777778</v>
      </c>
      <c r="I27" s="5" t="s">
        <v>877</v>
      </c>
      <c r="K27" s="10"/>
      <c r="L27" s="10"/>
      <c r="M27" s="10"/>
      <c r="N27" s="8">
        <v>60.1816</v>
      </c>
      <c r="O27" s="8">
        <v>24.8368</v>
      </c>
      <c r="P27" s="5" t="s">
        <v>194</v>
      </c>
      <c r="Q27" s="5" t="s">
        <v>195</v>
      </c>
      <c r="R27" s="5" t="s">
        <v>804</v>
      </c>
      <c r="S27" s="5" t="s">
        <v>379</v>
      </c>
      <c r="T27" s="8">
        <v>40.0</v>
      </c>
      <c r="U27" s="5" t="s">
        <v>805</v>
      </c>
      <c r="V27" s="10"/>
      <c r="W27" s="5" t="s">
        <v>878</v>
      </c>
      <c r="X27" s="5" t="s">
        <v>816</v>
      </c>
      <c r="Y27" s="5" t="s">
        <v>879</v>
      </c>
      <c r="Z27" s="5" t="s">
        <v>859</v>
      </c>
      <c r="AA27" s="8">
        <v>6.0</v>
      </c>
      <c r="AB27" s="8">
        <v>6.0</v>
      </c>
    </row>
    <row r="28">
      <c r="A28" s="7">
        <v>45867.26666666667</v>
      </c>
      <c r="B28" s="7">
        <v>45867.26944444444</v>
      </c>
      <c r="C28" s="5" t="s">
        <v>99</v>
      </c>
      <c r="D28" s="5" t="s">
        <v>347</v>
      </c>
      <c r="E28" s="8">
        <v>100.0</v>
      </c>
      <c r="F28" s="8">
        <v>232.0</v>
      </c>
      <c r="G28" s="9" t="b">
        <v>1</v>
      </c>
      <c r="H28" s="7">
        <v>45867.26944444444</v>
      </c>
      <c r="I28" s="5" t="s">
        <v>880</v>
      </c>
      <c r="K28" s="10"/>
      <c r="L28" s="10"/>
      <c r="M28" s="10"/>
      <c r="N28" s="8">
        <v>60.2141</v>
      </c>
      <c r="O28" s="8">
        <v>24.896</v>
      </c>
      <c r="P28" s="5" t="s">
        <v>194</v>
      </c>
      <c r="Q28" s="5" t="s">
        <v>195</v>
      </c>
      <c r="R28" s="5" t="s">
        <v>804</v>
      </c>
      <c r="S28" s="5" t="s">
        <v>353</v>
      </c>
      <c r="T28" s="8">
        <v>26.0</v>
      </c>
      <c r="U28" s="5" t="s">
        <v>805</v>
      </c>
      <c r="V28" s="10"/>
      <c r="W28" s="5" t="s">
        <v>881</v>
      </c>
      <c r="X28" s="5" t="s">
        <v>807</v>
      </c>
      <c r="Y28" s="5" t="s">
        <v>882</v>
      </c>
      <c r="Z28" s="5" t="s">
        <v>863</v>
      </c>
      <c r="AA28" s="8">
        <v>5.0</v>
      </c>
      <c r="AB28" s="8">
        <v>7.0</v>
      </c>
    </row>
    <row r="29">
      <c r="A29" s="7">
        <v>45867.26527777778</v>
      </c>
      <c r="B29" s="7">
        <v>45867.26875</v>
      </c>
      <c r="C29" s="5" t="s">
        <v>99</v>
      </c>
      <c r="D29" s="5" t="s">
        <v>256</v>
      </c>
      <c r="E29" s="8">
        <v>100.0</v>
      </c>
      <c r="F29" s="8">
        <v>316.0</v>
      </c>
      <c r="G29" s="9" t="b">
        <v>1</v>
      </c>
      <c r="H29" s="7">
        <v>45867.26875</v>
      </c>
      <c r="I29" s="5" t="s">
        <v>883</v>
      </c>
      <c r="K29" s="10"/>
      <c r="L29" s="10"/>
      <c r="M29" s="10"/>
      <c r="N29" s="8">
        <v>60.1816</v>
      </c>
      <c r="O29" s="8">
        <v>24.8368</v>
      </c>
      <c r="P29" s="5" t="s">
        <v>194</v>
      </c>
      <c r="Q29" s="5" t="s">
        <v>195</v>
      </c>
      <c r="R29" s="10"/>
      <c r="S29" s="5" t="s">
        <v>362</v>
      </c>
      <c r="T29" s="8">
        <v>29.0</v>
      </c>
      <c r="U29" s="5" t="s">
        <v>805</v>
      </c>
      <c r="V29" s="10"/>
      <c r="W29" s="5" t="s">
        <v>878</v>
      </c>
      <c r="X29" s="5" t="s">
        <v>807</v>
      </c>
      <c r="Y29" s="5" t="s">
        <v>884</v>
      </c>
      <c r="Z29" s="5" t="s">
        <v>822</v>
      </c>
      <c r="AA29" s="8">
        <v>2.0</v>
      </c>
      <c r="AB29" s="8">
        <v>3.0</v>
      </c>
    </row>
    <row r="30">
      <c r="A30" s="7">
        <v>45867.21597222222</v>
      </c>
      <c r="B30" s="7">
        <v>45867.21805555555</v>
      </c>
      <c r="C30" s="5" t="s">
        <v>99</v>
      </c>
      <c r="D30" s="5" t="s">
        <v>192</v>
      </c>
      <c r="E30" s="8">
        <v>100.0</v>
      </c>
      <c r="F30" s="8">
        <v>179.0</v>
      </c>
      <c r="G30" s="9" t="b">
        <v>1</v>
      </c>
      <c r="H30" s="7">
        <v>45867.21805555555</v>
      </c>
      <c r="I30" s="5" t="s">
        <v>885</v>
      </c>
      <c r="K30" s="10"/>
      <c r="L30" s="10"/>
      <c r="M30" s="10"/>
      <c r="N30" s="8">
        <v>60.1816</v>
      </c>
      <c r="O30" s="8">
        <v>24.8368</v>
      </c>
      <c r="P30" s="5" t="s">
        <v>194</v>
      </c>
      <c r="Q30" s="5" t="s">
        <v>195</v>
      </c>
      <c r="R30" s="10"/>
      <c r="S30" s="5" t="s">
        <v>331</v>
      </c>
      <c r="T30" s="8">
        <v>26.0</v>
      </c>
      <c r="U30" s="5" t="s">
        <v>805</v>
      </c>
      <c r="V30" s="10"/>
      <c r="W30" s="5" t="s">
        <v>886</v>
      </c>
      <c r="X30" s="5" t="s">
        <v>807</v>
      </c>
      <c r="Y30" s="5" t="s">
        <v>825</v>
      </c>
      <c r="Z30" s="5" t="s">
        <v>826</v>
      </c>
      <c r="AA30" s="8">
        <v>4.0</v>
      </c>
      <c r="AB30" s="8">
        <v>5.0</v>
      </c>
    </row>
    <row r="31">
      <c r="A31" s="7">
        <v>45866.15138888889</v>
      </c>
      <c r="B31" s="7">
        <v>45866.15347222222</v>
      </c>
      <c r="C31" s="5" t="s">
        <v>99</v>
      </c>
      <c r="D31" s="5" t="s">
        <v>192</v>
      </c>
      <c r="E31" s="8">
        <v>100.0</v>
      </c>
      <c r="F31" s="8">
        <v>205.0</v>
      </c>
      <c r="G31" s="9" t="b">
        <v>1</v>
      </c>
      <c r="H31" s="7">
        <v>45866.15347222222</v>
      </c>
      <c r="I31" s="5" t="s">
        <v>887</v>
      </c>
      <c r="K31" s="10"/>
      <c r="L31" s="10"/>
      <c r="M31" s="10"/>
      <c r="N31" s="8">
        <v>60.1816</v>
      </c>
      <c r="O31" s="8">
        <v>24.8368</v>
      </c>
      <c r="P31" s="5" t="s">
        <v>194</v>
      </c>
      <c r="Q31" s="5" t="s">
        <v>195</v>
      </c>
      <c r="R31" s="5" t="s">
        <v>804</v>
      </c>
      <c r="S31" s="5" t="s">
        <v>196</v>
      </c>
      <c r="T31" s="8">
        <v>32.0</v>
      </c>
      <c r="U31" s="5" t="s">
        <v>819</v>
      </c>
      <c r="V31" s="10"/>
      <c r="W31" s="5" t="s">
        <v>888</v>
      </c>
      <c r="X31" s="5" t="s">
        <v>807</v>
      </c>
      <c r="Y31" s="5" t="s">
        <v>821</v>
      </c>
      <c r="Z31" s="5" t="s">
        <v>826</v>
      </c>
      <c r="AA31" s="8">
        <v>5.0</v>
      </c>
      <c r="AB31" s="8">
        <v>1.0</v>
      </c>
    </row>
    <row r="32">
      <c r="A32" s="9" t="s">
        <v>889</v>
      </c>
      <c r="B32" s="9" t="s">
        <v>889</v>
      </c>
      <c r="C32" s="5" t="s">
        <v>99</v>
      </c>
      <c r="D32" s="5" t="s">
        <v>890</v>
      </c>
      <c r="E32" s="8">
        <v>100.0</v>
      </c>
      <c r="F32" s="8">
        <v>386.0</v>
      </c>
      <c r="G32" s="9" t="b">
        <v>1</v>
      </c>
      <c r="H32" s="9" t="s">
        <v>889</v>
      </c>
      <c r="I32" s="5" t="s">
        <v>891</v>
      </c>
      <c r="K32" s="10"/>
      <c r="L32" s="10"/>
      <c r="M32" s="10"/>
      <c r="N32" s="8">
        <v>60.1968</v>
      </c>
      <c r="O32" s="8">
        <v>24.9608</v>
      </c>
      <c r="P32" s="5" t="s">
        <v>194</v>
      </c>
      <c r="Q32" s="5" t="s">
        <v>195</v>
      </c>
      <c r="R32" s="10"/>
      <c r="S32" s="5" t="s">
        <v>501</v>
      </c>
      <c r="T32" s="8">
        <v>24.0</v>
      </c>
      <c r="U32" s="5" t="s">
        <v>819</v>
      </c>
      <c r="V32" s="10"/>
      <c r="W32" s="5" t="s">
        <v>824</v>
      </c>
      <c r="X32" s="5" t="s">
        <v>807</v>
      </c>
      <c r="Y32" s="5" t="s">
        <v>892</v>
      </c>
      <c r="Z32" s="5" t="s">
        <v>893</v>
      </c>
      <c r="AA32" s="8">
        <v>2.0</v>
      </c>
      <c r="AB32" s="8">
        <v>2.0</v>
      </c>
    </row>
  </sheetData>
  <mergeCells count="31">
    <mergeCell ref="I2:J2"/>
    <mergeCell ref="I3:K3"/>
    <mergeCell ref="I4:J4"/>
    <mergeCell ref="I5:J5"/>
    <mergeCell ref="I6:J6"/>
    <mergeCell ref="I7:J7"/>
    <mergeCell ref="I8:J8"/>
    <mergeCell ref="I9:J9"/>
    <mergeCell ref="I10:J10"/>
    <mergeCell ref="I11:J11"/>
    <mergeCell ref="I12:J12"/>
    <mergeCell ref="I13:J13"/>
    <mergeCell ref="I14:J14"/>
    <mergeCell ref="I15:J15"/>
    <mergeCell ref="I16:K16"/>
    <mergeCell ref="I17:J17"/>
    <mergeCell ref="I18:J18"/>
    <mergeCell ref="I19:J19"/>
    <mergeCell ref="I20:J20"/>
    <mergeCell ref="I21:J21"/>
    <mergeCell ref="I22:J22"/>
    <mergeCell ref="I30:J30"/>
    <mergeCell ref="I31:J31"/>
    <mergeCell ref="I32:J32"/>
    <mergeCell ref="I23:J23"/>
    <mergeCell ref="I24:J24"/>
    <mergeCell ref="I25:J25"/>
    <mergeCell ref="I26:J26"/>
    <mergeCell ref="I27:J27"/>
    <mergeCell ref="I28:J28"/>
    <mergeCell ref="I29:J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25"/>
  </cols>
  <sheetData>
    <row r="1">
      <c r="A1" s="5" t="s">
        <v>44</v>
      </c>
      <c r="B1" s="5" t="s">
        <v>45</v>
      </c>
      <c r="C1" s="5" t="s">
        <v>46</v>
      </c>
      <c r="D1" s="5" t="s">
        <v>47</v>
      </c>
      <c r="E1" s="5" t="s">
        <v>48</v>
      </c>
      <c r="F1" s="5" t="s">
        <v>49</v>
      </c>
      <c r="G1" s="5" t="s">
        <v>50</v>
      </c>
      <c r="H1" s="5" t="s">
        <v>51</v>
      </c>
      <c r="I1" s="5" t="s">
        <v>52</v>
      </c>
      <c r="J1" s="5" t="s">
        <v>57</v>
      </c>
      <c r="K1" s="5" t="s">
        <v>58</v>
      </c>
      <c r="L1" s="5" t="s">
        <v>59</v>
      </c>
      <c r="M1" s="5" t="s">
        <v>60</v>
      </c>
      <c r="N1" s="5" t="s">
        <v>774</v>
      </c>
      <c r="O1" s="5" t="s">
        <v>61</v>
      </c>
      <c r="P1" s="5" t="s">
        <v>775</v>
      </c>
      <c r="Q1" s="5" t="s">
        <v>776</v>
      </c>
      <c r="R1" s="5" t="s">
        <v>777</v>
      </c>
      <c r="S1" s="5" t="s">
        <v>778</v>
      </c>
      <c r="T1" s="5" t="s">
        <v>779</v>
      </c>
      <c r="U1" s="5" t="s">
        <v>780</v>
      </c>
      <c r="V1" s="5" t="s">
        <v>781</v>
      </c>
      <c r="W1" s="5" t="s">
        <v>782</v>
      </c>
      <c r="X1" s="5" t="s">
        <v>783</v>
      </c>
    </row>
    <row r="2">
      <c r="A2" s="7">
        <v>45867.200694444444</v>
      </c>
      <c r="B2" s="7">
        <v>45867.20277777778</v>
      </c>
      <c r="C2" s="5" t="s">
        <v>99</v>
      </c>
      <c r="D2" s="5" t="s">
        <v>192</v>
      </c>
      <c r="E2" s="8">
        <v>100.0</v>
      </c>
      <c r="F2" s="8">
        <v>157.0</v>
      </c>
      <c r="G2" s="9" t="b">
        <v>1</v>
      </c>
      <c r="H2" s="7">
        <v>45867.20277777778</v>
      </c>
      <c r="I2" s="5" t="s">
        <v>803</v>
      </c>
      <c r="J2" s="8">
        <v>60.1816</v>
      </c>
      <c r="K2" s="8">
        <v>24.8368</v>
      </c>
      <c r="L2" s="5" t="s">
        <v>194</v>
      </c>
      <c r="M2" s="5" t="s">
        <v>195</v>
      </c>
      <c r="N2" s="5" t="s">
        <v>804</v>
      </c>
      <c r="O2" s="5" t="s">
        <v>318</v>
      </c>
      <c r="P2" s="8">
        <v>29.0</v>
      </c>
      <c r="Q2" s="5" t="s">
        <v>805</v>
      </c>
      <c r="R2" s="10"/>
      <c r="S2" s="5" t="s">
        <v>806</v>
      </c>
      <c r="T2" s="5" t="s">
        <v>807</v>
      </c>
      <c r="U2" s="5" t="s">
        <v>808</v>
      </c>
      <c r="V2" s="5" t="s">
        <v>809</v>
      </c>
      <c r="W2" s="8">
        <v>1.0</v>
      </c>
      <c r="X2" s="8">
        <v>2.0</v>
      </c>
    </row>
    <row r="3">
      <c r="A3" s="7">
        <v>45867.05416666667</v>
      </c>
      <c r="B3" s="7">
        <v>45867.08541666667</v>
      </c>
      <c r="C3" s="5" t="s">
        <v>99</v>
      </c>
      <c r="D3" s="5" t="s">
        <v>256</v>
      </c>
      <c r="E3" s="8">
        <v>100.0</v>
      </c>
      <c r="F3" s="8">
        <v>2670.0</v>
      </c>
      <c r="G3" s="9" t="b">
        <v>1</v>
      </c>
      <c r="H3" s="7">
        <v>45867.08541666667</v>
      </c>
      <c r="I3" s="5" t="s">
        <v>810</v>
      </c>
      <c r="J3" s="8">
        <v>60.1816</v>
      </c>
      <c r="K3" s="8">
        <v>24.8368</v>
      </c>
      <c r="L3" s="5" t="s">
        <v>194</v>
      </c>
      <c r="M3" s="5" t="s">
        <v>195</v>
      </c>
      <c r="N3" s="5" t="s">
        <v>804</v>
      </c>
      <c r="O3" s="5" t="s">
        <v>289</v>
      </c>
      <c r="P3" s="8">
        <v>23.0</v>
      </c>
      <c r="Q3" s="5" t="s">
        <v>805</v>
      </c>
      <c r="R3" s="10"/>
      <c r="S3" s="5" t="s">
        <v>811</v>
      </c>
      <c r="T3" s="5" t="s">
        <v>807</v>
      </c>
      <c r="U3" s="5" t="s">
        <v>812</v>
      </c>
      <c r="V3" s="5" t="s">
        <v>813</v>
      </c>
      <c r="W3" s="8">
        <v>1.0</v>
      </c>
      <c r="X3" s="8">
        <v>7.0</v>
      </c>
    </row>
    <row r="4">
      <c r="A4" s="7">
        <v>45867.080555555556</v>
      </c>
      <c r="B4" s="7">
        <v>45867.08125</v>
      </c>
      <c r="C4" s="5" t="s">
        <v>99</v>
      </c>
      <c r="D4" s="5" t="s">
        <v>192</v>
      </c>
      <c r="E4" s="8">
        <v>100.0</v>
      </c>
      <c r="F4" s="8">
        <v>89.0</v>
      </c>
      <c r="G4" s="9" t="b">
        <v>1</v>
      </c>
      <c r="H4" s="7">
        <v>45867.08125</v>
      </c>
      <c r="I4" s="5" t="s">
        <v>814</v>
      </c>
      <c r="J4" s="8">
        <v>60.1816</v>
      </c>
      <c r="K4" s="8">
        <v>24.8368</v>
      </c>
      <c r="L4" s="5" t="s">
        <v>194</v>
      </c>
      <c r="M4" s="5" t="s">
        <v>195</v>
      </c>
      <c r="N4" s="10"/>
      <c r="O4" s="5" t="s">
        <v>284</v>
      </c>
      <c r="P4" s="8">
        <v>24.0</v>
      </c>
      <c r="Q4" s="5" t="s">
        <v>805</v>
      </c>
      <c r="R4" s="10"/>
      <c r="S4" s="5" t="s">
        <v>815</v>
      </c>
      <c r="T4" s="5" t="s">
        <v>816</v>
      </c>
      <c r="U4" s="5" t="s">
        <v>817</v>
      </c>
      <c r="V4" s="5" t="s">
        <v>813</v>
      </c>
      <c r="W4" s="8">
        <v>5.0</v>
      </c>
      <c r="X4" s="8">
        <v>5.0</v>
      </c>
    </row>
    <row r="5">
      <c r="A5" s="7">
        <v>45866.30069444444</v>
      </c>
      <c r="B5" s="7">
        <v>45867.010416666664</v>
      </c>
      <c r="C5" s="5" t="s">
        <v>99</v>
      </c>
      <c r="D5" s="5" t="s">
        <v>256</v>
      </c>
      <c r="E5" s="8">
        <v>100.0</v>
      </c>
      <c r="F5" s="8">
        <v>61319.0</v>
      </c>
      <c r="G5" s="9" t="b">
        <v>1</v>
      </c>
      <c r="H5" s="7">
        <v>45867.010416666664</v>
      </c>
      <c r="I5" s="5" t="s">
        <v>818</v>
      </c>
      <c r="J5" s="8">
        <v>60.2498</v>
      </c>
      <c r="K5" s="8">
        <v>24.9939</v>
      </c>
      <c r="L5" s="5" t="s">
        <v>194</v>
      </c>
      <c r="M5" s="5" t="s">
        <v>195</v>
      </c>
      <c r="N5" s="5" t="s">
        <v>804</v>
      </c>
      <c r="O5" s="5" t="s">
        <v>258</v>
      </c>
      <c r="P5" s="8">
        <v>40.0</v>
      </c>
      <c r="Q5" s="5" t="s">
        <v>819</v>
      </c>
      <c r="R5" s="10"/>
      <c r="S5" s="5" t="s">
        <v>820</v>
      </c>
      <c r="T5" s="5" t="s">
        <v>816</v>
      </c>
      <c r="U5" s="5" t="s">
        <v>821</v>
      </c>
      <c r="V5" s="5" t="s">
        <v>822</v>
      </c>
      <c r="W5" s="8">
        <v>5.0</v>
      </c>
      <c r="X5" s="8">
        <v>5.0</v>
      </c>
    </row>
    <row r="6">
      <c r="A6" s="7">
        <v>45869.01458333333</v>
      </c>
      <c r="B6" s="7">
        <v>45869.01527777778</v>
      </c>
      <c r="C6" s="5" t="s">
        <v>99</v>
      </c>
      <c r="D6" s="5" t="s">
        <v>192</v>
      </c>
      <c r="E6" s="8">
        <v>100.0</v>
      </c>
      <c r="F6" s="8">
        <v>85.0</v>
      </c>
      <c r="G6" s="9" t="b">
        <v>1</v>
      </c>
      <c r="H6" s="7">
        <v>45869.01527777778</v>
      </c>
      <c r="I6" s="5" t="s">
        <v>823</v>
      </c>
      <c r="J6" s="8">
        <v>60.1816</v>
      </c>
      <c r="K6" s="8">
        <v>24.8368</v>
      </c>
      <c r="L6" s="5" t="s">
        <v>194</v>
      </c>
      <c r="M6" s="5" t="s">
        <v>195</v>
      </c>
      <c r="N6" s="5" t="s">
        <v>804</v>
      </c>
      <c r="O6" s="5" t="s">
        <v>536</v>
      </c>
      <c r="P6" s="8">
        <v>27.0</v>
      </c>
      <c r="Q6" s="5" t="s">
        <v>805</v>
      </c>
      <c r="R6" s="10"/>
      <c r="S6" s="5" t="s">
        <v>824</v>
      </c>
      <c r="T6" s="5" t="s">
        <v>807</v>
      </c>
      <c r="U6" s="5" t="s">
        <v>825</v>
      </c>
      <c r="V6" s="5" t="s">
        <v>826</v>
      </c>
      <c r="W6" s="8">
        <v>1.0</v>
      </c>
      <c r="X6" s="8">
        <v>1.0</v>
      </c>
    </row>
    <row r="7">
      <c r="A7" s="7">
        <v>45866.291666666664</v>
      </c>
      <c r="B7" s="7">
        <v>45866.29305555556</v>
      </c>
      <c r="C7" s="5" t="s">
        <v>99</v>
      </c>
      <c r="D7" s="5" t="s">
        <v>192</v>
      </c>
      <c r="E7" s="8">
        <v>100.0</v>
      </c>
      <c r="F7" s="8">
        <v>105.0</v>
      </c>
      <c r="G7" s="9" t="b">
        <v>1</v>
      </c>
      <c r="H7" s="7">
        <v>45866.29305555556</v>
      </c>
      <c r="I7" s="5" t="s">
        <v>827</v>
      </c>
      <c r="J7" s="8">
        <v>60.1816</v>
      </c>
      <c r="K7" s="8">
        <v>24.8368</v>
      </c>
      <c r="L7" s="5" t="s">
        <v>194</v>
      </c>
      <c r="M7" s="5" t="s">
        <v>195</v>
      </c>
      <c r="N7" s="5" t="s">
        <v>804</v>
      </c>
      <c r="O7" s="5" t="s">
        <v>239</v>
      </c>
      <c r="P7" s="8">
        <v>34.0</v>
      </c>
      <c r="Q7" s="5" t="s">
        <v>819</v>
      </c>
      <c r="R7" s="10"/>
      <c r="S7" s="5" t="s">
        <v>828</v>
      </c>
      <c r="T7" s="5" t="s">
        <v>807</v>
      </c>
      <c r="U7" s="5" t="s">
        <v>821</v>
      </c>
      <c r="V7" s="5" t="s">
        <v>822</v>
      </c>
      <c r="W7" s="8">
        <v>4.0</v>
      </c>
      <c r="X7" s="8">
        <v>4.0</v>
      </c>
    </row>
    <row r="8">
      <c r="A8" s="7">
        <v>45869.26111111111</v>
      </c>
      <c r="B8" s="7">
        <v>45869.2625</v>
      </c>
      <c r="C8" s="5" t="s">
        <v>99</v>
      </c>
      <c r="D8" s="5" t="s">
        <v>192</v>
      </c>
      <c r="E8" s="8">
        <v>100.0</v>
      </c>
      <c r="F8" s="8">
        <v>81.0</v>
      </c>
      <c r="G8" s="9" t="b">
        <v>1</v>
      </c>
      <c r="H8" s="7">
        <v>45869.2625</v>
      </c>
      <c r="I8" s="5" t="s">
        <v>829</v>
      </c>
      <c r="J8" s="8">
        <v>60.1816</v>
      </c>
      <c r="K8" s="8">
        <v>24.8368</v>
      </c>
      <c r="L8" s="5" t="s">
        <v>194</v>
      </c>
      <c r="M8" s="5" t="s">
        <v>195</v>
      </c>
      <c r="N8" s="10"/>
      <c r="O8" s="5" t="s">
        <v>679</v>
      </c>
      <c r="P8" s="8">
        <v>25.0</v>
      </c>
      <c r="Q8" s="5" t="s">
        <v>819</v>
      </c>
      <c r="R8" s="10"/>
      <c r="S8" s="5" t="s">
        <v>830</v>
      </c>
      <c r="T8" s="5" t="s">
        <v>807</v>
      </c>
      <c r="U8" s="5" t="s">
        <v>831</v>
      </c>
      <c r="V8" s="5" t="s">
        <v>813</v>
      </c>
      <c r="W8" s="8">
        <v>5.0</v>
      </c>
      <c r="X8" s="8">
        <v>6.0</v>
      </c>
    </row>
    <row r="9">
      <c r="A9" s="7">
        <v>45869.240277777775</v>
      </c>
      <c r="B9" s="7">
        <v>45869.24166666667</v>
      </c>
      <c r="C9" s="5" t="s">
        <v>99</v>
      </c>
      <c r="D9" s="5" t="s">
        <v>347</v>
      </c>
      <c r="E9" s="8">
        <v>100.0</v>
      </c>
      <c r="F9" s="8">
        <v>125.0</v>
      </c>
      <c r="G9" s="9" t="b">
        <v>1</v>
      </c>
      <c r="H9" s="7">
        <v>45869.24166666667</v>
      </c>
      <c r="I9" s="5" t="s">
        <v>832</v>
      </c>
      <c r="J9" s="8">
        <v>60.2141</v>
      </c>
      <c r="K9" s="8">
        <v>24.896</v>
      </c>
      <c r="L9" s="5" t="s">
        <v>194</v>
      </c>
      <c r="M9" s="5" t="s">
        <v>195</v>
      </c>
      <c r="N9" s="10"/>
      <c r="O9" s="5" t="s">
        <v>669</v>
      </c>
      <c r="P9" s="8">
        <v>31.0</v>
      </c>
      <c r="Q9" s="5" t="s">
        <v>805</v>
      </c>
      <c r="R9" s="10"/>
      <c r="S9" s="5" t="s">
        <v>833</v>
      </c>
      <c r="T9" s="5" t="s">
        <v>807</v>
      </c>
      <c r="U9" s="5" t="s">
        <v>817</v>
      </c>
      <c r="V9" s="5" t="s">
        <v>834</v>
      </c>
      <c r="W9" s="8">
        <v>1.0</v>
      </c>
      <c r="X9" s="8">
        <v>1.0</v>
      </c>
    </row>
    <row r="10">
      <c r="A10" s="7">
        <v>45866.28958333333</v>
      </c>
      <c r="B10" s="7">
        <v>45866.29305555556</v>
      </c>
      <c r="C10" s="5" t="s">
        <v>99</v>
      </c>
      <c r="D10" s="5" t="s">
        <v>237</v>
      </c>
      <c r="E10" s="8">
        <v>100.0</v>
      </c>
      <c r="F10" s="8">
        <v>258.0</v>
      </c>
      <c r="G10" s="9" t="b">
        <v>1</v>
      </c>
      <c r="H10" s="7">
        <v>45866.29305555556</v>
      </c>
      <c r="I10" s="5" t="s">
        <v>835</v>
      </c>
      <c r="J10" s="8">
        <v>60.2498</v>
      </c>
      <c r="K10" s="8">
        <v>24.9939</v>
      </c>
      <c r="L10" s="5" t="s">
        <v>194</v>
      </c>
      <c r="M10" s="5" t="s">
        <v>195</v>
      </c>
      <c r="N10" s="5" t="s">
        <v>804</v>
      </c>
      <c r="O10" s="5" t="s">
        <v>244</v>
      </c>
      <c r="P10" s="8">
        <v>25.0</v>
      </c>
      <c r="Q10" s="5" t="s">
        <v>819</v>
      </c>
      <c r="R10" s="10"/>
      <c r="S10" s="5" t="s">
        <v>824</v>
      </c>
      <c r="T10" s="5" t="s">
        <v>816</v>
      </c>
      <c r="U10" s="5" t="s">
        <v>836</v>
      </c>
      <c r="V10" s="5" t="s">
        <v>813</v>
      </c>
      <c r="W10" s="8">
        <v>6.0</v>
      </c>
      <c r="X10" s="8">
        <v>2.0</v>
      </c>
    </row>
    <row r="11">
      <c r="A11" s="7">
        <v>45869.23333333333</v>
      </c>
      <c r="B11" s="7">
        <v>45869.23472222222</v>
      </c>
      <c r="C11" s="5" t="s">
        <v>99</v>
      </c>
      <c r="D11" s="5" t="s">
        <v>347</v>
      </c>
      <c r="E11" s="8">
        <v>100.0</v>
      </c>
      <c r="F11" s="8">
        <v>102.0</v>
      </c>
      <c r="G11" s="9" t="b">
        <v>1</v>
      </c>
      <c r="H11" s="7">
        <v>45869.23472222222</v>
      </c>
      <c r="I11" s="5" t="s">
        <v>837</v>
      </c>
      <c r="J11" s="8">
        <v>60.2141</v>
      </c>
      <c r="K11" s="8">
        <v>24.896</v>
      </c>
      <c r="L11" s="5" t="s">
        <v>194</v>
      </c>
      <c r="M11" s="5" t="s">
        <v>195</v>
      </c>
      <c r="N11" s="5" t="s">
        <v>804</v>
      </c>
      <c r="O11" s="5" t="s">
        <v>674</v>
      </c>
      <c r="P11" s="8">
        <v>25.0</v>
      </c>
      <c r="Q11" s="5" t="s">
        <v>805</v>
      </c>
      <c r="R11" s="10"/>
      <c r="S11" s="5" t="s">
        <v>824</v>
      </c>
      <c r="T11" s="5" t="s">
        <v>807</v>
      </c>
      <c r="U11" s="5" t="s">
        <v>817</v>
      </c>
      <c r="V11" s="5" t="s">
        <v>838</v>
      </c>
      <c r="W11" s="8">
        <v>6.0</v>
      </c>
      <c r="X11" s="8">
        <v>4.0</v>
      </c>
    </row>
    <row r="12">
      <c r="A12" s="7">
        <v>45869.208333333336</v>
      </c>
      <c r="B12" s="7">
        <v>45869.209027777775</v>
      </c>
      <c r="C12" s="5" t="s">
        <v>99</v>
      </c>
      <c r="D12" s="5" t="s">
        <v>347</v>
      </c>
      <c r="E12" s="8">
        <v>100.0</v>
      </c>
      <c r="F12" s="8">
        <v>65.0</v>
      </c>
      <c r="G12" s="9" t="b">
        <v>1</v>
      </c>
      <c r="H12" s="7">
        <v>45869.209027777775</v>
      </c>
      <c r="I12" s="5" t="s">
        <v>839</v>
      </c>
      <c r="J12" s="8">
        <v>60.2141</v>
      </c>
      <c r="K12" s="8">
        <v>24.896</v>
      </c>
      <c r="L12" s="5" t="s">
        <v>194</v>
      </c>
      <c r="M12" s="5" t="s">
        <v>195</v>
      </c>
      <c r="N12" s="5" t="s">
        <v>804</v>
      </c>
      <c r="O12" s="5" t="s">
        <v>655</v>
      </c>
      <c r="P12" s="8">
        <v>34.0</v>
      </c>
      <c r="Q12" s="5" t="s">
        <v>819</v>
      </c>
      <c r="R12" s="10"/>
      <c r="S12" s="5" t="s">
        <v>840</v>
      </c>
      <c r="T12" s="5" t="s">
        <v>807</v>
      </c>
      <c r="U12" s="5" t="s">
        <v>841</v>
      </c>
      <c r="V12" s="5" t="s">
        <v>842</v>
      </c>
      <c r="W12" s="8">
        <v>7.0</v>
      </c>
      <c r="X12" s="8">
        <v>5.0</v>
      </c>
    </row>
    <row r="13">
      <c r="A13" s="7">
        <v>45869.17083333333</v>
      </c>
      <c r="B13" s="7">
        <v>45869.17291666667</v>
      </c>
      <c r="C13" s="5" t="s">
        <v>99</v>
      </c>
      <c r="D13" s="5" t="s">
        <v>529</v>
      </c>
      <c r="E13" s="8">
        <v>100.0</v>
      </c>
      <c r="F13" s="8">
        <v>143.0</v>
      </c>
      <c r="G13" s="9" t="b">
        <v>1</v>
      </c>
      <c r="H13" s="7">
        <v>45869.17291666667</v>
      </c>
      <c r="I13" s="5" t="s">
        <v>843</v>
      </c>
      <c r="J13" s="8">
        <v>60.1816</v>
      </c>
      <c r="K13" s="8">
        <v>24.8368</v>
      </c>
      <c r="L13" s="5" t="s">
        <v>194</v>
      </c>
      <c r="M13" s="5" t="s">
        <v>195</v>
      </c>
      <c r="N13" s="5" t="s">
        <v>804</v>
      </c>
      <c r="O13" s="5" t="s">
        <v>607</v>
      </c>
      <c r="P13" s="8">
        <v>25.0</v>
      </c>
      <c r="Q13" s="5" t="s">
        <v>805</v>
      </c>
      <c r="R13" s="10"/>
      <c r="S13" s="5" t="s">
        <v>844</v>
      </c>
      <c r="T13" s="5" t="s">
        <v>807</v>
      </c>
      <c r="U13" s="5" t="s">
        <v>845</v>
      </c>
      <c r="V13" s="5" t="s">
        <v>838</v>
      </c>
      <c r="W13" s="8">
        <v>1.0</v>
      </c>
      <c r="X13" s="8">
        <v>2.0</v>
      </c>
    </row>
    <row r="14">
      <c r="A14" s="7">
        <v>45869.18402777778</v>
      </c>
      <c r="B14" s="7">
        <v>45869.18541666667</v>
      </c>
      <c r="C14" s="5" t="s">
        <v>99</v>
      </c>
      <c r="D14" s="5" t="s">
        <v>383</v>
      </c>
      <c r="E14" s="8">
        <v>100.0</v>
      </c>
      <c r="F14" s="8">
        <v>106.0</v>
      </c>
      <c r="G14" s="9" t="b">
        <v>1</v>
      </c>
      <c r="H14" s="7">
        <v>45869.18541666667</v>
      </c>
      <c r="I14" s="5" t="s">
        <v>846</v>
      </c>
      <c r="J14" s="8">
        <v>60.1816</v>
      </c>
      <c r="K14" s="8">
        <v>24.8368</v>
      </c>
      <c r="L14" s="5" t="s">
        <v>194</v>
      </c>
      <c r="M14" s="5" t="s">
        <v>195</v>
      </c>
      <c r="N14" s="5" t="s">
        <v>804</v>
      </c>
      <c r="O14" s="5" t="s">
        <v>602</v>
      </c>
      <c r="P14" s="8">
        <v>26.0</v>
      </c>
      <c r="Q14" s="5" t="s">
        <v>805</v>
      </c>
      <c r="R14" s="10"/>
      <c r="S14" s="5" t="s">
        <v>824</v>
      </c>
      <c r="T14" s="5" t="s">
        <v>807</v>
      </c>
      <c r="U14" s="5" t="s">
        <v>847</v>
      </c>
      <c r="V14" s="5" t="s">
        <v>826</v>
      </c>
      <c r="W14" s="8">
        <v>1.0</v>
      </c>
      <c r="X14" s="8">
        <v>1.0</v>
      </c>
    </row>
    <row r="15">
      <c r="A15" s="7">
        <v>45869.14791666667</v>
      </c>
      <c r="B15" s="7">
        <v>45869.15138888889</v>
      </c>
      <c r="C15" s="5" t="s">
        <v>99</v>
      </c>
      <c r="D15" s="5" t="s">
        <v>192</v>
      </c>
      <c r="E15" s="8">
        <v>100.0</v>
      </c>
      <c r="F15" s="8">
        <v>299.0</v>
      </c>
      <c r="G15" s="9" t="b">
        <v>1</v>
      </c>
      <c r="H15" s="7">
        <v>45869.15138888889</v>
      </c>
      <c r="I15" s="5" t="s">
        <v>848</v>
      </c>
      <c r="J15" s="8">
        <v>60.1816</v>
      </c>
      <c r="K15" s="8">
        <v>24.8368</v>
      </c>
      <c r="L15" s="5" t="s">
        <v>194</v>
      </c>
      <c r="M15" s="5" t="s">
        <v>195</v>
      </c>
      <c r="N15" s="5" t="s">
        <v>804</v>
      </c>
      <c r="O15" s="5" t="s">
        <v>595</v>
      </c>
      <c r="P15" s="8">
        <v>38.0</v>
      </c>
      <c r="Q15" s="5" t="s">
        <v>819</v>
      </c>
      <c r="R15" s="10"/>
      <c r="S15" s="5" t="s">
        <v>849</v>
      </c>
      <c r="T15" s="5" t="s">
        <v>807</v>
      </c>
      <c r="U15" s="5" t="s">
        <v>850</v>
      </c>
      <c r="V15" s="5" t="s">
        <v>822</v>
      </c>
      <c r="W15" s="8">
        <v>4.0</v>
      </c>
      <c r="X15" s="8">
        <v>2.0</v>
      </c>
    </row>
    <row r="16">
      <c r="A16" s="7">
        <v>45869.08263888889</v>
      </c>
      <c r="B16" s="7">
        <v>45869.083333333336</v>
      </c>
      <c r="C16" s="5" t="s">
        <v>99</v>
      </c>
      <c r="D16" s="5" t="s">
        <v>347</v>
      </c>
      <c r="E16" s="8">
        <v>100.0</v>
      </c>
      <c r="F16" s="8">
        <v>114.0</v>
      </c>
      <c r="G16" s="9" t="b">
        <v>1</v>
      </c>
      <c r="H16" s="7">
        <v>45869.083333333336</v>
      </c>
      <c r="I16" s="5" t="s">
        <v>851</v>
      </c>
      <c r="J16" s="8">
        <v>60.2141</v>
      </c>
      <c r="K16" s="8">
        <v>24.896</v>
      </c>
      <c r="L16" s="5" t="s">
        <v>194</v>
      </c>
      <c r="M16" s="5" t="s">
        <v>195</v>
      </c>
      <c r="N16" s="5" t="s">
        <v>804</v>
      </c>
      <c r="O16" s="5" t="s">
        <v>582</v>
      </c>
      <c r="P16" s="8">
        <v>23.0</v>
      </c>
      <c r="Q16" s="5" t="s">
        <v>805</v>
      </c>
      <c r="R16" s="10"/>
      <c r="S16" s="5" t="s">
        <v>824</v>
      </c>
      <c r="T16" s="5" t="s">
        <v>807</v>
      </c>
      <c r="U16" s="5" t="s">
        <v>825</v>
      </c>
      <c r="V16" s="5" t="s">
        <v>813</v>
      </c>
      <c r="W16" s="8">
        <v>1.0</v>
      </c>
      <c r="X16" s="8">
        <v>1.0</v>
      </c>
    </row>
    <row r="17">
      <c r="A17" s="7">
        <v>45869.07638888889</v>
      </c>
      <c r="B17" s="7">
        <v>45869.07847222222</v>
      </c>
      <c r="C17" s="5" t="s">
        <v>99</v>
      </c>
      <c r="D17" s="5" t="s">
        <v>383</v>
      </c>
      <c r="E17" s="8">
        <v>100.0</v>
      </c>
      <c r="F17" s="8">
        <v>203.0</v>
      </c>
      <c r="G17" s="9" t="b">
        <v>1</v>
      </c>
      <c r="H17" s="7">
        <v>45869.07847222222</v>
      </c>
      <c r="I17" s="5" t="s">
        <v>852</v>
      </c>
      <c r="J17" s="8">
        <v>60.1816</v>
      </c>
      <c r="K17" s="8">
        <v>24.8368</v>
      </c>
      <c r="L17" s="5" t="s">
        <v>194</v>
      </c>
      <c r="M17" s="5" t="s">
        <v>195</v>
      </c>
      <c r="N17" s="10"/>
      <c r="O17" s="5" t="s">
        <v>573</v>
      </c>
      <c r="P17" s="8">
        <v>22.0</v>
      </c>
      <c r="Q17" s="5" t="s">
        <v>805</v>
      </c>
      <c r="R17" s="10"/>
      <c r="S17" s="5" t="s">
        <v>824</v>
      </c>
      <c r="T17" s="5" t="s">
        <v>807</v>
      </c>
      <c r="U17" s="5" t="s">
        <v>812</v>
      </c>
      <c r="V17" s="5" t="s">
        <v>838</v>
      </c>
      <c r="W17" s="8">
        <v>1.0</v>
      </c>
      <c r="X17" s="8">
        <v>1.0</v>
      </c>
    </row>
    <row r="18">
      <c r="A18" s="7">
        <v>45869.00763888889</v>
      </c>
      <c r="B18" s="7">
        <v>45869.00902777778</v>
      </c>
      <c r="C18" s="5" t="s">
        <v>99</v>
      </c>
      <c r="D18" s="5" t="s">
        <v>529</v>
      </c>
      <c r="E18" s="8">
        <v>100.0</v>
      </c>
      <c r="F18" s="8">
        <v>90.0</v>
      </c>
      <c r="G18" s="9" t="b">
        <v>1</v>
      </c>
      <c r="H18" s="7">
        <v>45869.00902777778</v>
      </c>
      <c r="I18" s="5" t="s">
        <v>853</v>
      </c>
      <c r="J18" s="8">
        <v>60.1816</v>
      </c>
      <c r="K18" s="8">
        <v>24.8368</v>
      </c>
      <c r="L18" s="5" t="s">
        <v>194</v>
      </c>
      <c r="M18" s="5" t="s">
        <v>195</v>
      </c>
      <c r="N18" s="10"/>
      <c r="O18" s="5" t="s">
        <v>531</v>
      </c>
      <c r="P18" s="8">
        <v>26.0</v>
      </c>
      <c r="Q18" s="5" t="s">
        <v>805</v>
      </c>
      <c r="R18" s="10"/>
      <c r="S18" s="5" t="s">
        <v>824</v>
      </c>
      <c r="T18" s="5" t="s">
        <v>807</v>
      </c>
      <c r="U18" s="5" t="s">
        <v>812</v>
      </c>
      <c r="V18" s="5" t="s">
        <v>854</v>
      </c>
      <c r="W18" s="8">
        <v>1.0</v>
      </c>
      <c r="X18" s="8">
        <v>3.0</v>
      </c>
    </row>
    <row r="19">
      <c r="A19" s="7">
        <v>45868.27013888889</v>
      </c>
      <c r="B19" s="7">
        <v>45868.274305555555</v>
      </c>
      <c r="C19" s="5" t="s">
        <v>99</v>
      </c>
      <c r="D19" s="5" t="s">
        <v>192</v>
      </c>
      <c r="E19" s="8">
        <v>100.0</v>
      </c>
      <c r="F19" s="8">
        <v>340.0</v>
      </c>
      <c r="G19" s="9" t="b">
        <v>1</v>
      </c>
      <c r="H19" s="7">
        <v>45868.274305555555</v>
      </c>
      <c r="I19" s="5" t="s">
        <v>855</v>
      </c>
      <c r="J19" s="8">
        <v>60.1816</v>
      </c>
      <c r="K19" s="8">
        <v>24.8368</v>
      </c>
      <c r="L19" s="5" t="s">
        <v>194</v>
      </c>
      <c r="M19" s="5" t="s">
        <v>195</v>
      </c>
      <c r="N19" s="5" t="s">
        <v>804</v>
      </c>
      <c r="O19" s="5" t="s">
        <v>496</v>
      </c>
      <c r="P19" s="8">
        <v>27.0</v>
      </c>
      <c r="Q19" s="5" t="s">
        <v>805</v>
      </c>
      <c r="R19" s="10"/>
      <c r="S19" s="5" t="s">
        <v>824</v>
      </c>
      <c r="T19" s="5" t="s">
        <v>807</v>
      </c>
      <c r="U19" s="5" t="s">
        <v>856</v>
      </c>
      <c r="V19" s="5" t="s">
        <v>822</v>
      </c>
      <c r="W19" s="8">
        <v>1.0</v>
      </c>
      <c r="X19" s="8">
        <v>2.0</v>
      </c>
    </row>
    <row r="20">
      <c r="A20" s="7">
        <v>45866.243055555555</v>
      </c>
      <c r="B20" s="7">
        <v>45866.24444444444</v>
      </c>
      <c r="C20" s="5" t="s">
        <v>99</v>
      </c>
      <c r="D20" s="5" t="s">
        <v>192</v>
      </c>
      <c r="E20" s="8">
        <v>100.0</v>
      </c>
      <c r="F20" s="8">
        <v>168.0</v>
      </c>
      <c r="G20" s="9" t="b">
        <v>1</v>
      </c>
      <c r="H20" s="7">
        <v>45866.24444444444</v>
      </c>
      <c r="I20" s="5" t="s">
        <v>857</v>
      </c>
      <c r="J20" s="8">
        <v>60.1816</v>
      </c>
      <c r="K20" s="8">
        <v>24.8368</v>
      </c>
      <c r="L20" s="5" t="s">
        <v>194</v>
      </c>
      <c r="M20" s="5" t="s">
        <v>195</v>
      </c>
      <c r="N20" s="5" t="s">
        <v>804</v>
      </c>
      <c r="O20" s="5" t="s">
        <v>221</v>
      </c>
      <c r="P20" s="8">
        <v>26.0</v>
      </c>
      <c r="Q20" s="5" t="s">
        <v>819</v>
      </c>
      <c r="R20" s="10"/>
      <c r="S20" s="5" t="s">
        <v>858</v>
      </c>
      <c r="T20" s="5" t="s">
        <v>807</v>
      </c>
      <c r="U20" s="5" t="s">
        <v>821</v>
      </c>
      <c r="V20" s="5" t="s">
        <v>859</v>
      </c>
      <c r="W20" s="8">
        <v>1.0</v>
      </c>
      <c r="X20" s="8">
        <v>2.0</v>
      </c>
    </row>
    <row r="21">
      <c r="A21" s="7">
        <v>45868.211805555555</v>
      </c>
      <c r="B21" s="7">
        <v>45868.22152777778</v>
      </c>
      <c r="C21" s="5" t="s">
        <v>99</v>
      </c>
      <c r="D21" s="5" t="s">
        <v>192</v>
      </c>
      <c r="E21" s="8">
        <v>100.0</v>
      </c>
      <c r="F21" s="8">
        <v>858.0</v>
      </c>
      <c r="G21" s="9" t="b">
        <v>1</v>
      </c>
      <c r="H21" s="7">
        <v>45868.22152777778</v>
      </c>
      <c r="I21" s="5" t="s">
        <v>860</v>
      </c>
      <c r="J21" s="8">
        <v>60.1816</v>
      </c>
      <c r="K21" s="8">
        <v>24.8368</v>
      </c>
      <c r="L21" s="5" t="s">
        <v>194</v>
      </c>
      <c r="M21" s="5" t="s">
        <v>195</v>
      </c>
      <c r="N21" s="5" t="s">
        <v>804</v>
      </c>
      <c r="O21" s="5" t="s">
        <v>470</v>
      </c>
      <c r="P21" s="8">
        <v>29.0</v>
      </c>
      <c r="Q21" s="5" t="s">
        <v>819</v>
      </c>
      <c r="R21" s="10"/>
      <c r="S21" s="5" t="s">
        <v>861</v>
      </c>
      <c r="T21" s="5" t="s">
        <v>807</v>
      </c>
      <c r="U21" s="5" t="s">
        <v>862</v>
      </c>
      <c r="V21" s="5" t="s">
        <v>863</v>
      </c>
      <c r="W21" s="8">
        <v>2.0</v>
      </c>
      <c r="X21" s="8">
        <v>3.0</v>
      </c>
    </row>
    <row r="22">
      <c r="A22" s="7">
        <v>45868.16458333333</v>
      </c>
      <c r="B22" s="7">
        <v>45868.16736111111</v>
      </c>
      <c r="C22" s="5" t="s">
        <v>99</v>
      </c>
      <c r="D22" s="5" t="s">
        <v>192</v>
      </c>
      <c r="E22" s="8">
        <v>100.0</v>
      </c>
      <c r="F22" s="8">
        <v>233.0</v>
      </c>
      <c r="G22" s="9" t="b">
        <v>1</v>
      </c>
      <c r="H22" s="7">
        <v>45868.16736111111</v>
      </c>
      <c r="I22" s="5" t="s">
        <v>864</v>
      </c>
      <c r="J22" s="8">
        <v>60.1816</v>
      </c>
      <c r="K22" s="8">
        <v>24.8368</v>
      </c>
      <c r="L22" s="5" t="s">
        <v>194</v>
      </c>
      <c r="M22" s="5" t="s">
        <v>195</v>
      </c>
      <c r="N22" s="10"/>
      <c r="O22" s="5" t="s">
        <v>442</v>
      </c>
      <c r="P22" s="8">
        <v>29.0</v>
      </c>
      <c r="Q22" s="5" t="s">
        <v>819</v>
      </c>
      <c r="R22" s="10"/>
      <c r="S22" s="5" t="s">
        <v>830</v>
      </c>
      <c r="T22" s="5" t="s">
        <v>807</v>
      </c>
      <c r="U22" s="5" t="s">
        <v>865</v>
      </c>
      <c r="V22" s="5" t="s">
        <v>826</v>
      </c>
      <c r="W22" s="8">
        <v>1.0</v>
      </c>
      <c r="X22" s="8">
        <v>2.0</v>
      </c>
    </row>
    <row r="23">
      <c r="A23" s="7">
        <v>45868.14791666667</v>
      </c>
      <c r="B23" s="7">
        <v>45868.149305555555</v>
      </c>
      <c r="C23" s="5" t="s">
        <v>99</v>
      </c>
      <c r="D23" s="5" t="s">
        <v>192</v>
      </c>
      <c r="E23" s="8">
        <v>100.0</v>
      </c>
      <c r="F23" s="8">
        <v>92.0</v>
      </c>
      <c r="G23" s="9" t="b">
        <v>1</v>
      </c>
      <c r="H23" s="7">
        <v>45868.149305555555</v>
      </c>
      <c r="I23" s="5" t="s">
        <v>866</v>
      </c>
      <c r="J23" s="8">
        <v>60.1816</v>
      </c>
      <c r="K23" s="8">
        <v>24.8368</v>
      </c>
      <c r="L23" s="5" t="s">
        <v>194</v>
      </c>
      <c r="M23" s="5" t="s">
        <v>195</v>
      </c>
      <c r="N23" s="5" t="s">
        <v>804</v>
      </c>
      <c r="O23" s="5" t="s">
        <v>433</v>
      </c>
      <c r="P23" s="8">
        <v>27.0</v>
      </c>
      <c r="Q23" s="5" t="s">
        <v>805</v>
      </c>
      <c r="R23" s="10"/>
      <c r="S23" s="5" t="s">
        <v>849</v>
      </c>
      <c r="T23" s="5" t="s">
        <v>807</v>
      </c>
      <c r="U23" s="5" t="s">
        <v>867</v>
      </c>
      <c r="V23" s="5" t="s">
        <v>826</v>
      </c>
      <c r="W23" s="8">
        <v>3.0</v>
      </c>
      <c r="X23" s="8">
        <v>3.0</v>
      </c>
    </row>
    <row r="24">
      <c r="A24" s="7">
        <v>45868.07152777778</v>
      </c>
      <c r="B24" s="7">
        <v>45868.072222222225</v>
      </c>
      <c r="C24" s="5" t="s">
        <v>99</v>
      </c>
      <c r="D24" s="5" t="s">
        <v>383</v>
      </c>
      <c r="E24" s="8">
        <v>100.0</v>
      </c>
      <c r="F24" s="8">
        <v>97.0</v>
      </c>
      <c r="G24" s="9" t="b">
        <v>1</v>
      </c>
      <c r="H24" s="7">
        <v>45868.072222222225</v>
      </c>
      <c r="I24" s="5" t="s">
        <v>868</v>
      </c>
      <c r="J24" s="8">
        <v>60.1816</v>
      </c>
      <c r="K24" s="8">
        <v>24.8368</v>
      </c>
      <c r="L24" s="5" t="s">
        <v>194</v>
      </c>
      <c r="M24" s="5" t="s">
        <v>195</v>
      </c>
      <c r="N24" s="5" t="s">
        <v>804</v>
      </c>
      <c r="O24" s="5" t="s">
        <v>411</v>
      </c>
      <c r="P24" s="8">
        <v>30.0</v>
      </c>
      <c r="Q24" s="5" t="s">
        <v>805</v>
      </c>
      <c r="R24" s="10"/>
      <c r="S24" s="5" t="s">
        <v>824</v>
      </c>
      <c r="T24" s="5" t="s">
        <v>807</v>
      </c>
      <c r="U24" s="5" t="s">
        <v>825</v>
      </c>
      <c r="V24" s="5" t="s">
        <v>869</v>
      </c>
      <c r="W24" s="8">
        <v>2.0</v>
      </c>
      <c r="X24" s="8">
        <v>4.0</v>
      </c>
    </row>
    <row r="25">
      <c r="A25" s="7">
        <v>45868.07083333333</v>
      </c>
      <c r="B25" s="7">
        <v>45868.072916666664</v>
      </c>
      <c r="C25" s="5" t="s">
        <v>99</v>
      </c>
      <c r="D25" s="5" t="s">
        <v>347</v>
      </c>
      <c r="E25" s="8">
        <v>100.0</v>
      </c>
      <c r="F25" s="8">
        <v>149.0</v>
      </c>
      <c r="G25" s="9" t="b">
        <v>1</v>
      </c>
      <c r="H25" s="7">
        <v>45868.072916666664</v>
      </c>
      <c r="I25" s="5" t="s">
        <v>870</v>
      </c>
      <c r="J25" s="8">
        <v>60.2141</v>
      </c>
      <c r="K25" s="8">
        <v>24.896</v>
      </c>
      <c r="L25" s="5" t="s">
        <v>194</v>
      </c>
      <c r="M25" s="5" t="s">
        <v>195</v>
      </c>
      <c r="N25" s="10"/>
      <c r="O25" s="5" t="s">
        <v>428</v>
      </c>
      <c r="P25" s="8">
        <v>44.0</v>
      </c>
      <c r="Q25" s="5" t="s">
        <v>819</v>
      </c>
      <c r="R25" s="10"/>
      <c r="S25" s="5" t="s">
        <v>871</v>
      </c>
      <c r="T25" s="5" t="s">
        <v>807</v>
      </c>
      <c r="U25" s="6" t="s">
        <v>872</v>
      </c>
      <c r="V25" s="5" t="s">
        <v>873</v>
      </c>
      <c r="W25" s="8">
        <v>5.0</v>
      </c>
      <c r="X25" s="8">
        <v>2.0</v>
      </c>
    </row>
    <row r="26">
      <c r="A26" s="7">
        <v>45868.01597222222</v>
      </c>
      <c r="B26" s="7">
        <v>45868.01736111111</v>
      </c>
      <c r="C26" s="5" t="s">
        <v>99</v>
      </c>
      <c r="D26" s="5" t="s">
        <v>383</v>
      </c>
      <c r="E26" s="8">
        <v>100.0</v>
      </c>
      <c r="F26" s="8">
        <v>119.0</v>
      </c>
      <c r="G26" s="9" t="b">
        <v>1</v>
      </c>
      <c r="H26" s="7">
        <v>45868.01736111111</v>
      </c>
      <c r="I26" s="5" t="s">
        <v>874</v>
      </c>
      <c r="J26" s="8">
        <v>60.1816</v>
      </c>
      <c r="K26" s="8">
        <v>24.8368</v>
      </c>
      <c r="L26" s="5" t="s">
        <v>194</v>
      </c>
      <c r="M26" s="5" t="s">
        <v>195</v>
      </c>
      <c r="N26" s="5" t="s">
        <v>804</v>
      </c>
      <c r="O26" s="5" t="s">
        <v>385</v>
      </c>
      <c r="P26" s="8">
        <v>29.0</v>
      </c>
      <c r="Q26" s="5" t="s">
        <v>805</v>
      </c>
      <c r="R26" s="10"/>
      <c r="S26" s="5" t="s">
        <v>875</v>
      </c>
      <c r="T26" s="5" t="s">
        <v>807</v>
      </c>
      <c r="U26" s="5" t="s">
        <v>876</v>
      </c>
      <c r="V26" s="5" t="s">
        <v>813</v>
      </c>
      <c r="W26" s="8">
        <v>2.0</v>
      </c>
      <c r="X26" s="8">
        <v>4.0</v>
      </c>
    </row>
    <row r="27">
      <c r="A27" s="7">
        <v>45868.013194444444</v>
      </c>
      <c r="B27" s="7">
        <v>45868.01527777778</v>
      </c>
      <c r="C27" s="5" t="s">
        <v>99</v>
      </c>
      <c r="D27" s="5" t="s">
        <v>192</v>
      </c>
      <c r="E27" s="8">
        <v>100.0</v>
      </c>
      <c r="F27" s="8">
        <v>163.0</v>
      </c>
      <c r="G27" s="9" t="b">
        <v>1</v>
      </c>
      <c r="H27" s="7">
        <v>45868.01527777778</v>
      </c>
      <c r="I27" s="5" t="s">
        <v>877</v>
      </c>
      <c r="J27" s="8">
        <v>60.1816</v>
      </c>
      <c r="K27" s="8">
        <v>24.8368</v>
      </c>
      <c r="L27" s="5" t="s">
        <v>194</v>
      </c>
      <c r="M27" s="5" t="s">
        <v>195</v>
      </c>
      <c r="N27" s="5" t="s">
        <v>804</v>
      </c>
      <c r="O27" s="5" t="s">
        <v>379</v>
      </c>
      <c r="P27" s="8">
        <v>40.0</v>
      </c>
      <c r="Q27" s="5" t="s">
        <v>805</v>
      </c>
      <c r="R27" s="10"/>
      <c r="S27" s="5" t="s">
        <v>878</v>
      </c>
      <c r="T27" s="5" t="s">
        <v>816</v>
      </c>
      <c r="U27" s="5" t="s">
        <v>879</v>
      </c>
      <c r="V27" s="5" t="s">
        <v>859</v>
      </c>
      <c r="W27" s="8">
        <v>6.0</v>
      </c>
      <c r="X27" s="8">
        <v>6.0</v>
      </c>
    </row>
    <row r="28">
      <c r="A28" s="7">
        <v>45867.26666666667</v>
      </c>
      <c r="B28" s="7">
        <v>45867.26944444444</v>
      </c>
      <c r="C28" s="5" t="s">
        <v>99</v>
      </c>
      <c r="D28" s="5" t="s">
        <v>347</v>
      </c>
      <c r="E28" s="8">
        <v>100.0</v>
      </c>
      <c r="F28" s="8">
        <v>232.0</v>
      </c>
      <c r="G28" s="9" t="b">
        <v>1</v>
      </c>
      <c r="H28" s="7">
        <v>45867.26944444444</v>
      </c>
      <c r="I28" s="5" t="s">
        <v>880</v>
      </c>
      <c r="J28" s="8">
        <v>60.2141</v>
      </c>
      <c r="K28" s="8">
        <v>24.896</v>
      </c>
      <c r="L28" s="5" t="s">
        <v>194</v>
      </c>
      <c r="M28" s="5" t="s">
        <v>195</v>
      </c>
      <c r="N28" s="5" t="s">
        <v>804</v>
      </c>
      <c r="O28" s="5" t="s">
        <v>353</v>
      </c>
      <c r="P28" s="8">
        <v>26.0</v>
      </c>
      <c r="Q28" s="5" t="s">
        <v>805</v>
      </c>
      <c r="R28" s="10"/>
      <c r="S28" s="5" t="s">
        <v>881</v>
      </c>
      <c r="T28" s="5" t="s">
        <v>807</v>
      </c>
      <c r="U28" s="5" t="s">
        <v>882</v>
      </c>
      <c r="V28" s="5" t="s">
        <v>863</v>
      </c>
      <c r="W28" s="8">
        <v>5.0</v>
      </c>
      <c r="X28" s="8">
        <v>7.0</v>
      </c>
    </row>
    <row r="29">
      <c r="A29" s="7">
        <v>45867.26527777778</v>
      </c>
      <c r="B29" s="7">
        <v>45867.26875</v>
      </c>
      <c r="C29" s="5" t="s">
        <v>99</v>
      </c>
      <c r="D29" s="5" t="s">
        <v>256</v>
      </c>
      <c r="E29" s="8">
        <v>100.0</v>
      </c>
      <c r="F29" s="8">
        <v>316.0</v>
      </c>
      <c r="G29" s="9" t="b">
        <v>1</v>
      </c>
      <c r="H29" s="7">
        <v>45867.26875</v>
      </c>
      <c r="I29" s="5" t="s">
        <v>883</v>
      </c>
      <c r="J29" s="8">
        <v>60.1816</v>
      </c>
      <c r="K29" s="8">
        <v>24.8368</v>
      </c>
      <c r="L29" s="5" t="s">
        <v>194</v>
      </c>
      <c r="M29" s="5" t="s">
        <v>195</v>
      </c>
      <c r="N29" s="10"/>
      <c r="O29" s="5" t="s">
        <v>362</v>
      </c>
      <c r="P29" s="8">
        <v>29.0</v>
      </c>
      <c r="Q29" s="5" t="s">
        <v>805</v>
      </c>
      <c r="R29" s="10"/>
      <c r="S29" s="5" t="s">
        <v>878</v>
      </c>
      <c r="T29" s="5" t="s">
        <v>807</v>
      </c>
      <c r="U29" s="5" t="s">
        <v>884</v>
      </c>
      <c r="V29" s="5" t="s">
        <v>822</v>
      </c>
      <c r="W29" s="8">
        <v>2.0</v>
      </c>
      <c r="X29" s="8">
        <v>3.0</v>
      </c>
    </row>
    <row r="30">
      <c r="A30" s="7">
        <v>45867.21597222222</v>
      </c>
      <c r="B30" s="7">
        <v>45867.21805555555</v>
      </c>
      <c r="C30" s="5" t="s">
        <v>99</v>
      </c>
      <c r="D30" s="5" t="s">
        <v>192</v>
      </c>
      <c r="E30" s="8">
        <v>100.0</v>
      </c>
      <c r="F30" s="8">
        <v>179.0</v>
      </c>
      <c r="G30" s="9" t="b">
        <v>1</v>
      </c>
      <c r="H30" s="7">
        <v>45867.21805555555</v>
      </c>
      <c r="I30" s="5" t="s">
        <v>885</v>
      </c>
      <c r="J30" s="8">
        <v>60.1816</v>
      </c>
      <c r="K30" s="8">
        <v>24.8368</v>
      </c>
      <c r="L30" s="5" t="s">
        <v>194</v>
      </c>
      <c r="M30" s="5" t="s">
        <v>195</v>
      </c>
      <c r="N30" s="10"/>
      <c r="O30" s="5" t="s">
        <v>331</v>
      </c>
      <c r="P30" s="8">
        <v>26.0</v>
      </c>
      <c r="Q30" s="5" t="s">
        <v>805</v>
      </c>
      <c r="R30" s="10"/>
      <c r="S30" s="5" t="s">
        <v>886</v>
      </c>
      <c r="T30" s="5" t="s">
        <v>807</v>
      </c>
      <c r="U30" s="5" t="s">
        <v>825</v>
      </c>
      <c r="V30" s="5" t="s">
        <v>826</v>
      </c>
      <c r="W30" s="8">
        <v>4.0</v>
      </c>
      <c r="X30" s="8">
        <v>5.0</v>
      </c>
    </row>
    <row r="31">
      <c r="A31" s="7">
        <v>45866.15138888889</v>
      </c>
      <c r="B31" s="7">
        <v>45866.15347222222</v>
      </c>
      <c r="C31" s="5" t="s">
        <v>99</v>
      </c>
      <c r="D31" s="5" t="s">
        <v>192</v>
      </c>
      <c r="E31" s="8">
        <v>100.0</v>
      </c>
      <c r="F31" s="8">
        <v>205.0</v>
      </c>
      <c r="G31" s="9" t="b">
        <v>1</v>
      </c>
      <c r="H31" s="7">
        <v>45866.15347222222</v>
      </c>
      <c r="I31" s="5" t="s">
        <v>887</v>
      </c>
      <c r="J31" s="8">
        <v>60.1816</v>
      </c>
      <c r="K31" s="8">
        <v>24.8368</v>
      </c>
      <c r="L31" s="5" t="s">
        <v>194</v>
      </c>
      <c r="M31" s="5" t="s">
        <v>195</v>
      </c>
      <c r="N31" s="5" t="s">
        <v>804</v>
      </c>
      <c r="O31" s="5" t="s">
        <v>196</v>
      </c>
      <c r="P31" s="8">
        <v>32.0</v>
      </c>
      <c r="Q31" s="5" t="s">
        <v>819</v>
      </c>
      <c r="R31" s="10"/>
      <c r="S31" s="5" t="s">
        <v>888</v>
      </c>
      <c r="T31" s="5" t="s">
        <v>807</v>
      </c>
      <c r="U31" s="5" t="s">
        <v>821</v>
      </c>
      <c r="V31" s="5" t="s">
        <v>826</v>
      </c>
      <c r="W31" s="8">
        <v>5.0</v>
      </c>
      <c r="X31" s="8">
        <v>1.0</v>
      </c>
    </row>
    <row r="32">
      <c r="A32" s="9" t="s">
        <v>889</v>
      </c>
      <c r="B32" s="9" t="s">
        <v>889</v>
      </c>
      <c r="C32" s="5" t="s">
        <v>99</v>
      </c>
      <c r="D32" s="5" t="s">
        <v>890</v>
      </c>
      <c r="E32" s="8">
        <v>100.0</v>
      </c>
      <c r="F32" s="8">
        <v>386.0</v>
      </c>
      <c r="G32" s="9" t="b">
        <v>1</v>
      </c>
      <c r="H32" s="7">
        <v>45866.15347222222</v>
      </c>
      <c r="I32" s="5" t="s">
        <v>891</v>
      </c>
      <c r="J32" s="8">
        <v>60.1968</v>
      </c>
      <c r="K32" s="8">
        <v>24.9608</v>
      </c>
      <c r="L32" s="5" t="s">
        <v>194</v>
      </c>
      <c r="M32" s="5" t="s">
        <v>195</v>
      </c>
      <c r="N32" s="10"/>
      <c r="O32" s="5" t="s">
        <v>501</v>
      </c>
      <c r="P32" s="8">
        <v>24.0</v>
      </c>
      <c r="Q32" s="5" t="s">
        <v>819</v>
      </c>
      <c r="R32" s="10"/>
      <c r="S32" s="5" t="s">
        <v>824</v>
      </c>
      <c r="T32" s="5" t="s">
        <v>807</v>
      </c>
      <c r="U32" s="5" t="s">
        <v>892</v>
      </c>
      <c r="V32" s="5" t="s">
        <v>893</v>
      </c>
      <c r="W32" s="8">
        <v>2.0</v>
      </c>
      <c r="X32" s="8">
        <v>2.0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25"/>
  </cols>
  <sheetData>
    <row r="1">
      <c r="A1" s="5" t="s">
        <v>44</v>
      </c>
      <c r="B1" s="5" t="s">
        <v>45</v>
      </c>
      <c r="C1" s="5" t="s">
        <v>46</v>
      </c>
      <c r="D1" s="5" t="s">
        <v>47</v>
      </c>
      <c r="E1" s="5" t="s">
        <v>48</v>
      </c>
      <c r="F1" s="5" t="s">
        <v>49</v>
      </c>
      <c r="G1" s="5" t="s">
        <v>50</v>
      </c>
      <c r="H1" s="5" t="s">
        <v>51</v>
      </c>
      <c r="I1" s="5" t="s">
        <v>52</v>
      </c>
      <c r="J1" s="5" t="s">
        <v>57</v>
      </c>
      <c r="K1" s="5" t="s">
        <v>58</v>
      </c>
      <c r="L1" s="5" t="s">
        <v>59</v>
      </c>
      <c r="M1" s="5" t="s">
        <v>60</v>
      </c>
      <c r="N1" s="5" t="s">
        <v>774</v>
      </c>
      <c r="O1" s="5" t="s">
        <v>61</v>
      </c>
      <c r="P1" s="5" t="s">
        <v>775</v>
      </c>
      <c r="Q1" s="5" t="s">
        <v>776</v>
      </c>
      <c r="R1" s="5" t="s">
        <v>777</v>
      </c>
      <c r="S1" s="5" t="s">
        <v>778</v>
      </c>
      <c r="T1" s="5" t="s">
        <v>779</v>
      </c>
      <c r="U1" s="5" t="s">
        <v>780</v>
      </c>
      <c r="V1" s="5" t="s">
        <v>781</v>
      </c>
      <c r="W1" s="5" t="s">
        <v>782</v>
      </c>
      <c r="X1" s="5" t="s">
        <v>783</v>
      </c>
    </row>
    <row r="2">
      <c r="A2" s="7">
        <v>45867.200694444444</v>
      </c>
      <c r="B2" s="7">
        <v>45867.20277777778</v>
      </c>
      <c r="C2" s="5" t="s">
        <v>99</v>
      </c>
      <c r="D2" s="5" t="s">
        <v>192</v>
      </c>
      <c r="E2" s="8">
        <v>100.0</v>
      </c>
      <c r="F2" s="8">
        <v>157.0</v>
      </c>
      <c r="G2" s="9" t="b">
        <v>1</v>
      </c>
      <c r="H2" s="7">
        <v>45867.20277777778</v>
      </c>
      <c r="I2" s="5" t="s">
        <v>803</v>
      </c>
      <c r="J2" s="8">
        <v>60.1816</v>
      </c>
      <c r="K2" s="8">
        <v>24.8368</v>
      </c>
      <c r="L2" s="5" t="s">
        <v>194</v>
      </c>
      <c r="M2" s="5" t="s">
        <v>195</v>
      </c>
      <c r="N2" s="5" t="s">
        <v>804</v>
      </c>
      <c r="O2" s="5" t="s">
        <v>318</v>
      </c>
      <c r="P2" s="8">
        <v>29.0</v>
      </c>
      <c r="Q2" s="5" t="s">
        <v>805</v>
      </c>
      <c r="R2" s="10"/>
      <c r="S2" s="5" t="s">
        <v>806</v>
      </c>
      <c r="T2" s="5" t="s">
        <v>807</v>
      </c>
      <c r="U2" s="5" t="s">
        <v>808</v>
      </c>
      <c r="V2" s="5" t="s">
        <v>809</v>
      </c>
      <c r="W2" s="8">
        <v>1.0</v>
      </c>
      <c r="X2" s="8">
        <v>2.0</v>
      </c>
    </row>
    <row r="3">
      <c r="A3" s="7">
        <v>45867.05416666667</v>
      </c>
      <c r="B3" s="7">
        <v>45867.08541666667</v>
      </c>
      <c r="C3" s="5" t="s">
        <v>99</v>
      </c>
      <c r="D3" s="5" t="s">
        <v>256</v>
      </c>
      <c r="E3" s="8">
        <v>100.0</v>
      </c>
      <c r="F3" s="8">
        <v>2670.0</v>
      </c>
      <c r="G3" s="9" t="b">
        <v>1</v>
      </c>
      <c r="H3" s="7">
        <v>45867.08541666667</v>
      </c>
      <c r="I3" s="5" t="s">
        <v>810</v>
      </c>
      <c r="J3" s="8">
        <v>60.1816</v>
      </c>
      <c r="K3" s="8">
        <v>24.8368</v>
      </c>
      <c r="L3" s="5" t="s">
        <v>194</v>
      </c>
      <c r="M3" s="5" t="s">
        <v>195</v>
      </c>
      <c r="N3" s="5" t="s">
        <v>804</v>
      </c>
      <c r="O3" s="5" t="s">
        <v>289</v>
      </c>
      <c r="P3" s="8">
        <v>23.0</v>
      </c>
      <c r="Q3" s="5" t="s">
        <v>805</v>
      </c>
      <c r="R3" s="10"/>
      <c r="S3" s="5" t="s">
        <v>811</v>
      </c>
      <c r="T3" s="5" t="s">
        <v>807</v>
      </c>
      <c r="U3" s="5" t="s">
        <v>812</v>
      </c>
      <c r="V3" s="5" t="s">
        <v>813</v>
      </c>
      <c r="W3" s="8">
        <v>1.0</v>
      </c>
      <c r="X3" s="8">
        <v>7.0</v>
      </c>
    </row>
    <row r="4">
      <c r="A4" s="7">
        <v>45867.080555555556</v>
      </c>
      <c r="B4" s="7">
        <v>45867.08125</v>
      </c>
      <c r="C4" s="5" t="s">
        <v>99</v>
      </c>
      <c r="D4" s="5" t="s">
        <v>192</v>
      </c>
      <c r="E4" s="8">
        <v>100.0</v>
      </c>
      <c r="F4" s="8">
        <v>89.0</v>
      </c>
      <c r="G4" s="9" t="b">
        <v>1</v>
      </c>
      <c r="H4" s="7">
        <v>45867.08125</v>
      </c>
      <c r="I4" s="5" t="s">
        <v>814</v>
      </c>
      <c r="J4" s="8">
        <v>60.1816</v>
      </c>
      <c r="K4" s="8">
        <v>24.8368</v>
      </c>
      <c r="L4" s="5" t="s">
        <v>194</v>
      </c>
      <c r="M4" s="5" t="s">
        <v>195</v>
      </c>
      <c r="N4" s="10"/>
      <c r="O4" s="5" t="s">
        <v>284</v>
      </c>
      <c r="P4" s="8">
        <v>24.0</v>
      </c>
      <c r="Q4" s="5" t="s">
        <v>805</v>
      </c>
      <c r="R4" s="10"/>
      <c r="S4" s="5" t="s">
        <v>815</v>
      </c>
      <c r="T4" s="5" t="s">
        <v>816</v>
      </c>
      <c r="U4" s="5" t="s">
        <v>817</v>
      </c>
      <c r="V4" s="5" t="s">
        <v>813</v>
      </c>
      <c r="W4" s="8">
        <v>5.0</v>
      </c>
      <c r="X4" s="8">
        <v>5.0</v>
      </c>
    </row>
    <row r="5">
      <c r="A5" s="7">
        <v>45866.30069444444</v>
      </c>
      <c r="B5" s="7">
        <v>45867.010416666664</v>
      </c>
      <c r="C5" s="5" t="s">
        <v>99</v>
      </c>
      <c r="D5" s="5" t="s">
        <v>256</v>
      </c>
      <c r="E5" s="8">
        <v>100.0</v>
      </c>
      <c r="F5" s="8">
        <v>61319.0</v>
      </c>
      <c r="G5" s="9" t="b">
        <v>1</v>
      </c>
      <c r="H5" s="7">
        <v>45867.010416666664</v>
      </c>
      <c r="I5" s="5" t="s">
        <v>818</v>
      </c>
      <c r="J5" s="8">
        <v>60.2498</v>
      </c>
      <c r="K5" s="8">
        <v>24.9939</v>
      </c>
      <c r="L5" s="5" t="s">
        <v>194</v>
      </c>
      <c r="M5" s="5" t="s">
        <v>195</v>
      </c>
      <c r="N5" s="5" t="s">
        <v>804</v>
      </c>
      <c r="O5" s="5" t="s">
        <v>258</v>
      </c>
      <c r="P5" s="8">
        <v>40.0</v>
      </c>
      <c r="Q5" s="5" t="s">
        <v>819</v>
      </c>
      <c r="R5" s="10"/>
      <c r="S5" s="5" t="s">
        <v>820</v>
      </c>
      <c r="T5" s="5" t="s">
        <v>816</v>
      </c>
      <c r="U5" s="5" t="s">
        <v>821</v>
      </c>
      <c r="V5" s="5" t="s">
        <v>822</v>
      </c>
      <c r="W5" s="8">
        <v>5.0</v>
      </c>
      <c r="X5" s="8">
        <v>5.0</v>
      </c>
    </row>
    <row r="6">
      <c r="A6" s="7">
        <v>45869.01458333333</v>
      </c>
      <c r="B6" s="7">
        <v>45869.01527777778</v>
      </c>
      <c r="C6" s="5" t="s">
        <v>99</v>
      </c>
      <c r="D6" s="5" t="s">
        <v>192</v>
      </c>
      <c r="E6" s="8">
        <v>100.0</v>
      </c>
      <c r="F6" s="8">
        <v>85.0</v>
      </c>
      <c r="G6" s="9" t="b">
        <v>1</v>
      </c>
      <c r="H6" s="7">
        <v>45869.01527777778</v>
      </c>
      <c r="I6" s="5" t="s">
        <v>823</v>
      </c>
      <c r="J6" s="8">
        <v>60.1816</v>
      </c>
      <c r="K6" s="8">
        <v>24.8368</v>
      </c>
      <c r="L6" s="5" t="s">
        <v>194</v>
      </c>
      <c r="M6" s="5" t="s">
        <v>195</v>
      </c>
      <c r="N6" s="5" t="s">
        <v>804</v>
      </c>
      <c r="O6" s="5" t="s">
        <v>536</v>
      </c>
      <c r="P6" s="8">
        <v>27.0</v>
      </c>
      <c r="Q6" s="5" t="s">
        <v>805</v>
      </c>
      <c r="R6" s="10"/>
      <c r="S6" s="5" t="s">
        <v>824</v>
      </c>
      <c r="T6" s="5" t="s">
        <v>807</v>
      </c>
      <c r="U6" s="5" t="s">
        <v>825</v>
      </c>
      <c r="V6" s="5" t="s">
        <v>826</v>
      </c>
      <c r="W6" s="8">
        <v>1.0</v>
      </c>
      <c r="X6" s="8">
        <v>1.0</v>
      </c>
    </row>
    <row r="7">
      <c r="A7" s="7">
        <v>45866.291666666664</v>
      </c>
      <c r="B7" s="7">
        <v>45866.29305555556</v>
      </c>
      <c r="C7" s="5" t="s">
        <v>99</v>
      </c>
      <c r="D7" s="5" t="s">
        <v>192</v>
      </c>
      <c r="E7" s="8">
        <v>100.0</v>
      </c>
      <c r="F7" s="8">
        <v>105.0</v>
      </c>
      <c r="G7" s="9" t="b">
        <v>1</v>
      </c>
      <c r="H7" s="7">
        <v>45866.29305555556</v>
      </c>
      <c r="I7" s="5" t="s">
        <v>827</v>
      </c>
      <c r="J7" s="8">
        <v>60.1816</v>
      </c>
      <c r="K7" s="8">
        <v>24.8368</v>
      </c>
      <c r="L7" s="5" t="s">
        <v>194</v>
      </c>
      <c r="M7" s="5" t="s">
        <v>195</v>
      </c>
      <c r="N7" s="5" t="s">
        <v>804</v>
      </c>
      <c r="O7" s="5" t="s">
        <v>239</v>
      </c>
      <c r="P7" s="8">
        <v>34.0</v>
      </c>
      <c r="Q7" s="5" t="s">
        <v>819</v>
      </c>
      <c r="R7" s="10"/>
      <c r="S7" s="5" t="s">
        <v>828</v>
      </c>
      <c r="T7" s="5" t="s">
        <v>807</v>
      </c>
      <c r="U7" s="5" t="s">
        <v>821</v>
      </c>
      <c r="V7" s="5" t="s">
        <v>822</v>
      </c>
      <c r="W7" s="8">
        <v>4.0</v>
      </c>
      <c r="X7" s="8">
        <v>4.0</v>
      </c>
    </row>
    <row r="8">
      <c r="A8" s="7">
        <v>45869.26111111111</v>
      </c>
      <c r="B8" s="7">
        <v>45869.2625</v>
      </c>
      <c r="C8" s="5" t="s">
        <v>99</v>
      </c>
      <c r="D8" s="5" t="s">
        <v>192</v>
      </c>
      <c r="E8" s="8">
        <v>100.0</v>
      </c>
      <c r="F8" s="8">
        <v>81.0</v>
      </c>
      <c r="G8" s="9" t="b">
        <v>1</v>
      </c>
      <c r="H8" s="7">
        <v>45869.2625</v>
      </c>
      <c r="I8" s="5" t="s">
        <v>829</v>
      </c>
      <c r="J8" s="8">
        <v>60.1816</v>
      </c>
      <c r="K8" s="8">
        <v>24.8368</v>
      </c>
      <c r="L8" s="5" t="s">
        <v>194</v>
      </c>
      <c r="M8" s="5" t="s">
        <v>195</v>
      </c>
      <c r="N8" s="10"/>
      <c r="O8" s="5" t="s">
        <v>679</v>
      </c>
      <c r="P8" s="8">
        <v>25.0</v>
      </c>
      <c r="Q8" s="5" t="s">
        <v>819</v>
      </c>
      <c r="R8" s="10"/>
      <c r="S8" s="5" t="s">
        <v>830</v>
      </c>
      <c r="T8" s="5" t="s">
        <v>807</v>
      </c>
      <c r="U8" s="5" t="s">
        <v>831</v>
      </c>
      <c r="V8" s="5" t="s">
        <v>813</v>
      </c>
      <c r="W8" s="8">
        <v>5.0</v>
      </c>
      <c r="X8" s="8">
        <v>6.0</v>
      </c>
    </row>
    <row r="9">
      <c r="A9" s="7">
        <v>45869.240277777775</v>
      </c>
      <c r="B9" s="7">
        <v>45869.24166666667</v>
      </c>
      <c r="C9" s="5" t="s">
        <v>99</v>
      </c>
      <c r="D9" s="5" t="s">
        <v>347</v>
      </c>
      <c r="E9" s="8">
        <v>100.0</v>
      </c>
      <c r="F9" s="8">
        <v>125.0</v>
      </c>
      <c r="G9" s="9" t="b">
        <v>1</v>
      </c>
      <c r="H9" s="7">
        <v>45869.24166666667</v>
      </c>
      <c r="I9" s="5" t="s">
        <v>832</v>
      </c>
      <c r="J9" s="8">
        <v>60.2141</v>
      </c>
      <c r="K9" s="8">
        <v>24.896</v>
      </c>
      <c r="L9" s="5" t="s">
        <v>194</v>
      </c>
      <c r="M9" s="5" t="s">
        <v>195</v>
      </c>
      <c r="N9" s="10"/>
      <c r="O9" s="5" t="s">
        <v>669</v>
      </c>
      <c r="P9" s="8">
        <v>31.0</v>
      </c>
      <c r="Q9" s="5" t="s">
        <v>805</v>
      </c>
      <c r="R9" s="10"/>
      <c r="S9" s="5" t="s">
        <v>833</v>
      </c>
      <c r="T9" s="5" t="s">
        <v>807</v>
      </c>
      <c r="U9" s="5" t="s">
        <v>817</v>
      </c>
      <c r="V9" s="5" t="s">
        <v>834</v>
      </c>
      <c r="W9" s="8">
        <v>1.0</v>
      </c>
      <c r="X9" s="8">
        <v>1.0</v>
      </c>
    </row>
    <row r="10">
      <c r="A10" s="7">
        <v>45866.28958333333</v>
      </c>
      <c r="B10" s="7">
        <v>45866.29305555556</v>
      </c>
      <c r="C10" s="5" t="s">
        <v>99</v>
      </c>
      <c r="D10" s="5" t="s">
        <v>237</v>
      </c>
      <c r="E10" s="8">
        <v>100.0</v>
      </c>
      <c r="F10" s="8">
        <v>258.0</v>
      </c>
      <c r="G10" s="9" t="b">
        <v>1</v>
      </c>
      <c r="H10" s="7">
        <v>45866.29305555556</v>
      </c>
      <c r="I10" s="5" t="s">
        <v>835</v>
      </c>
      <c r="J10" s="8">
        <v>60.2498</v>
      </c>
      <c r="K10" s="8">
        <v>24.9939</v>
      </c>
      <c r="L10" s="5" t="s">
        <v>194</v>
      </c>
      <c r="M10" s="5" t="s">
        <v>195</v>
      </c>
      <c r="N10" s="5" t="s">
        <v>804</v>
      </c>
      <c r="O10" s="5" t="s">
        <v>244</v>
      </c>
      <c r="P10" s="8">
        <v>25.0</v>
      </c>
      <c r="Q10" s="5" t="s">
        <v>819</v>
      </c>
      <c r="R10" s="10"/>
      <c r="S10" s="5" t="s">
        <v>824</v>
      </c>
      <c r="T10" s="5" t="s">
        <v>816</v>
      </c>
      <c r="U10" s="5" t="s">
        <v>836</v>
      </c>
      <c r="V10" s="5" t="s">
        <v>813</v>
      </c>
      <c r="W10" s="8">
        <v>6.0</v>
      </c>
      <c r="X10" s="8">
        <v>2.0</v>
      </c>
    </row>
    <row r="11">
      <c r="A11" s="7">
        <v>45869.23333333333</v>
      </c>
      <c r="B11" s="7">
        <v>45869.23472222222</v>
      </c>
      <c r="C11" s="5" t="s">
        <v>99</v>
      </c>
      <c r="D11" s="5" t="s">
        <v>347</v>
      </c>
      <c r="E11" s="8">
        <v>100.0</v>
      </c>
      <c r="F11" s="8">
        <v>102.0</v>
      </c>
      <c r="G11" s="9" t="b">
        <v>1</v>
      </c>
      <c r="H11" s="7">
        <v>45869.23472222222</v>
      </c>
      <c r="I11" s="5" t="s">
        <v>837</v>
      </c>
      <c r="J11" s="8">
        <v>60.2141</v>
      </c>
      <c r="K11" s="8">
        <v>24.896</v>
      </c>
      <c r="L11" s="5" t="s">
        <v>194</v>
      </c>
      <c r="M11" s="5" t="s">
        <v>195</v>
      </c>
      <c r="N11" s="5" t="s">
        <v>804</v>
      </c>
      <c r="O11" s="5" t="s">
        <v>674</v>
      </c>
      <c r="P11" s="8">
        <v>25.0</v>
      </c>
      <c r="Q11" s="5" t="s">
        <v>805</v>
      </c>
      <c r="R11" s="10"/>
      <c r="S11" s="5" t="s">
        <v>824</v>
      </c>
      <c r="T11" s="5" t="s">
        <v>807</v>
      </c>
      <c r="U11" s="5" t="s">
        <v>817</v>
      </c>
      <c r="V11" s="5" t="s">
        <v>838</v>
      </c>
      <c r="W11" s="8">
        <v>6.0</v>
      </c>
      <c r="X11" s="8">
        <v>4.0</v>
      </c>
    </row>
    <row r="12">
      <c r="A12" s="7">
        <v>45869.208333333336</v>
      </c>
      <c r="B12" s="7">
        <v>45869.209027777775</v>
      </c>
      <c r="C12" s="5" t="s">
        <v>99</v>
      </c>
      <c r="D12" s="5" t="s">
        <v>347</v>
      </c>
      <c r="E12" s="8">
        <v>100.0</v>
      </c>
      <c r="F12" s="8">
        <v>65.0</v>
      </c>
      <c r="G12" s="9" t="b">
        <v>1</v>
      </c>
      <c r="H12" s="7">
        <v>45869.209027777775</v>
      </c>
      <c r="I12" s="5" t="s">
        <v>839</v>
      </c>
      <c r="J12" s="8">
        <v>60.2141</v>
      </c>
      <c r="K12" s="8">
        <v>24.896</v>
      </c>
      <c r="L12" s="5" t="s">
        <v>194</v>
      </c>
      <c r="M12" s="5" t="s">
        <v>195</v>
      </c>
      <c r="N12" s="5" t="s">
        <v>804</v>
      </c>
      <c r="O12" s="5" t="s">
        <v>655</v>
      </c>
      <c r="P12" s="8">
        <v>34.0</v>
      </c>
      <c r="Q12" s="5" t="s">
        <v>819</v>
      </c>
      <c r="R12" s="10"/>
      <c r="S12" s="5" t="s">
        <v>840</v>
      </c>
      <c r="T12" s="5" t="s">
        <v>807</v>
      </c>
      <c r="U12" s="5" t="s">
        <v>841</v>
      </c>
      <c r="V12" s="5" t="s">
        <v>842</v>
      </c>
      <c r="W12" s="8">
        <v>7.0</v>
      </c>
      <c r="X12" s="8">
        <v>5.0</v>
      </c>
    </row>
    <row r="13">
      <c r="A13" s="7">
        <v>45869.17083333333</v>
      </c>
      <c r="B13" s="7">
        <v>45869.17291666667</v>
      </c>
      <c r="C13" s="5" t="s">
        <v>99</v>
      </c>
      <c r="D13" s="5" t="s">
        <v>529</v>
      </c>
      <c r="E13" s="8">
        <v>100.0</v>
      </c>
      <c r="F13" s="8">
        <v>143.0</v>
      </c>
      <c r="G13" s="9" t="b">
        <v>1</v>
      </c>
      <c r="H13" s="7">
        <v>45869.17291666667</v>
      </c>
      <c r="I13" s="5" t="s">
        <v>843</v>
      </c>
      <c r="J13" s="8">
        <v>60.1816</v>
      </c>
      <c r="K13" s="8">
        <v>24.8368</v>
      </c>
      <c r="L13" s="5" t="s">
        <v>194</v>
      </c>
      <c r="M13" s="5" t="s">
        <v>195</v>
      </c>
      <c r="N13" s="5" t="s">
        <v>804</v>
      </c>
      <c r="O13" s="5" t="s">
        <v>607</v>
      </c>
      <c r="P13" s="8">
        <v>25.0</v>
      </c>
      <c r="Q13" s="5" t="s">
        <v>805</v>
      </c>
      <c r="R13" s="10"/>
      <c r="S13" s="5" t="s">
        <v>844</v>
      </c>
      <c r="T13" s="5" t="s">
        <v>807</v>
      </c>
      <c r="U13" s="5" t="s">
        <v>845</v>
      </c>
      <c r="V13" s="5" t="s">
        <v>838</v>
      </c>
      <c r="W13" s="8">
        <v>1.0</v>
      </c>
      <c r="X13" s="8">
        <v>2.0</v>
      </c>
    </row>
    <row r="14">
      <c r="A14" s="7">
        <v>45869.18402777778</v>
      </c>
      <c r="B14" s="7">
        <v>45869.18541666667</v>
      </c>
      <c r="C14" s="5" t="s">
        <v>99</v>
      </c>
      <c r="D14" s="5" t="s">
        <v>383</v>
      </c>
      <c r="E14" s="8">
        <v>100.0</v>
      </c>
      <c r="F14" s="8">
        <v>106.0</v>
      </c>
      <c r="G14" s="9" t="b">
        <v>1</v>
      </c>
      <c r="H14" s="7">
        <v>45869.18541666667</v>
      </c>
      <c r="I14" s="5" t="s">
        <v>846</v>
      </c>
      <c r="J14" s="8">
        <v>60.1816</v>
      </c>
      <c r="K14" s="8">
        <v>24.8368</v>
      </c>
      <c r="L14" s="5" t="s">
        <v>194</v>
      </c>
      <c r="M14" s="5" t="s">
        <v>195</v>
      </c>
      <c r="N14" s="5" t="s">
        <v>804</v>
      </c>
      <c r="O14" s="5" t="s">
        <v>602</v>
      </c>
      <c r="P14" s="8">
        <v>26.0</v>
      </c>
      <c r="Q14" s="5" t="s">
        <v>805</v>
      </c>
      <c r="R14" s="10"/>
      <c r="S14" s="5" t="s">
        <v>824</v>
      </c>
      <c r="T14" s="5" t="s">
        <v>807</v>
      </c>
      <c r="U14" s="5" t="s">
        <v>847</v>
      </c>
      <c r="V14" s="5" t="s">
        <v>826</v>
      </c>
      <c r="W14" s="8">
        <v>1.0</v>
      </c>
      <c r="X14" s="8">
        <v>1.0</v>
      </c>
    </row>
    <row r="15">
      <c r="A15" s="7">
        <v>45869.14791666667</v>
      </c>
      <c r="B15" s="7">
        <v>45869.15138888889</v>
      </c>
      <c r="C15" s="5" t="s">
        <v>99</v>
      </c>
      <c r="D15" s="5" t="s">
        <v>192</v>
      </c>
      <c r="E15" s="8">
        <v>100.0</v>
      </c>
      <c r="F15" s="8">
        <v>299.0</v>
      </c>
      <c r="G15" s="9" t="b">
        <v>1</v>
      </c>
      <c r="H15" s="7">
        <v>45869.15138888889</v>
      </c>
      <c r="I15" s="5" t="s">
        <v>848</v>
      </c>
      <c r="J15" s="8">
        <v>60.1816</v>
      </c>
      <c r="K15" s="8">
        <v>24.8368</v>
      </c>
      <c r="L15" s="5" t="s">
        <v>194</v>
      </c>
      <c r="M15" s="5" t="s">
        <v>195</v>
      </c>
      <c r="N15" s="5" t="s">
        <v>804</v>
      </c>
      <c r="O15" s="5" t="s">
        <v>595</v>
      </c>
      <c r="P15" s="8">
        <v>38.0</v>
      </c>
      <c r="Q15" s="5" t="s">
        <v>819</v>
      </c>
      <c r="R15" s="10"/>
      <c r="S15" s="5" t="s">
        <v>849</v>
      </c>
      <c r="T15" s="5" t="s">
        <v>807</v>
      </c>
      <c r="U15" s="5" t="s">
        <v>850</v>
      </c>
      <c r="V15" s="5" t="s">
        <v>822</v>
      </c>
      <c r="W15" s="8">
        <v>4.0</v>
      </c>
      <c r="X15" s="8">
        <v>2.0</v>
      </c>
    </row>
    <row r="16">
      <c r="A16" s="7">
        <v>45869.08263888889</v>
      </c>
      <c r="B16" s="7">
        <v>45869.083333333336</v>
      </c>
      <c r="C16" s="5" t="s">
        <v>99</v>
      </c>
      <c r="D16" s="5" t="s">
        <v>347</v>
      </c>
      <c r="E16" s="8">
        <v>100.0</v>
      </c>
      <c r="F16" s="8">
        <v>114.0</v>
      </c>
      <c r="G16" s="9" t="b">
        <v>1</v>
      </c>
      <c r="H16" s="7">
        <v>45869.083333333336</v>
      </c>
      <c r="I16" s="5" t="s">
        <v>851</v>
      </c>
      <c r="J16" s="8">
        <v>60.2141</v>
      </c>
      <c r="K16" s="8">
        <v>24.896</v>
      </c>
      <c r="L16" s="5" t="s">
        <v>194</v>
      </c>
      <c r="M16" s="5" t="s">
        <v>195</v>
      </c>
      <c r="N16" s="5" t="s">
        <v>804</v>
      </c>
      <c r="O16" s="5" t="s">
        <v>582</v>
      </c>
      <c r="P16" s="8">
        <v>23.0</v>
      </c>
      <c r="Q16" s="5" t="s">
        <v>805</v>
      </c>
      <c r="R16" s="10"/>
      <c r="S16" s="5" t="s">
        <v>824</v>
      </c>
      <c r="T16" s="5" t="s">
        <v>807</v>
      </c>
      <c r="U16" s="5" t="s">
        <v>825</v>
      </c>
      <c r="V16" s="5" t="s">
        <v>813</v>
      </c>
      <c r="W16" s="8">
        <v>1.0</v>
      </c>
      <c r="X16" s="8">
        <v>1.0</v>
      </c>
    </row>
    <row r="17">
      <c r="A17" s="7">
        <v>45869.07638888889</v>
      </c>
      <c r="B17" s="7">
        <v>45869.07847222222</v>
      </c>
      <c r="C17" s="5" t="s">
        <v>99</v>
      </c>
      <c r="D17" s="5" t="s">
        <v>383</v>
      </c>
      <c r="E17" s="8">
        <v>100.0</v>
      </c>
      <c r="F17" s="8">
        <v>203.0</v>
      </c>
      <c r="G17" s="9" t="b">
        <v>1</v>
      </c>
      <c r="H17" s="7">
        <v>45869.07847222222</v>
      </c>
      <c r="I17" s="5" t="s">
        <v>852</v>
      </c>
      <c r="J17" s="8">
        <v>60.1816</v>
      </c>
      <c r="K17" s="8">
        <v>24.8368</v>
      </c>
      <c r="L17" s="5" t="s">
        <v>194</v>
      </c>
      <c r="M17" s="5" t="s">
        <v>195</v>
      </c>
      <c r="N17" s="10"/>
      <c r="O17" s="5" t="s">
        <v>573</v>
      </c>
      <c r="P17" s="8">
        <v>22.0</v>
      </c>
      <c r="Q17" s="5" t="s">
        <v>805</v>
      </c>
      <c r="R17" s="10"/>
      <c r="S17" s="5" t="s">
        <v>824</v>
      </c>
      <c r="T17" s="5" t="s">
        <v>807</v>
      </c>
      <c r="U17" s="5" t="s">
        <v>812</v>
      </c>
      <c r="V17" s="5" t="s">
        <v>838</v>
      </c>
      <c r="W17" s="8">
        <v>1.0</v>
      </c>
      <c r="X17" s="8">
        <v>1.0</v>
      </c>
    </row>
    <row r="18">
      <c r="A18" s="7">
        <v>45869.00763888889</v>
      </c>
      <c r="B18" s="7">
        <v>45869.00902777778</v>
      </c>
      <c r="C18" s="5" t="s">
        <v>99</v>
      </c>
      <c r="D18" s="5" t="s">
        <v>529</v>
      </c>
      <c r="E18" s="8">
        <v>100.0</v>
      </c>
      <c r="F18" s="8">
        <v>90.0</v>
      </c>
      <c r="G18" s="9" t="b">
        <v>1</v>
      </c>
      <c r="H18" s="7">
        <v>45869.00902777778</v>
      </c>
      <c r="I18" s="5" t="s">
        <v>853</v>
      </c>
      <c r="J18" s="8">
        <v>60.1816</v>
      </c>
      <c r="K18" s="8">
        <v>24.8368</v>
      </c>
      <c r="L18" s="5" t="s">
        <v>194</v>
      </c>
      <c r="M18" s="5" t="s">
        <v>195</v>
      </c>
      <c r="N18" s="10"/>
      <c r="O18" s="5" t="s">
        <v>531</v>
      </c>
      <c r="P18" s="8">
        <v>26.0</v>
      </c>
      <c r="Q18" s="5" t="s">
        <v>805</v>
      </c>
      <c r="R18" s="10"/>
      <c r="S18" s="5" t="s">
        <v>824</v>
      </c>
      <c r="T18" s="5" t="s">
        <v>807</v>
      </c>
      <c r="U18" s="5" t="s">
        <v>812</v>
      </c>
      <c r="V18" s="5" t="s">
        <v>854</v>
      </c>
      <c r="W18" s="8">
        <v>1.0</v>
      </c>
      <c r="X18" s="8">
        <v>3.0</v>
      </c>
    </row>
    <row r="19">
      <c r="A19" s="7">
        <v>45868.27013888889</v>
      </c>
      <c r="B19" s="7">
        <v>45868.274305555555</v>
      </c>
      <c r="C19" s="5" t="s">
        <v>99</v>
      </c>
      <c r="D19" s="5" t="s">
        <v>192</v>
      </c>
      <c r="E19" s="8">
        <v>100.0</v>
      </c>
      <c r="F19" s="8">
        <v>340.0</v>
      </c>
      <c r="G19" s="9" t="b">
        <v>1</v>
      </c>
      <c r="H19" s="7">
        <v>45868.274305555555</v>
      </c>
      <c r="I19" s="5" t="s">
        <v>855</v>
      </c>
      <c r="J19" s="8">
        <v>60.1816</v>
      </c>
      <c r="K19" s="8">
        <v>24.8368</v>
      </c>
      <c r="L19" s="5" t="s">
        <v>194</v>
      </c>
      <c r="M19" s="5" t="s">
        <v>195</v>
      </c>
      <c r="N19" s="5" t="s">
        <v>804</v>
      </c>
      <c r="O19" s="5" t="s">
        <v>496</v>
      </c>
      <c r="P19" s="8">
        <v>27.0</v>
      </c>
      <c r="Q19" s="5" t="s">
        <v>805</v>
      </c>
      <c r="R19" s="10"/>
      <c r="S19" s="5" t="s">
        <v>824</v>
      </c>
      <c r="T19" s="5" t="s">
        <v>807</v>
      </c>
      <c r="U19" s="5" t="s">
        <v>856</v>
      </c>
      <c r="V19" s="5" t="s">
        <v>822</v>
      </c>
      <c r="W19" s="8">
        <v>1.0</v>
      </c>
      <c r="X19" s="8">
        <v>2.0</v>
      </c>
    </row>
    <row r="20">
      <c r="A20" s="7">
        <v>45866.243055555555</v>
      </c>
      <c r="B20" s="7">
        <v>45866.24444444444</v>
      </c>
      <c r="C20" s="5" t="s">
        <v>99</v>
      </c>
      <c r="D20" s="5" t="s">
        <v>192</v>
      </c>
      <c r="E20" s="8">
        <v>100.0</v>
      </c>
      <c r="F20" s="8">
        <v>168.0</v>
      </c>
      <c r="G20" s="9" t="b">
        <v>1</v>
      </c>
      <c r="H20" s="7">
        <v>45866.24444444444</v>
      </c>
      <c r="I20" s="5" t="s">
        <v>857</v>
      </c>
      <c r="J20" s="8">
        <v>60.1816</v>
      </c>
      <c r="K20" s="8">
        <v>24.8368</v>
      </c>
      <c r="L20" s="5" t="s">
        <v>194</v>
      </c>
      <c r="M20" s="5" t="s">
        <v>195</v>
      </c>
      <c r="N20" s="5" t="s">
        <v>804</v>
      </c>
      <c r="O20" s="5" t="s">
        <v>221</v>
      </c>
      <c r="P20" s="8">
        <v>26.0</v>
      </c>
      <c r="Q20" s="5" t="s">
        <v>819</v>
      </c>
      <c r="R20" s="10"/>
      <c r="S20" s="5" t="s">
        <v>858</v>
      </c>
      <c r="T20" s="5" t="s">
        <v>807</v>
      </c>
      <c r="U20" s="5" t="s">
        <v>821</v>
      </c>
      <c r="V20" s="5" t="s">
        <v>859</v>
      </c>
      <c r="W20" s="8">
        <v>1.0</v>
      </c>
      <c r="X20" s="8">
        <v>2.0</v>
      </c>
    </row>
    <row r="21">
      <c r="A21" s="7">
        <v>45868.211805555555</v>
      </c>
      <c r="B21" s="7">
        <v>45868.22152777778</v>
      </c>
      <c r="C21" s="5" t="s">
        <v>99</v>
      </c>
      <c r="D21" s="5" t="s">
        <v>192</v>
      </c>
      <c r="E21" s="8">
        <v>100.0</v>
      </c>
      <c r="F21" s="8">
        <v>858.0</v>
      </c>
      <c r="G21" s="9" t="b">
        <v>1</v>
      </c>
      <c r="H21" s="7">
        <v>45868.22152777778</v>
      </c>
      <c r="I21" s="5" t="s">
        <v>860</v>
      </c>
      <c r="J21" s="8">
        <v>60.1816</v>
      </c>
      <c r="K21" s="8">
        <v>24.8368</v>
      </c>
      <c r="L21" s="5" t="s">
        <v>194</v>
      </c>
      <c r="M21" s="5" t="s">
        <v>195</v>
      </c>
      <c r="N21" s="5" t="s">
        <v>804</v>
      </c>
      <c r="O21" s="5" t="s">
        <v>470</v>
      </c>
      <c r="P21" s="8">
        <v>29.0</v>
      </c>
      <c r="Q21" s="5" t="s">
        <v>819</v>
      </c>
      <c r="R21" s="10"/>
      <c r="S21" s="5" t="s">
        <v>861</v>
      </c>
      <c r="T21" s="5" t="s">
        <v>807</v>
      </c>
      <c r="U21" s="5" t="s">
        <v>862</v>
      </c>
      <c r="V21" s="5" t="s">
        <v>863</v>
      </c>
      <c r="W21" s="8">
        <v>2.0</v>
      </c>
      <c r="X21" s="8">
        <v>3.0</v>
      </c>
    </row>
    <row r="22">
      <c r="A22" s="7">
        <v>45868.16458333333</v>
      </c>
      <c r="B22" s="7">
        <v>45868.16736111111</v>
      </c>
      <c r="C22" s="5" t="s">
        <v>99</v>
      </c>
      <c r="D22" s="5" t="s">
        <v>192</v>
      </c>
      <c r="E22" s="8">
        <v>100.0</v>
      </c>
      <c r="F22" s="8">
        <v>233.0</v>
      </c>
      <c r="G22" s="9" t="b">
        <v>1</v>
      </c>
      <c r="H22" s="7">
        <v>45868.16736111111</v>
      </c>
      <c r="I22" s="5" t="s">
        <v>864</v>
      </c>
      <c r="J22" s="8">
        <v>60.1816</v>
      </c>
      <c r="K22" s="8">
        <v>24.8368</v>
      </c>
      <c r="L22" s="5" t="s">
        <v>194</v>
      </c>
      <c r="M22" s="5" t="s">
        <v>195</v>
      </c>
      <c r="N22" s="10"/>
      <c r="O22" s="5" t="s">
        <v>442</v>
      </c>
      <c r="P22" s="8">
        <v>29.0</v>
      </c>
      <c r="Q22" s="5" t="s">
        <v>819</v>
      </c>
      <c r="R22" s="10"/>
      <c r="S22" s="5" t="s">
        <v>830</v>
      </c>
      <c r="T22" s="5" t="s">
        <v>807</v>
      </c>
      <c r="U22" s="5" t="s">
        <v>865</v>
      </c>
      <c r="V22" s="5" t="s">
        <v>826</v>
      </c>
      <c r="W22" s="8">
        <v>1.0</v>
      </c>
      <c r="X22" s="8">
        <v>2.0</v>
      </c>
    </row>
    <row r="23">
      <c r="A23" s="7">
        <v>45868.14791666667</v>
      </c>
      <c r="B23" s="7">
        <v>45868.149305555555</v>
      </c>
      <c r="C23" s="5" t="s">
        <v>99</v>
      </c>
      <c r="D23" s="5" t="s">
        <v>192</v>
      </c>
      <c r="E23" s="8">
        <v>100.0</v>
      </c>
      <c r="F23" s="8">
        <v>92.0</v>
      </c>
      <c r="G23" s="9" t="b">
        <v>1</v>
      </c>
      <c r="H23" s="7">
        <v>45868.149305555555</v>
      </c>
      <c r="I23" s="5" t="s">
        <v>866</v>
      </c>
      <c r="J23" s="8">
        <v>60.1816</v>
      </c>
      <c r="K23" s="8">
        <v>24.8368</v>
      </c>
      <c r="L23" s="5" t="s">
        <v>194</v>
      </c>
      <c r="M23" s="5" t="s">
        <v>195</v>
      </c>
      <c r="N23" s="5" t="s">
        <v>804</v>
      </c>
      <c r="O23" s="5" t="s">
        <v>433</v>
      </c>
      <c r="P23" s="8">
        <v>27.0</v>
      </c>
      <c r="Q23" s="5" t="s">
        <v>805</v>
      </c>
      <c r="R23" s="10"/>
      <c r="S23" s="5" t="s">
        <v>849</v>
      </c>
      <c r="T23" s="5" t="s">
        <v>807</v>
      </c>
      <c r="U23" s="5" t="s">
        <v>867</v>
      </c>
      <c r="V23" s="5" t="s">
        <v>826</v>
      </c>
      <c r="W23" s="8">
        <v>3.0</v>
      </c>
      <c r="X23" s="8">
        <v>3.0</v>
      </c>
    </row>
    <row r="24">
      <c r="A24" s="7">
        <v>45868.07152777778</v>
      </c>
      <c r="B24" s="7">
        <v>45868.072222222225</v>
      </c>
      <c r="C24" s="5" t="s">
        <v>99</v>
      </c>
      <c r="D24" s="5" t="s">
        <v>383</v>
      </c>
      <c r="E24" s="8">
        <v>100.0</v>
      </c>
      <c r="F24" s="8">
        <v>97.0</v>
      </c>
      <c r="G24" s="9" t="b">
        <v>1</v>
      </c>
      <c r="H24" s="7">
        <v>45868.072222222225</v>
      </c>
      <c r="I24" s="5" t="s">
        <v>868</v>
      </c>
      <c r="J24" s="8">
        <v>60.1816</v>
      </c>
      <c r="K24" s="8">
        <v>24.8368</v>
      </c>
      <c r="L24" s="5" t="s">
        <v>194</v>
      </c>
      <c r="M24" s="5" t="s">
        <v>195</v>
      </c>
      <c r="N24" s="5" t="s">
        <v>804</v>
      </c>
      <c r="O24" s="5" t="s">
        <v>411</v>
      </c>
      <c r="P24" s="8">
        <v>30.0</v>
      </c>
      <c r="Q24" s="5" t="s">
        <v>805</v>
      </c>
      <c r="R24" s="10"/>
      <c r="S24" s="5" t="s">
        <v>824</v>
      </c>
      <c r="T24" s="5" t="s">
        <v>807</v>
      </c>
      <c r="U24" s="5" t="s">
        <v>825</v>
      </c>
      <c r="V24" s="5" t="s">
        <v>869</v>
      </c>
      <c r="W24" s="8">
        <v>2.0</v>
      </c>
      <c r="X24" s="8">
        <v>4.0</v>
      </c>
    </row>
    <row r="25">
      <c r="A25" s="7">
        <v>45868.07083333333</v>
      </c>
      <c r="B25" s="7">
        <v>45868.072916666664</v>
      </c>
      <c r="C25" s="5" t="s">
        <v>99</v>
      </c>
      <c r="D25" s="5" t="s">
        <v>347</v>
      </c>
      <c r="E25" s="8">
        <v>100.0</v>
      </c>
      <c r="F25" s="8">
        <v>149.0</v>
      </c>
      <c r="G25" s="9" t="b">
        <v>1</v>
      </c>
      <c r="H25" s="7">
        <v>45868.072916666664</v>
      </c>
      <c r="I25" s="5" t="s">
        <v>870</v>
      </c>
      <c r="J25" s="8">
        <v>60.2141</v>
      </c>
      <c r="K25" s="8">
        <v>24.896</v>
      </c>
      <c r="L25" s="5" t="s">
        <v>194</v>
      </c>
      <c r="M25" s="5" t="s">
        <v>195</v>
      </c>
      <c r="N25" s="10"/>
      <c r="O25" s="5" t="s">
        <v>428</v>
      </c>
      <c r="P25" s="8">
        <v>44.0</v>
      </c>
      <c r="Q25" s="5" t="s">
        <v>819</v>
      </c>
      <c r="R25" s="10"/>
      <c r="S25" s="5" t="s">
        <v>871</v>
      </c>
      <c r="T25" s="5" t="s">
        <v>807</v>
      </c>
      <c r="U25" s="6" t="s">
        <v>872</v>
      </c>
      <c r="V25" s="5" t="s">
        <v>873</v>
      </c>
      <c r="W25" s="8">
        <v>5.0</v>
      </c>
      <c r="X25" s="8">
        <v>2.0</v>
      </c>
    </row>
    <row r="26">
      <c r="A26" s="7">
        <v>45868.01597222222</v>
      </c>
      <c r="B26" s="7">
        <v>45868.01736111111</v>
      </c>
      <c r="C26" s="5" t="s">
        <v>99</v>
      </c>
      <c r="D26" s="5" t="s">
        <v>383</v>
      </c>
      <c r="E26" s="8">
        <v>100.0</v>
      </c>
      <c r="F26" s="8">
        <v>119.0</v>
      </c>
      <c r="G26" s="9" t="b">
        <v>1</v>
      </c>
      <c r="H26" s="7">
        <v>45868.01736111111</v>
      </c>
      <c r="I26" s="5" t="s">
        <v>874</v>
      </c>
      <c r="J26" s="8">
        <v>60.1816</v>
      </c>
      <c r="K26" s="8">
        <v>24.8368</v>
      </c>
      <c r="L26" s="5" t="s">
        <v>194</v>
      </c>
      <c r="M26" s="5" t="s">
        <v>195</v>
      </c>
      <c r="N26" s="5" t="s">
        <v>804</v>
      </c>
      <c r="O26" s="5" t="s">
        <v>385</v>
      </c>
      <c r="P26" s="8">
        <v>29.0</v>
      </c>
      <c r="Q26" s="5" t="s">
        <v>805</v>
      </c>
      <c r="R26" s="10"/>
      <c r="S26" s="5" t="s">
        <v>875</v>
      </c>
      <c r="T26" s="5" t="s">
        <v>807</v>
      </c>
      <c r="U26" s="5" t="s">
        <v>876</v>
      </c>
      <c r="V26" s="5" t="s">
        <v>813</v>
      </c>
      <c r="W26" s="8">
        <v>2.0</v>
      </c>
      <c r="X26" s="8">
        <v>4.0</v>
      </c>
    </row>
    <row r="27">
      <c r="A27" s="7">
        <v>45868.013194444444</v>
      </c>
      <c r="B27" s="7">
        <v>45868.01527777778</v>
      </c>
      <c r="C27" s="5" t="s">
        <v>99</v>
      </c>
      <c r="D27" s="5" t="s">
        <v>192</v>
      </c>
      <c r="E27" s="8">
        <v>100.0</v>
      </c>
      <c r="F27" s="8">
        <v>163.0</v>
      </c>
      <c r="G27" s="9" t="b">
        <v>1</v>
      </c>
      <c r="H27" s="7">
        <v>45868.01527777778</v>
      </c>
      <c r="I27" s="5" t="s">
        <v>877</v>
      </c>
      <c r="J27" s="8">
        <v>60.1816</v>
      </c>
      <c r="K27" s="8">
        <v>24.8368</v>
      </c>
      <c r="L27" s="5" t="s">
        <v>194</v>
      </c>
      <c r="M27" s="5" t="s">
        <v>195</v>
      </c>
      <c r="N27" s="5" t="s">
        <v>804</v>
      </c>
      <c r="O27" s="5" t="s">
        <v>379</v>
      </c>
      <c r="P27" s="8">
        <v>40.0</v>
      </c>
      <c r="Q27" s="5" t="s">
        <v>805</v>
      </c>
      <c r="R27" s="10"/>
      <c r="S27" s="5" t="s">
        <v>878</v>
      </c>
      <c r="T27" s="5" t="s">
        <v>816</v>
      </c>
      <c r="U27" s="5" t="s">
        <v>879</v>
      </c>
      <c r="V27" s="5" t="s">
        <v>859</v>
      </c>
      <c r="W27" s="8">
        <v>6.0</v>
      </c>
      <c r="X27" s="8">
        <v>6.0</v>
      </c>
    </row>
    <row r="28">
      <c r="A28" s="7">
        <v>45867.26666666667</v>
      </c>
      <c r="B28" s="7">
        <v>45867.26944444444</v>
      </c>
      <c r="C28" s="5" t="s">
        <v>99</v>
      </c>
      <c r="D28" s="5" t="s">
        <v>347</v>
      </c>
      <c r="E28" s="8">
        <v>100.0</v>
      </c>
      <c r="F28" s="8">
        <v>232.0</v>
      </c>
      <c r="G28" s="9" t="b">
        <v>1</v>
      </c>
      <c r="H28" s="7">
        <v>45867.26944444444</v>
      </c>
      <c r="I28" s="5" t="s">
        <v>880</v>
      </c>
      <c r="J28" s="8">
        <v>60.2141</v>
      </c>
      <c r="K28" s="8">
        <v>24.896</v>
      </c>
      <c r="L28" s="5" t="s">
        <v>194</v>
      </c>
      <c r="M28" s="5" t="s">
        <v>195</v>
      </c>
      <c r="N28" s="5" t="s">
        <v>804</v>
      </c>
      <c r="O28" s="5" t="s">
        <v>353</v>
      </c>
      <c r="P28" s="8">
        <v>26.0</v>
      </c>
      <c r="Q28" s="5" t="s">
        <v>805</v>
      </c>
      <c r="R28" s="10"/>
      <c r="S28" s="5" t="s">
        <v>881</v>
      </c>
      <c r="T28" s="5" t="s">
        <v>807</v>
      </c>
      <c r="U28" s="5" t="s">
        <v>882</v>
      </c>
      <c r="V28" s="5" t="s">
        <v>863</v>
      </c>
      <c r="W28" s="8">
        <v>5.0</v>
      </c>
      <c r="X28" s="8">
        <v>7.0</v>
      </c>
    </row>
    <row r="29">
      <c r="A29" s="7">
        <v>45867.26527777778</v>
      </c>
      <c r="B29" s="7">
        <v>45867.26875</v>
      </c>
      <c r="C29" s="5" t="s">
        <v>99</v>
      </c>
      <c r="D29" s="5" t="s">
        <v>256</v>
      </c>
      <c r="E29" s="8">
        <v>100.0</v>
      </c>
      <c r="F29" s="8">
        <v>316.0</v>
      </c>
      <c r="G29" s="9" t="b">
        <v>1</v>
      </c>
      <c r="H29" s="7">
        <v>45867.26875</v>
      </c>
      <c r="I29" s="5" t="s">
        <v>883</v>
      </c>
      <c r="J29" s="8">
        <v>60.1816</v>
      </c>
      <c r="K29" s="8">
        <v>24.8368</v>
      </c>
      <c r="L29" s="5" t="s">
        <v>194</v>
      </c>
      <c r="M29" s="5" t="s">
        <v>195</v>
      </c>
      <c r="N29" s="10"/>
      <c r="O29" s="5" t="s">
        <v>362</v>
      </c>
      <c r="P29" s="8">
        <v>29.0</v>
      </c>
      <c r="Q29" s="5" t="s">
        <v>805</v>
      </c>
      <c r="R29" s="10"/>
      <c r="S29" s="5" t="s">
        <v>878</v>
      </c>
      <c r="T29" s="5" t="s">
        <v>807</v>
      </c>
      <c r="U29" s="5" t="s">
        <v>884</v>
      </c>
      <c r="V29" s="5" t="s">
        <v>822</v>
      </c>
      <c r="W29" s="8">
        <v>2.0</v>
      </c>
      <c r="X29" s="8">
        <v>3.0</v>
      </c>
    </row>
    <row r="30">
      <c r="A30" s="7">
        <v>45867.21597222222</v>
      </c>
      <c r="B30" s="7">
        <v>45867.21805555555</v>
      </c>
      <c r="C30" s="5" t="s">
        <v>99</v>
      </c>
      <c r="D30" s="5" t="s">
        <v>192</v>
      </c>
      <c r="E30" s="8">
        <v>100.0</v>
      </c>
      <c r="F30" s="8">
        <v>179.0</v>
      </c>
      <c r="G30" s="9" t="b">
        <v>1</v>
      </c>
      <c r="H30" s="7">
        <v>45867.21805555555</v>
      </c>
      <c r="I30" s="5" t="s">
        <v>885</v>
      </c>
      <c r="J30" s="8">
        <v>60.1816</v>
      </c>
      <c r="K30" s="8">
        <v>24.8368</v>
      </c>
      <c r="L30" s="5" t="s">
        <v>194</v>
      </c>
      <c r="M30" s="5" t="s">
        <v>195</v>
      </c>
      <c r="N30" s="10"/>
      <c r="O30" s="5" t="s">
        <v>331</v>
      </c>
      <c r="P30" s="8">
        <v>26.0</v>
      </c>
      <c r="Q30" s="5" t="s">
        <v>805</v>
      </c>
      <c r="R30" s="10"/>
      <c r="S30" s="5" t="s">
        <v>886</v>
      </c>
      <c r="T30" s="5" t="s">
        <v>807</v>
      </c>
      <c r="U30" s="5" t="s">
        <v>825</v>
      </c>
      <c r="V30" s="5" t="s">
        <v>826</v>
      </c>
      <c r="W30" s="8">
        <v>4.0</v>
      </c>
      <c r="X30" s="8">
        <v>5.0</v>
      </c>
    </row>
    <row r="31">
      <c r="A31" s="9" t="s">
        <v>889</v>
      </c>
      <c r="B31" s="9" t="s">
        <v>889</v>
      </c>
      <c r="C31" s="5" t="s">
        <v>99</v>
      </c>
      <c r="D31" s="5" t="s">
        <v>890</v>
      </c>
      <c r="E31" s="8">
        <v>100.0</v>
      </c>
      <c r="F31" s="8">
        <v>386.0</v>
      </c>
      <c r="G31" s="9" t="b">
        <v>1</v>
      </c>
      <c r="H31" s="7">
        <v>45866.15347222222</v>
      </c>
      <c r="I31" s="5" t="s">
        <v>891</v>
      </c>
      <c r="J31" s="8">
        <v>60.1968</v>
      </c>
      <c r="K31" s="8">
        <v>24.9608</v>
      </c>
      <c r="L31" s="5" t="s">
        <v>194</v>
      </c>
      <c r="M31" s="5" t="s">
        <v>195</v>
      </c>
      <c r="N31" s="10"/>
      <c r="O31" s="5" t="s">
        <v>501</v>
      </c>
      <c r="P31" s="8">
        <v>24.0</v>
      </c>
      <c r="Q31" s="5" t="s">
        <v>819</v>
      </c>
      <c r="R31" s="10"/>
      <c r="S31" s="5" t="s">
        <v>824</v>
      </c>
      <c r="T31" s="5" t="s">
        <v>807</v>
      </c>
      <c r="U31" s="5" t="s">
        <v>892</v>
      </c>
      <c r="V31" s="5" t="s">
        <v>893</v>
      </c>
      <c r="W31" s="8">
        <v>2.0</v>
      </c>
      <c r="X31" s="8">
        <v>2.0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9" max="9" width="28.75"/>
  </cols>
  <sheetData>
    <row r="1">
      <c r="A1" s="5" t="s">
        <v>49</v>
      </c>
      <c r="B1" s="5" t="s">
        <v>51</v>
      </c>
      <c r="C1" s="5" t="s">
        <v>61</v>
      </c>
      <c r="D1" s="5" t="s">
        <v>775</v>
      </c>
      <c r="E1" s="5" t="s">
        <v>776</v>
      </c>
      <c r="F1" s="5" t="s">
        <v>778</v>
      </c>
      <c r="G1" s="5" t="s">
        <v>779</v>
      </c>
      <c r="H1" s="5" t="s">
        <v>780</v>
      </c>
      <c r="I1" s="5" t="s">
        <v>781</v>
      </c>
      <c r="J1" s="5" t="s">
        <v>782</v>
      </c>
      <c r="K1" s="5" t="s">
        <v>783</v>
      </c>
    </row>
    <row r="2">
      <c r="A2" s="8">
        <v>157.0</v>
      </c>
      <c r="B2" s="7">
        <v>45867.20277777778</v>
      </c>
      <c r="C2" s="5" t="s">
        <v>318</v>
      </c>
      <c r="D2" s="8">
        <v>29.0</v>
      </c>
      <c r="E2" s="5" t="s">
        <v>805</v>
      </c>
      <c r="F2" s="5" t="s">
        <v>806</v>
      </c>
      <c r="G2" s="5" t="s">
        <v>807</v>
      </c>
      <c r="H2" s="1" t="s">
        <v>808</v>
      </c>
      <c r="I2" s="1" t="s">
        <v>809</v>
      </c>
      <c r="J2" s="8">
        <v>1.0</v>
      </c>
      <c r="K2" s="8">
        <v>2.0</v>
      </c>
    </row>
    <row r="3">
      <c r="A3" s="8">
        <v>2670.0</v>
      </c>
      <c r="B3" s="7">
        <v>45867.08541666667</v>
      </c>
      <c r="C3" s="5" t="s">
        <v>289</v>
      </c>
      <c r="D3" s="8">
        <v>23.0</v>
      </c>
      <c r="E3" s="5" t="s">
        <v>805</v>
      </c>
      <c r="F3" s="5" t="s">
        <v>811</v>
      </c>
      <c r="G3" s="5" t="s">
        <v>807</v>
      </c>
      <c r="H3" s="1" t="s">
        <v>812</v>
      </c>
      <c r="I3" s="1" t="s">
        <v>813</v>
      </c>
      <c r="J3" s="8">
        <v>1.0</v>
      </c>
      <c r="K3" s="8">
        <v>7.0</v>
      </c>
    </row>
    <row r="4">
      <c r="A4" s="8">
        <v>89.0</v>
      </c>
      <c r="B4" s="7">
        <v>45867.08125</v>
      </c>
      <c r="C4" s="5" t="s">
        <v>284</v>
      </c>
      <c r="D4" s="8">
        <v>24.0</v>
      </c>
      <c r="E4" s="5" t="s">
        <v>805</v>
      </c>
      <c r="F4" s="5" t="s">
        <v>815</v>
      </c>
      <c r="G4" s="5" t="s">
        <v>816</v>
      </c>
      <c r="H4" s="1" t="s">
        <v>817</v>
      </c>
      <c r="I4" s="1" t="s">
        <v>813</v>
      </c>
      <c r="J4" s="8">
        <v>5.0</v>
      </c>
      <c r="K4" s="8">
        <v>5.0</v>
      </c>
    </row>
    <row r="5">
      <c r="A5" s="8">
        <v>61319.0</v>
      </c>
      <c r="B5" s="7">
        <v>45867.010416666664</v>
      </c>
      <c r="C5" s="5" t="s">
        <v>258</v>
      </c>
      <c r="D5" s="8">
        <v>40.0</v>
      </c>
      <c r="E5" s="5" t="s">
        <v>819</v>
      </c>
      <c r="F5" s="5" t="s">
        <v>820</v>
      </c>
      <c r="G5" s="5" t="s">
        <v>816</v>
      </c>
      <c r="H5" s="1" t="s">
        <v>821</v>
      </c>
      <c r="I5" s="1" t="s">
        <v>822</v>
      </c>
      <c r="J5" s="8">
        <v>5.0</v>
      </c>
      <c r="K5" s="8">
        <v>5.0</v>
      </c>
    </row>
    <row r="6">
      <c r="A6" s="8">
        <v>85.0</v>
      </c>
      <c r="B6" s="7">
        <v>45869.01527777778</v>
      </c>
      <c r="C6" s="5" t="s">
        <v>536</v>
      </c>
      <c r="D6" s="8">
        <v>27.0</v>
      </c>
      <c r="E6" s="5" t="s">
        <v>805</v>
      </c>
      <c r="F6" s="5" t="s">
        <v>824</v>
      </c>
      <c r="G6" s="5" t="s">
        <v>807</v>
      </c>
      <c r="H6" s="1" t="s">
        <v>825</v>
      </c>
      <c r="I6" s="1" t="s">
        <v>826</v>
      </c>
      <c r="J6" s="8">
        <v>1.0</v>
      </c>
      <c r="K6" s="8">
        <v>1.0</v>
      </c>
    </row>
    <row r="7">
      <c r="A7" s="8">
        <v>105.0</v>
      </c>
      <c r="B7" s="7">
        <v>45866.29305555556</v>
      </c>
      <c r="C7" s="5" t="s">
        <v>239</v>
      </c>
      <c r="D7" s="8">
        <v>34.0</v>
      </c>
      <c r="E7" s="5" t="s">
        <v>819</v>
      </c>
      <c r="F7" s="5" t="s">
        <v>828</v>
      </c>
      <c r="G7" s="5" t="s">
        <v>807</v>
      </c>
      <c r="H7" s="1" t="s">
        <v>821</v>
      </c>
      <c r="I7" s="1" t="s">
        <v>822</v>
      </c>
      <c r="J7" s="8">
        <v>4.0</v>
      </c>
      <c r="K7" s="8">
        <v>4.0</v>
      </c>
    </row>
    <row r="8">
      <c r="A8" s="8">
        <v>81.0</v>
      </c>
      <c r="B8" s="7">
        <v>45869.2625</v>
      </c>
      <c r="C8" s="5" t="s">
        <v>679</v>
      </c>
      <c r="D8" s="8">
        <v>25.0</v>
      </c>
      <c r="E8" s="5" t="s">
        <v>819</v>
      </c>
      <c r="F8" s="5" t="s">
        <v>830</v>
      </c>
      <c r="G8" s="5" t="s">
        <v>807</v>
      </c>
      <c r="H8" s="1" t="s">
        <v>831</v>
      </c>
      <c r="I8" s="1" t="s">
        <v>813</v>
      </c>
      <c r="J8" s="8">
        <v>5.0</v>
      </c>
      <c r="K8" s="8">
        <v>6.0</v>
      </c>
    </row>
    <row r="9">
      <c r="A9" s="8">
        <v>125.0</v>
      </c>
      <c r="B9" s="7">
        <v>45869.24166666667</v>
      </c>
      <c r="C9" s="5" t="s">
        <v>669</v>
      </c>
      <c r="D9" s="8">
        <v>31.0</v>
      </c>
      <c r="E9" s="5" t="s">
        <v>805</v>
      </c>
      <c r="F9" s="5" t="s">
        <v>833</v>
      </c>
      <c r="G9" s="5" t="s">
        <v>807</v>
      </c>
      <c r="H9" s="1" t="s">
        <v>817</v>
      </c>
      <c r="I9" s="1" t="s">
        <v>834</v>
      </c>
      <c r="J9" s="8">
        <v>1.0</v>
      </c>
      <c r="K9" s="8">
        <v>1.0</v>
      </c>
    </row>
    <row r="10">
      <c r="A10" s="8">
        <v>258.0</v>
      </c>
      <c r="B10" s="7">
        <v>45866.29305555556</v>
      </c>
      <c r="C10" s="5" t="s">
        <v>244</v>
      </c>
      <c r="D10" s="8">
        <v>25.0</v>
      </c>
      <c r="E10" s="5" t="s">
        <v>819</v>
      </c>
      <c r="F10" s="5" t="s">
        <v>824</v>
      </c>
      <c r="G10" s="5" t="s">
        <v>816</v>
      </c>
      <c r="H10" s="1" t="s">
        <v>836</v>
      </c>
      <c r="I10" s="1" t="s">
        <v>813</v>
      </c>
      <c r="J10" s="8">
        <v>6.0</v>
      </c>
      <c r="K10" s="8">
        <v>2.0</v>
      </c>
    </row>
    <row r="11">
      <c r="A11" s="8">
        <v>102.0</v>
      </c>
      <c r="B11" s="7">
        <v>45869.23472222222</v>
      </c>
      <c r="C11" s="5" t="s">
        <v>674</v>
      </c>
      <c r="D11" s="8">
        <v>25.0</v>
      </c>
      <c r="E11" s="5" t="s">
        <v>805</v>
      </c>
      <c r="F11" s="5" t="s">
        <v>824</v>
      </c>
      <c r="G11" s="5" t="s">
        <v>807</v>
      </c>
      <c r="H11" s="1" t="s">
        <v>817</v>
      </c>
      <c r="I11" s="1" t="s">
        <v>838</v>
      </c>
      <c r="J11" s="8">
        <v>6.0</v>
      </c>
      <c r="K11" s="8">
        <v>4.0</v>
      </c>
    </row>
    <row r="12">
      <c r="A12" s="8">
        <v>65.0</v>
      </c>
      <c r="B12" s="7">
        <v>45869.209027777775</v>
      </c>
      <c r="C12" s="5" t="s">
        <v>655</v>
      </c>
      <c r="D12" s="8">
        <v>34.0</v>
      </c>
      <c r="E12" s="5" t="s">
        <v>819</v>
      </c>
      <c r="F12" s="5" t="s">
        <v>840</v>
      </c>
      <c r="G12" s="5" t="s">
        <v>807</v>
      </c>
      <c r="H12" s="1" t="s">
        <v>841</v>
      </c>
      <c r="I12" s="1" t="s">
        <v>842</v>
      </c>
      <c r="J12" s="8">
        <v>7.0</v>
      </c>
      <c r="K12" s="8">
        <v>5.0</v>
      </c>
    </row>
    <row r="13">
      <c r="A13" s="8">
        <v>143.0</v>
      </c>
      <c r="B13" s="7">
        <v>45869.17291666667</v>
      </c>
      <c r="C13" s="5" t="s">
        <v>607</v>
      </c>
      <c r="D13" s="8">
        <v>25.0</v>
      </c>
      <c r="E13" s="5" t="s">
        <v>805</v>
      </c>
      <c r="F13" s="5" t="s">
        <v>844</v>
      </c>
      <c r="G13" s="5" t="s">
        <v>807</v>
      </c>
      <c r="H13" s="1" t="s">
        <v>845</v>
      </c>
      <c r="I13" s="1" t="s">
        <v>838</v>
      </c>
      <c r="J13" s="8">
        <v>1.0</v>
      </c>
      <c r="K13" s="8">
        <v>2.0</v>
      </c>
    </row>
    <row r="14">
      <c r="A14" s="8">
        <v>106.0</v>
      </c>
      <c r="B14" s="7">
        <v>45869.18541666667</v>
      </c>
      <c r="C14" s="5" t="s">
        <v>602</v>
      </c>
      <c r="D14" s="8">
        <v>26.0</v>
      </c>
      <c r="E14" s="5" t="s">
        <v>805</v>
      </c>
      <c r="F14" s="5" t="s">
        <v>824</v>
      </c>
      <c r="G14" s="5" t="s">
        <v>807</v>
      </c>
      <c r="H14" s="1" t="s">
        <v>847</v>
      </c>
      <c r="I14" s="1" t="s">
        <v>826</v>
      </c>
      <c r="J14" s="8">
        <v>1.0</v>
      </c>
      <c r="K14" s="8">
        <v>1.0</v>
      </c>
    </row>
    <row r="15">
      <c r="A15" s="8">
        <v>299.0</v>
      </c>
      <c r="B15" s="7">
        <v>45869.15138888889</v>
      </c>
      <c r="C15" s="5" t="s">
        <v>595</v>
      </c>
      <c r="D15" s="8">
        <v>38.0</v>
      </c>
      <c r="E15" s="5" t="s">
        <v>819</v>
      </c>
      <c r="F15" s="5" t="s">
        <v>849</v>
      </c>
      <c r="G15" s="5" t="s">
        <v>807</v>
      </c>
      <c r="H15" s="1" t="s">
        <v>850</v>
      </c>
      <c r="I15" s="1" t="s">
        <v>822</v>
      </c>
      <c r="J15" s="8">
        <v>4.0</v>
      </c>
      <c r="K15" s="8">
        <v>2.0</v>
      </c>
    </row>
    <row r="16">
      <c r="A16" s="8">
        <v>114.0</v>
      </c>
      <c r="B16" s="7">
        <v>45869.083333333336</v>
      </c>
      <c r="C16" s="5" t="s">
        <v>582</v>
      </c>
      <c r="D16" s="8">
        <v>23.0</v>
      </c>
      <c r="E16" s="5" t="s">
        <v>805</v>
      </c>
      <c r="F16" s="5" t="s">
        <v>824</v>
      </c>
      <c r="G16" s="5" t="s">
        <v>807</v>
      </c>
      <c r="H16" s="1" t="s">
        <v>825</v>
      </c>
      <c r="I16" s="1" t="s">
        <v>813</v>
      </c>
      <c r="J16" s="8">
        <v>1.0</v>
      </c>
      <c r="K16" s="8">
        <v>1.0</v>
      </c>
    </row>
    <row r="17">
      <c r="A17" s="8">
        <v>203.0</v>
      </c>
      <c r="B17" s="7">
        <v>45869.07847222222</v>
      </c>
      <c r="C17" s="5" t="s">
        <v>573</v>
      </c>
      <c r="D17" s="8">
        <v>22.0</v>
      </c>
      <c r="E17" s="5" t="s">
        <v>805</v>
      </c>
      <c r="F17" s="5" t="s">
        <v>824</v>
      </c>
      <c r="G17" s="5" t="s">
        <v>807</v>
      </c>
      <c r="H17" s="1" t="s">
        <v>812</v>
      </c>
      <c r="I17" s="1" t="s">
        <v>838</v>
      </c>
      <c r="J17" s="8">
        <v>1.0</v>
      </c>
      <c r="K17" s="8">
        <v>1.0</v>
      </c>
    </row>
    <row r="18">
      <c r="A18" s="8">
        <v>90.0</v>
      </c>
      <c r="B18" s="7">
        <v>45869.00902777778</v>
      </c>
      <c r="C18" s="5" t="s">
        <v>531</v>
      </c>
      <c r="D18" s="8">
        <v>26.0</v>
      </c>
      <c r="E18" s="5" t="s">
        <v>805</v>
      </c>
      <c r="F18" s="5" t="s">
        <v>824</v>
      </c>
      <c r="G18" s="5" t="s">
        <v>807</v>
      </c>
      <c r="H18" s="1" t="s">
        <v>812</v>
      </c>
      <c r="I18" s="1" t="s">
        <v>854</v>
      </c>
      <c r="J18" s="8">
        <v>1.0</v>
      </c>
      <c r="K18" s="8">
        <v>3.0</v>
      </c>
    </row>
    <row r="19">
      <c r="A19" s="8">
        <v>340.0</v>
      </c>
      <c r="B19" s="7">
        <v>45868.274305555555</v>
      </c>
      <c r="C19" s="5" t="s">
        <v>496</v>
      </c>
      <c r="D19" s="8">
        <v>27.0</v>
      </c>
      <c r="E19" s="5" t="s">
        <v>805</v>
      </c>
      <c r="F19" s="5" t="s">
        <v>824</v>
      </c>
      <c r="G19" s="5" t="s">
        <v>807</v>
      </c>
      <c r="H19" s="1" t="s">
        <v>856</v>
      </c>
      <c r="I19" s="1" t="s">
        <v>822</v>
      </c>
      <c r="J19" s="8">
        <v>1.0</v>
      </c>
      <c r="K19" s="8">
        <v>2.0</v>
      </c>
    </row>
    <row r="20">
      <c r="A20" s="8">
        <v>168.0</v>
      </c>
      <c r="B20" s="7">
        <v>45866.24444444444</v>
      </c>
      <c r="C20" s="5" t="s">
        <v>221</v>
      </c>
      <c r="D20" s="8">
        <v>26.0</v>
      </c>
      <c r="E20" s="5" t="s">
        <v>819</v>
      </c>
      <c r="F20" s="5" t="s">
        <v>858</v>
      </c>
      <c r="G20" s="5" t="s">
        <v>807</v>
      </c>
      <c r="H20" s="1" t="s">
        <v>821</v>
      </c>
      <c r="I20" s="1" t="s">
        <v>859</v>
      </c>
      <c r="J20" s="8">
        <v>1.0</v>
      </c>
      <c r="K20" s="8">
        <v>2.0</v>
      </c>
    </row>
    <row r="21">
      <c r="A21" s="8">
        <v>858.0</v>
      </c>
      <c r="B21" s="7">
        <v>45868.22152777778</v>
      </c>
      <c r="C21" s="5" t="s">
        <v>470</v>
      </c>
      <c r="D21" s="8">
        <v>29.0</v>
      </c>
      <c r="E21" s="5" t="s">
        <v>819</v>
      </c>
      <c r="F21" s="5" t="s">
        <v>861</v>
      </c>
      <c r="G21" s="5" t="s">
        <v>807</v>
      </c>
      <c r="H21" s="1" t="s">
        <v>862</v>
      </c>
      <c r="I21" s="1" t="s">
        <v>863</v>
      </c>
      <c r="J21" s="8">
        <v>2.0</v>
      </c>
      <c r="K21" s="8">
        <v>3.0</v>
      </c>
    </row>
    <row r="22">
      <c r="A22" s="8">
        <v>233.0</v>
      </c>
      <c r="B22" s="7">
        <v>45868.16736111111</v>
      </c>
      <c r="C22" s="5" t="s">
        <v>442</v>
      </c>
      <c r="D22" s="8">
        <v>29.0</v>
      </c>
      <c r="E22" s="5" t="s">
        <v>819</v>
      </c>
      <c r="F22" s="5" t="s">
        <v>830</v>
      </c>
      <c r="G22" s="5" t="s">
        <v>807</v>
      </c>
      <c r="H22" s="1" t="s">
        <v>865</v>
      </c>
      <c r="I22" s="1" t="s">
        <v>826</v>
      </c>
      <c r="J22" s="8">
        <v>1.0</v>
      </c>
      <c r="K22" s="8">
        <v>2.0</v>
      </c>
    </row>
    <row r="23">
      <c r="A23" s="8">
        <v>92.0</v>
      </c>
      <c r="B23" s="7">
        <v>45868.149305555555</v>
      </c>
      <c r="C23" s="5" t="s">
        <v>433</v>
      </c>
      <c r="D23" s="8">
        <v>27.0</v>
      </c>
      <c r="E23" s="5" t="s">
        <v>805</v>
      </c>
      <c r="F23" s="5" t="s">
        <v>849</v>
      </c>
      <c r="G23" s="5" t="s">
        <v>807</v>
      </c>
      <c r="H23" s="1" t="s">
        <v>867</v>
      </c>
      <c r="I23" s="1" t="s">
        <v>826</v>
      </c>
      <c r="J23" s="8">
        <v>3.0</v>
      </c>
      <c r="K23" s="8">
        <v>3.0</v>
      </c>
    </row>
    <row r="24">
      <c r="A24" s="8">
        <v>97.0</v>
      </c>
      <c r="B24" s="7">
        <v>45868.072222222225</v>
      </c>
      <c r="C24" s="5" t="s">
        <v>411</v>
      </c>
      <c r="D24" s="8">
        <v>30.0</v>
      </c>
      <c r="E24" s="5" t="s">
        <v>805</v>
      </c>
      <c r="F24" s="5" t="s">
        <v>824</v>
      </c>
      <c r="G24" s="5" t="s">
        <v>807</v>
      </c>
      <c r="H24" s="1" t="s">
        <v>825</v>
      </c>
      <c r="I24" s="1" t="s">
        <v>869</v>
      </c>
      <c r="J24" s="8">
        <v>2.0</v>
      </c>
      <c r="K24" s="8">
        <v>4.0</v>
      </c>
    </row>
    <row r="25">
      <c r="A25" s="8">
        <v>149.0</v>
      </c>
      <c r="B25" s="7">
        <v>45868.072916666664</v>
      </c>
      <c r="C25" s="5" t="s">
        <v>428</v>
      </c>
      <c r="D25" s="8">
        <v>44.0</v>
      </c>
      <c r="E25" s="5" t="s">
        <v>819</v>
      </c>
      <c r="F25" s="5" t="s">
        <v>871</v>
      </c>
      <c r="G25" s="5" t="s">
        <v>807</v>
      </c>
      <c r="H25" s="1" t="s">
        <v>872</v>
      </c>
      <c r="I25" s="1" t="s">
        <v>873</v>
      </c>
      <c r="J25" s="8">
        <v>5.0</v>
      </c>
      <c r="K25" s="8">
        <v>2.0</v>
      </c>
    </row>
    <row r="26">
      <c r="A26" s="8">
        <v>119.0</v>
      </c>
      <c r="B26" s="7">
        <v>45868.01736111111</v>
      </c>
      <c r="C26" s="5" t="s">
        <v>385</v>
      </c>
      <c r="D26" s="8">
        <v>29.0</v>
      </c>
      <c r="E26" s="5" t="s">
        <v>805</v>
      </c>
      <c r="F26" s="5" t="s">
        <v>875</v>
      </c>
      <c r="G26" s="5" t="s">
        <v>807</v>
      </c>
      <c r="H26" s="1" t="s">
        <v>876</v>
      </c>
      <c r="I26" s="1" t="s">
        <v>813</v>
      </c>
      <c r="J26" s="8">
        <v>2.0</v>
      </c>
      <c r="K26" s="8">
        <v>4.0</v>
      </c>
    </row>
    <row r="27">
      <c r="A27" s="8">
        <v>163.0</v>
      </c>
      <c r="B27" s="7">
        <v>45868.01527777778</v>
      </c>
      <c r="C27" s="5" t="s">
        <v>379</v>
      </c>
      <c r="D27" s="8">
        <v>40.0</v>
      </c>
      <c r="E27" s="5" t="s">
        <v>805</v>
      </c>
      <c r="F27" s="5" t="s">
        <v>878</v>
      </c>
      <c r="G27" s="5" t="s">
        <v>816</v>
      </c>
      <c r="H27" s="1" t="s">
        <v>879</v>
      </c>
      <c r="I27" s="1" t="s">
        <v>859</v>
      </c>
      <c r="J27" s="8">
        <v>6.0</v>
      </c>
      <c r="K27" s="8">
        <v>6.0</v>
      </c>
    </row>
    <row r="28">
      <c r="A28" s="8">
        <v>232.0</v>
      </c>
      <c r="B28" s="7">
        <v>45867.26944444444</v>
      </c>
      <c r="C28" s="5" t="s">
        <v>353</v>
      </c>
      <c r="D28" s="8">
        <v>26.0</v>
      </c>
      <c r="E28" s="5" t="s">
        <v>805</v>
      </c>
      <c r="F28" s="5" t="s">
        <v>881</v>
      </c>
      <c r="G28" s="5" t="s">
        <v>807</v>
      </c>
      <c r="H28" s="1" t="s">
        <v>882</v>
      </c>
      <c r="I28" s="1" t="s">
        <v>863</v>
      </c>
      <c r="J28" s="8">
        <v>5.0</v>
      </c>
      <c r="K28" s="8">
        <v>7.0</v>
      </c>
    </row>
    <row r="29">
      <c r="A29" s="8">
        <v>316.0</v>
      </c>
      <c r="B29" s="7">
        <v>45867.26875</v>
      </c>
      <c r="C29" s="5" t="s">
        <v>362</v>
      </c>
      <c r="D29" s="8">
        <v>29.0</v>
      </c>
      <c r="E29" s="5" t="s">
        <v>805</v>
      </c>
      <c r="F29" s="5" t="s">
        <v>878</v>
      </c>
      <c r="G29" s="5" t="s">
        <v>807</v>
      </c>
      <c r="H29" s="1" t="s">
        <v>884</v>
      </c>
      <c r="I29" s="1" t="s">
        <v>822</v>
      </c>
      <c r="J29" s="8">
        <v>2.0</v>
      </c>
      <c r="K29" s="8">
        <v>3.0</v>
      </c>
    </row>
    <row r="30">
      <c r="A30" s="8">
        <v>179.0</v>
      </c>
      <c r="B30" s="7">
        <v>45867.21805555555</v>
      </c>
      <c r="C30" s="5" t="s">
        <v>331</v>
      </c>
      <c r="D30" s="8">
        <v>26.0</v>
      </c>
      <c r="E30" s="5" t="s">
        <v>805</v>
      </c>
      <c r="F30" s="5" t="s">
        <v>886</v>
      </c>
      <c r="G30" s="5" t="s">
        <v>807</v>
      </c>
      <c r="H30" s="1" t="s">
        <v>825</v>
      </c>
      <c r="I30" s="1" t="s">
        <v>826</v>
      </c>
      <c r="J30" s="8">
        <v>4.0</v>
      </c>
      <c r="K30" s="8">
        <v>5.0</v>
      </c>
    </row>
    <row r="31">
      <c r="A31" s="8">
        <v>386.0</v>
      </c>
      <c r="B31" s="7">
        <v>45866.15347222222</v>
      </c>
      <c r="C31" s="5" t="s">
        <v>501</v>
      </c>
      <c r="D31" s="8">
        <v>24.0</v>
      </c>
      <c r="E31" s="5" t="s">
        <v>819</v>
      </c>
      <c r="F31" s="5" t="s">
        <v>824</v>
      </c>
      <c r="G31" s="5" t="s">
        <v>807</v>
      </c>
      <c r="H31" s="1" t="s">
        <v>892</v>
      </c>
      <c r="I31" s="1" t="s">
        <v>893</v>
      </c>
      <c r="J31" s="8">
        <v>2.0</v>
      </c>
      <c r="K31" s="8">
        <v>2.0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9" max="9" width="28.75"/>
  </cols>
  <sheetData>
    <row r="1">
      <c r="A1" s="5" t="s">
        <v>49</v>
      </c>
      <c r="B1" s="5" t="s">
        <v>51</v>
      </c>
      <c r="C1" s="5" t="s">
        <v>61</v>
      </c>
      <c r="D1" s="5" t="s">
        <v>775</v>
      </c>
      <c r="E1" s="5" t="s">
        <v>776</v>
      </c>
      <c r="F1" s="5" t="s">
        <v>778</v>
      </c>
      <c r="G1" s="5" t="s">
        <v>779</v>
      </c>
      <c r="H1" s="5" t="s">
        <v>780</v>
      </c>
      <c r="I1" s="5" t="s">
        <v>781</v>
      </c>
      <c r="J1" s="5" t="s">
        <v>782</v>
      </c>
      <c r="K1" s="5" t="s">
        <v>783</v>
      </c>
    </row>
    <row r="2">
      <c r="A2" s="8">
        <v>157.0</v>
      </c>
      <c r="B2" s="7">
        <v>45867.20277777778</v>
      </c>
      <c r="C2" s="5" t="s">
        <v>318</v>
      </c>
      <c r="D2" s="8">
        <v>29.0</v>
      </c>
      <c r="E2" s="5" t="s">
        <v>805</v>
      </c>
      <c r="F2" s="1" t="s">
        <v>806</v>
      </c>
      <c r="G2" s="5" t="s">
        <v>807</v>
      </c>
      <c r="H2" s="1" t="s">
        <v>808</v>
      </c>
      <c r="I2" s="1" t="s">
        <v>809</v>
      </c>
      <c r="J2" s="8">
        <v>1.0</v>
      </c>
      <c r="K2" s="8">
        <v>2.0</v>
      </c>
    </row>
    <row r="3">
      <c r="A3" s="8">
        <v>2670.0</v>
      </c>
      <c r="B3" s="7">
        <v>45867.08541666667</v>
      </c>
      <c r="C3" s="5" t="s">
        <v>289</v>
      </c>
      <c r="D3" s="8">
        <v>23.0</v>
      </c>
      <c r="E3" s="5" t="s">
        <v>805</v>
      </c>
      <c r="F3" s="1" t="s">
        <v>811</v>
      </c>
      <c r="G3" s="5" t="s">
        <v>807</v>
      </c>
      <c r="H3" s="1" t="s">
        <v>812</v>
      </c>
      <c r="I3" s="1" t="s">
        <v>813</v>
      </c>
      <c r="J3" s="8">
        <v>1.0</v>
      </c>
      <c r="K3" s="8">
        <v>7.0</v>
      </c>
    </row>
    <row r="4">
      <c r="A4" s="8">
        <v>89.0</v>
      </c>
      <c r="B4" s="7">
        <v>45867.08125</v>
      </c>
      <c r="C4" s="5" t="s">
        <v>284</v>
      </c>
      <c r="D4" s="8">
        <v>24.0</v>
      </c>
      <c r="E4" s="5" t="s">
        <v>805</v>
      </c>
      <c r="F4" s="1" t="s">
        <v>815</v>
      </c>
      <c r="G4" s="5" t="s">
        <v>816</v>
      </c>
      <c r="H4" s="1" t="s">
        <v>817</v>
      </c>
      <c r="I4" s="1" t="s">
        <v>813</v>
      </c>
      <c r="J4" s="8">
        <v>5.0</v>
      </c>
      <c r="K4" s="8">
        <v>5.0</v>
      </c>
    </row>
    <row r="5">
      <c r="A5" s="8">
        <v>61319.0</v>
      </c>
      <c r="B5" s="7">
        <v>45867.010416666664</v>
      </c>
      <c r="C5" s="5" t="s">
        <v>258</v>
      </c>
      <c r="D5" s="8">
        <v>40.0</v>
      </c>
      <c r="E5" s="5" t="s">
        <v>819</v>
      </c>
      <c r="F5" s="1" t="s">
        <v>815</v>
      </c>
      <c r="G5" s="5" t="s">
        <v>816</v>
      </c>
      <c r="H5" s="1" t="s">
        <v>821</v>
      </c>
      <c r="I5" s="1" t="s">
        <v>822</v>
      </c>
      <c r="J5" s="8">
        <v>5.0</v>
      </c>
      <c r="K5" s="8">
        <v>5.0</v>
      </c>
    </row>
    <row r="6">
      <c r="A6" s="8">
        <v>85.0</v>
      </c>
      <c r="B6" s="7">
        <v>45869.01527777778</v>
      </c>
      <c r="C6" s="5" t="s">
        <v>536</v>
      </c>
      <c r="D6" s="8">
        <v>27.0</v>
      </c>
      <c r="E6" s="5" t="s">
        <v>805</v>
      </c>
      <c r="F6" s="1" t="s">
        <v>824</v>
      </c>
      <c r="G6" s="5" t="s">
        <v>807</v>
      </c>
      <c r="H6" s="1" t="s">
        <v>825</v>
      </c>
      <c r="I6" s="1" t="s">
        <v>826</v>
      </c>
      <c r="J6" s="8">
        <v>1.0</v>
      </c>
      <c r="K6" s="8">
        <v>1.0</v>
      </c>
    </row>
    <row r="7">
      <c r="A7" s="8">
        <v>105.0</v>
      </c>
      <c r="B7" s="7">
        <v>45866.29305555556</v>
      </c>
      <c r="C7" s="5" t="s">
        <v>239</v>
      </c>
      <c r="D7" s="8">
        <v>34.0</v>
      </c>
      <c r="E7" s="5" t="s">
        <v>819</v>
      </c>
      <c r="F7" s="1" t="s">
        <v>828</v>
      </c>
      <c r="G7" s="5" t="s">
        <v>807</v>
      </c>
      <c r="H7" s="1" t="s">
        <v>821</v>
      </c>
      <c r="I7" s="1" t="s">
        <v>822</v>
      </c>
      <c r="J7" s="8">
        <v>4.0</v>
      </c>
      <c r="K7" s="8">
        <v>4.0</v>
      </c>
    </row>
    <row r="8">
      <c r="A8" s="8">
        <v>81.0</v>
      </c>
      <c r="B8" s="7">
        <v>45869.2625</v>
      </c>
      <c r="C8" s="5" t="s">
        <v>679</v>
      </c>
      <c r="D8" s="8">
        <v>25.0</v>
      </c>
      <c r="E8" s="5" t="s">
        <v>819</v>
      </c>
      <c r="F8" s="1" t="s">
        <v>830</v>
      </c>
      <c r="G8" s="5" t="s">
        <v>807</v>
      </c>
      <c r="H8" s="1" t="s">
        <v>831</v>
      </c>
      <c r="I8" s="1" t="s">
        <v>813</v>
      </c>
      <c r="J8" s="8">
        <v>5.0</v>
      </c>
      <c r="K8" s="8">
        <v>6.0</v>
      </c>
    </row>
    <row r="9">
      <c r="A9" s="8">
        <v>125.0</v>
      </c>
      <c r="B9" s="7">
        <v>45869.24166666667</v>
      </c>
      <c r="C9" s="5" t="s">
        <v>669</v>
      </c>
      <c r="D9" s="8">
        <v>31.0</v>
      </c>
      <c r="E9" s="5" t="s">
        <v>805</v>
      </c>
      <c r="F9" s="1" t="s">
        <v>833</v>
      </c>
      <c r="G9" s="5" t="s">
        <v>807</v>
      </c>
      <c r="H9" s="1" t="s">
        <v>817</v>
      </c>
      <c r="I9" s="1" t="s">
        <v>834</v>
      </c>
      <c r="J9" s="8">
        <v>1.0</v>
      </c>
      <c r="K9" s="8">
        <v>1.0</v>
      </c>
    </row>
    <row r="10">
      <c r="A10" s="8">
        <v>258.0</v>
      </c>
      <c r="B10" s="7">
        <v>45866.29305555556</v>
      </c>
      <c r="C10" s="5" t="s">
        <v>244</v>
      </c>
      <c r="D10" s="8">
        <v>25.0</v>
      </c>
      <c r="E10" s="5" t="s">
        <v>819</v>
      </c>
      <c r="F10" s="1" t="s">
        <v>824</v>
      </c>
      <c r="G10" s="5" t="s">
        <v>816</v>
      </c>
      <c r="H10" s="1" t="s">
        <v>836</v>
      </c>
      <c r="I10" s="1" t="s">
        <v>813</v>
      </c>
      <c r="J10" s="8">
        <v>6.0</v>
      </c>
      <c r="K10" s="8">
        <v>2.0</v>
      </c>
    </row>
    <row r="11">
      <c r="A11" s="8">
        <v>102.0</v>
      </c>
      <c r="B11" s="7">
        <v>45869.23472222222</v>
      </c>
      <c r="C11" s="5" t="s">
        <v>674</v>
      </c>
      <c r="D11" s="8">
        <v>25.0</v>
      </c>
      <c r="E11" s="5" t="s">
        <v>805</v>
      </c>
      <c r="F11" s="1" t="s">
        <v>824</v>
      </c>
      <c r="G11" s="5" t="s">
        <v>807</v>
      </c>
      <c r="H11" s="1" t="s">
        <v>817</v>
      </c>
      <c r="I11" s="1" t="s">
        <v>838</v>
      </c>
      <c r="J11" s="8">
        <v>6.0</v>
      </c>
      <c r="K11" s="8">
        <v>4.0</v>
      </c>
    </row>
    <row r="12">
      <c r="A12" s="8">
        <v>65.0</v>
      </c>
      <c r="B12" s="7">
        <v>45869.209027777775</v>
      </c>
      <c r="C12" s="5" t="s">
        <v>655</v>
      </c>
      <c r="D12" s="8">
        <v>34.0</v>
      </c>
      <c r="E12" s="5" t="s">
        <v>819</v>
      </c>
      <c r="F12" s="1" t="s">
        <v>830</v>
      </c>
      <c r="G12" s="5" t="s">
        <v>807</v>
      </c>
      <c r="H12" s="1" t="s">
        <v>841</v>
      </c>
      <c r="I12" s="1" t="s">
        <v>842</v>
      </c>
      <c r="J12" s="8">
        <v>7.0</v>
      </c>
      <c r="K12" s="8">
        <v>5.0</v>
      </c>
    </row>
    <row r="13">
      <c r="A13" s="8">
        <v>143.0</v>
      </c>
      <c r="B13" s="7">
        <v>45869.17291666667</v>
      </c>
      <c r="C13" s="5" t="s">
        <v>607</v>
      </c>
      <c r="D13" s="8">
        <v>25.0</v>
      </c>
      <c r="E13" s="5" t="s">
        <v>805</v>
      </c>
      <c r="F13" s="1" t="s">
        <v>894</v>
      </c>
      <c r="G13" s="5" t="s">
        <v>807</v>
      </c>
      <c r="H13" s="1" t="s">
        <v>845</v>
      </c>
      <c r="I13" s="1" t="s">
        <v>838</v>
      </c>
      <c r="J13" s="8">
        <v>1.0</v>
      </c>
      <c r="K13" s="8">
        <v>2.0</v>
      </c>
    </row>
    <row r="14">
      <c r="A14" s="8">
        <v>106.0</v>
      </c>
      <c r="B14" s="7">
        <v>45869.18541666667</v>
      </c>
      <c r="C14" s="5" t="s">
        <v>602</v>
      </c>
      <c r="D14" s="8">
        <v>26.0</v>
      </c>
      <c r="E14" s="5" t="s">
        <v>805</v>
      </c>
      <c r="F14" s="1" t="s">
        <v>824</v>
      </c>
      <c r="G14" s="5" t="s">
        <v>807</v>
      </c>
      <c r="H14" s="1" t="s">
        <v>847</v>
      </c>
      <c r="I14" s="1" t="s">
        <v>826</v>
      </c>
      <c r="J14" s="8">
        <v>1.0</v>
      </c>
      <c r="K14" s="8">
        <v>1.0</v>
      </c>
    </row>
    <row r="15">
      <c r="A15" s="8">
        <v>299.0</v>
      </c>
      <c r="B15" s="7">
        <v>45869.15138888889</v>
      </c>
      <c r="C15" s="5" t="s">
        <v>595</v>
      </c>
      <c r="D15" s="8">
        <v>38.0</v>
      </c>
      <c r="E15" s="5" t="s">
        <v>819</v>
      </c>
      <c r="F15" s="1" t="s">
        <v>849</v>
      </c>
      <c r="G15" s="5" t="s">
        <v>807</v>
      </c>
      <c r="H15" s="1" t="s">
        <v>850</v>
      </c>
      <c r="I15" s="1" t="s">
        <v>822</v>
      </c>
      <c r="J15" s="8">
        <v>4.0</v>
      </c>
      <c r="K15" s="8">
        <v>2.0</v>
      </c>
    </row>
    <row r="16">
      <c r="A16" s="8">
        <v>114.0</v>
      </c>
      <c r="B16" s="7">
        <v>45869.083333333336</v>
      </c>
      <c r="C16" s="5" t="s">
        <v>582</v>
      </c>
      <c r="D16" s="8">
        <v>23.0</v>
      </c>
      <c r="E16" s="5" t="s">
        <v>805</v>
      </c>
      <c r="F16" s="1" t="s">
        <v>824</v>
      </c>
      <c r="G16" s="5" t="s">
        <v>807</v>
      </c>
      <c r="H16" s="1" t="s">
        <v>825</v>
      </c>
      <c r="I16" s="1" t="s">
        <v>813</v>
      </c>
      <c r="J16" s="8">
        <v>1.0</v>
      </c>
      <c r="K16" s="8">
        <v>1.0</v>
      </c>
    </row>
    <row r="17">
      <c r="A17" s="8">
        <v>203.0</v>
      </c>
      <c r="B17" s="7">
        <v>45869.07847222222</v>
      </c>
      <c r="C17" s="5" t="s">
        <v>573</v>
      </c>
      <c r="D17" s="8">
        <v>22.0</v>
      </c>
      <c r="E17" s="5" t="s">
        <v>805</v>
      </c>
      <c r="F17" s="1" t="s">
        <v>824</v>
      </c>
      <c r="G17" s="5" t="s">
        <v>807</v>
      </c>
      <c r="H17" s="1" t="s">
        <v>812</v>
      </c>
      <c r="I17" s="1" t="s">
        <v>838</v>
      </c>
      <c r="J17" s="8">
        <v>1.0</v>
      </c>
      <c r="K17" s="8">
        <v>1.0</v>
      </c>
    </row>
    <row r="18">
      <c r="A18" s="8">
        <v>90.0</v>
      </c>
      <c r="B18" s="7">
        <v>45869.00902777778</v>
      </c>
      <c r="C18" s="5" t="s">
        <v>531</v>
      </c>
      <c r="D18" s="8">
        <v>26.0</v>
      </c>
      <c r="E18" s="5" t="s">
        <v>805</v>
      </c>
      <c r="F18" s="1" t="s">
        <v>824</v>
      </c>
      <c r="G18" s="5" t="s">
        <v>807</v>
      </c>
      <c r="H18" s="1" t="s">
        <v>812</v>
      </c>
      <c r="I18" s="1" t="s">
        <v>854</v>
      </c>
      <c r="J18" s="8">
        <v>1.0</v>
      </c>
      <c r="K18" s="8">
        <v>3.0</v>
      </c>
    </row>
    <row r="19">
      <c r="A19" s="8">
        <v>340.0</v>
      </c>
      <c r="B19" s="7">
        <v>45868.274305555555</v>
      </c>
      <c r="C19" s="5" t="s">
        <v>496</v>
      </c>
      <c r="D19" s="8">
        <v>27.0</v>
      </c>
      <c r="E19" s="5" t="s">
        <v>805</v>
      </c>
      <c r="F19" s="1" t="s">
        <v>824</v>
      </c>
      <c r="G19" s="5" t="s">
        <v>807</v>
      </c>
      <c r="H19" s="1" t="s">
        <v>856</v>
      </c>
      <c r="I19" s="1" t="s">
        <v>822</v>
      </c>
      <c r="J19" s="8">
        <v>1.0</v>
      </c>
      <c r="K19" s="8">
        <v>2.0</v>
      </c>
    </row>
    <row r="20">
      <c r="A20" s="8">
        <v>168.0</v>
      </c>
      <c r="B20" s="7">
        <v>45866.24444444444</v>
      </c>
      <c r="C20" s="5" t="s">
        <v>221</v>
      </c>
      <c r="D20" s="8">
        <v>26.0</v>
      </c>
      <c r="E20" s="5" t="s">
        <v>819</v>
      </c>
      <c r="F20" s="1" t="s">
        <v>895</v>
      </c>
      <c r="G20" s="5" t="s">
        <v>807</v>
      </c>
      <c r="H20" s="1" t="s">
        <v>821</v>
      </c>
      <c r="I20" s="1" t="s">
        <v>859</v>
      </c>
      <c r="J20" s="8">
        <v>1.0</v>
      </c>
      <c r="K20" s="8">
        <v>2.0</v>
      </c>
    </row>
    <row r="21">
      <c r="A21" s="8">
        <v>858.0</v>
      </c>
      <c r="B21" s="7">
        <v>45868.22152777778</v>
      </c>
      <c r="C21" s="5" t="s">
        <v>470</v>
      </c>
      <c r="D21" s="8">
        <v>29.0</v>
      </c>
      <c r="E21" s="5" t="s">
        <v>819</v>
      </c>
      <c r="F21" s="1" t="s">
        <v>830</v>
      </c>
      <c r="G21" s="5" t="s">
        <v>807</v>
      </c>
      <c r="H21" s="1" t="s">
        <v>862</v>
      </c>
      <c r="I21" s="1" t="s">
        <v>863</v>
      </c>
      <c r="J21" s="8">
        <v>2.0</v>
      </c>
      <c r="K21" s="8">
        <v>3.0</v>
      </c>
    </row>
    <row r="22">
      <c r="A22" s="8">
        <v>233.0</v>
      </c>
      <c r="B22" s="7">
        <v>45868.16736111111</v>
      </c>
      <c r="C22" s="5" t="s">
        <v>442</v>
      </c>
      <c r="D22" s="8">
        <v>29.0</v>
      </c>
      <c r="E22" s="5" t="s">
        <v>819</v>
      </c>
      <c r="F22" s="1" t="s">
        <v>830</v>
      </c>
      <c r="G22" s="5" t="s">
        <v>807</v>
      </c>
      <c r="H22" s="1" t="s">
        <v>865</v>
      </c>
      <c r="I22" s="1" t="s">
        <v>826</v>
      </c>
      <c r="J22" s="8">
        <v>1.0</v>
      </c>
      <c r="K22" s="8">
        <v>2.0</v>
      </c>
    </row>
    <row r="23">
      <c r="A23" s="8">
        <v>92.0</v>
      </c>
      <c r="B23" s="7">
        <v>45868.149305555555</v>
      </c>
      <c r="C23" s="5" t="s">
        <v>433</v>
      </c>
      <c r="D23" s="8">
        <v>27.0</v>
      </c>
      <c r="E23" s="5" t="s">
        <v>805</v>
      </c>
      <c r="F23" s="1" t="s">
        <v>849</v>
      </c>
      <c r="G23" s="5" t="s">
        <v>807</v>
      </c>
      <c r="H23" s="1" t="s">
        <v>867</v>
      </c>
      <c r="I23" s="1" t="s">
        <v>826</v>
      </c>
      <c r="J23" s="8">
        <v>3.0</v>
      </c>
      <c r="K23" s="8">
        <v>3.0</v>
      </c>
    </row>
    <row r="24">
      <c r="A24" s="8">
        <v>97.0</v>
      </c>
      <c r="B24" s="7">
        <v>45868.072222222225</v>
      </c>
      <c r="C24" s="5" t="s">
        <v>411</v>
      </c>
      <c r="D24" s="8">
        <v>30.0</v>
      </c>
      <c r="E24" s="5" t="s">
        <v>805</v>
      </c>
      <c r="F24" s="1" t="s">
        <v>824</v>
      </c>
      <c r="G24" s="5" t="s">
        <v>807</v>
      </c>
      <c r="H24" s="1" t="s">
        <v>825</v>
      </c>
      <c r="I24" s="1" t="s">
        <v>869</v>
      </c>
      <c r="J24" s="8">
        <v>2.0</v>
      </c>
      <c r="K24" s="8">
        <v>4.0</v>
      </c>
    </row>
    <row r="25">
      <c r="A25" s="8">
        <v>149.0</v>
      </c>
      <c r="B25" s="7">
        <v>45868.072916666664</v>
      </c>
      <c r="C25" s="5" t="s">
        <v>428</v>
      </c>
      <c r="D25" s="8">
        <v>44.0</v>
      </c>
      <c r="E25" s="5" t="s">
        <v>819</v>
      </c>
      <c r="F25" s="1" t="s">
        <v>830</v>
      </c>
      <c r="G25" s="5" t="s">
        <v>807</v>
      </c>
      <c r="H25" s="1" t="s">
        <v>872</v>
      </c>
      <c r="I25" s="1" t="s">
        <v>873</v>
      </c>
      <c r="J25" s="8">
        <v>5.0</v>
      </c>
      <c r="K25" s="8">
        <v>2.0</v>
      </c>
    </row>
    <row r="26">
      <c r="A26" s="8">
        <v>119.0</v>
      </c>
      <c r="B26" s="7">
        <v>45868.01736111111</v>
      </c>
      <c r="C26" s="5" t="s">
        <v>385</v>
      </c>
      <c r="D26" s="8">
        <v>29.0</v>
      </c>
      <c r="E26" s="5" t="s">
        <v>805</v>
      </c>
      <c r="F26" s="1" t="s">
        <v>896</v>
      </c>
      <c r="G26" s="5" t="s">
        <v>807</v>
      </c>
      <c r="H26" s="1" t="s">
        <v>876</v>
      </c>
      <c r="I26" s="1" t="s">
        <v>813</v>
      </c>
      <c r="J26" s="8">
        <v>2.0</v>
      </c>
      <c r="K26" s="8">
        <v>4.0</v>
      </c>
    </row>
    <row r="27">
      <c r="A27" s="8">
        <v>163.0</v>
      </c>
      <c r="B27" s="7">
        <v>45868.01527777778</v>
      </c>
      <c r="C27" s="5" t="s">
        <v>379</v>
      </c>
      <c r="D27" s="8">
        <v>40.0</v>
      </c>
      <c r="E27" s="5" t="s">
        <v>805</v>
      </c>
      <c r="F27" s="1" t="s">
        <v>878</v>
      </c>
      <c r="G27" s="5" t="s">
        <v>816</v>
      </c>
      <c r="H27" s="1" t="s">
        <v>879</v>
      </c>
      <c r="I27" s="1" t="s">
        <v>859</v>
      </c>
      <c r="J27" s="8">
        <v>6.0</v>
      </c>
      <c r="K27" s="8">
        <v>6.0</v>
      </c>
    </row>
    <row r="28">
      <c r="A28" s="8">
        <v>232.0</v>
      </c>
      <c r="B28" s="7">
        <v>45867.26944444444</v>
      </c>
      <c r="C28" s="5" t="s">
        <v>353</v>
      </c>
      <c r="D28" s="8">
        <v>26.0</v>
      </c>
      <c r="E28" s="5" t="s">
        <v>805</v>
      </c>
      <c r="F28" s="1" t="s">
        <v>897</v>
      </c>
      <c r="G28" s="5" t="s">
        <v>807</v>
      </c>
      <c r="H28" s="1" t="s">
        <v>882</v>
      </c>
      <c r="I28" s="1" t="s">
        <v>863</v>
      </c>
      <c r="J28" s="8">
        <v>5.0</v>
      </c>
      <c r="K28" s="8">
        <v>7.0</v>
      </c>
    </row>
    <row r="29">
      <c r="A29" s="8">
        <v>316.0</v>
      </c>
      <c r="B29" s="7">
        <v>45867.26875</v>
      </c>
      <c r="C29" s="5" t="s">
        <v>362</v>
      </c>
      <c r="D29" s="8">
        <v>29.0</v>
      </c>
      <c r="E29" s="5" t="s">
        <v>805</v>
      </c>
      <c r="F29" s="1" t="s">
        <v>878</v>
      </c>
      <c r="G29" s="5" t="s">
        <v>807</v>
      </c>
      <c r="H29" s="1" t="s">
        <v>884</v>
      </c>
      <c r="I29" s="1" t="s">
        <v>822</v>
      </c>
      <c r="J29" s="8">
        <v>2.0</v>
      </c>
      <c r="K29" s="8">
        <v>3.0</v>
      </c>
    </row>
    <row r="30">
      <c r="A30" s="8">
        <v>179.0</v>
      </c>
      <c r="B30" s="7">
        <v>45867.21805555555</v>
      </c>
      <c r="C30" s="5" t="s">
        <v>331</v>
      </c>
      <c r="D30" s="8">
        <v>26.0</v>
      </c>
      <c r="E30" s="5" t="s">
        <v>805</v>
      </c>
      <c r="F30" s="1" t="s">
        <v>898</v>
      </c>
      <c r="G30" s="5" t="s">
        <v>807</v>
      </c>
      <c r="H30" s="1" t="s">
        <v>825</v>
      </c>
      <c r="I30" s="1" t="s">
        <v>826</v>
      </c>
      <c r="J30" s="8">
        <v>4.0</v>
      </c>
      <c r="K30" s="8">
        <v>5.0</v>
      </c>
    </row>
    <row r="31">
      <c r="A31" s="8">
        <v>386.0</v>
      </c>
      <c r="B31" s="7">
        <v>45866.15347222222</v>
      </c>
      <c r="C31" s="5" t="s">
        <v>501</v>
      </c>
      <c r="D31" s="8">
        <v>24.0</v>
      </c>
      <c r="E31" s="5" t="s">
        <v>819</v>
      </c>
      <c r="F31" s="1" t="s">
        <v>824</v>
      </c>
      <c r="G31" s="5" t="s">
        <v>807</v>
      </c>
      <c r="H31" s="1" t="s">
        <v>892</v>
      </c>
      <c r="I31" s="1" t="s">
        <v>893</v>
      </c>
      <c r="J31" s="8">
        <v>2.0</v>
      </c>
      <c r="K31" s="8">
        <v>2.0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9" max="9" width="18.0"/>
    <col customWidth="1" min="10" max="10" width="28.75"/>
    <col customWidth="1" min="11" max="11" width="17.75"/>
  </cols>
  <sheetData>
    <row r="1">
      <c r="A1" s="5" t="s">
        <v>49</v>
      </c>
      <c r="B1" s="5" t="s">
        <v>51</v>
      </c>
      <c r="C1" s="5" t="s">
        <v>61</v>
      </c>
      <c r="D1" s="5" t="s">
        <v>775</v>
      </c>
      <c r="E1" s="5" t="s">
        <v>776</v>
      </c>
      <c r="F1" s="5" t="s">
        <v>778</v>
      </c>
      <c r="G1" s="5" t="s">
        <v>779</v>
      </c>
      <c r="H1" s="5" t="s">
        <v>780</v>
      </c>
      <c r="I1" s="6" t="s">
        <v>899</v>
      </c>
      <c r="J1" s="5" t="s">
        <v>781</v>
      </c>
      <c r="K1" s="6" t="s">
        <v>900</v>
      </c>
      <c r="L1" s="5" t="s">
        <v>782</v>
      </c>
      <c r="M1" s="5" t="s">
        <v>783</v>
      </c>
    </row>
    <row r="2">
      <c r="A2" s="8">
        <v>157.0</v>
      </c>
      <c r="B2" s="7">
        <v>45867.20277777778</v>
      </c>
      <c r="C2" s="5" t="s">
        <v>318</v>
      </c>
      <c r="D2" s="8">
        <v>29.0</v>
      </c>
      <c r="E2" s="5" t="s">
        <v>805</v>
      </c>
      <c r="F2" s="1" t="s">
        <v>806</v>
      </c>
      <c r="G2" s="5" t="s">
        <v>807</v>
      </c>
      <c r="H2" s="1" t="s">
        <v>808</v>
      </c>
      <c r="I2" s="1" t="s">
        <v>901</v>
      </c>
      <c r="J2" s="1" t="s">
        <v>809</v>
      </c>
      <c r="K2" s="1" t="s">
        <v>813</v>
      </c>
      <c r="L2" s="8">
        <v>1.0</v>
      </c>
      <c r="M2" s="8">
        <v>2.0</v>
      </c>
    </row>
    <row r="3">
      <c r="A3" s="8">
        <v>2670.0</v>
      </c>
      <c r="B3" s="7">
        <v>45867.08541666667</v>
      </c>
      <c r="C3" s="5" t="s">
        <v>289</v>
      </c>
      <c r="D3" s="8">
        <v>23.0</v>
      </c>
      <c r="E3" s="5" t="s">
        <v>805</v>
      </c>
      <c r="F3" s="1" t="s">
        <v>811</v>
      </c>
      <c r="G3" s="5" t="s">
        <v>807</v>
      </c>
      <c r="H3" s="1" t="s">
        <v>812</v>
      </c>
      <c r="I3" s="1" t="s">
        <v>901</v>
      </c>
      <c r="J3" s="1" t="s">
        <v>813</v>
      </c>
      <c r="K3" s="1" t="s">
        <v>813</v>
      </c>
      <c r="L3" s="8">
        <v>1.0</v>
      </c>
      <c r="M3" s="8">
        <v>7.0</v>
      </c>
    </row>
    <row r="4">
      <c r="A4" s="8">
        <v>89.0</v>
      </c>
      <c r="B4" s="7">
        <v>45867.08125</v>
      </c>
      <c r="C4" s="5" t="s">
        <v>284</v>
      </c>
      <c r="D4" s="8">
        <v>24.0</v>
      </c>
      <c r="E4" s="5" t="s">
        <v>805</v>
      </c>
      <c r="F4" s="1" t="s">
        <v>815</v>
      </c>
      <c r="G4" s="5" t="s">
        <v>816</v>
      </c>
      <c r="H4" s="1" t="s">
        <v>817</v>
      </c>
      <c r="I4" s="1" t="s">
        <v>901</v>
      </c>
      <c r="J4" s="1" t="s">
        <v>813</v>
      </c>
      <c r="K4" s="1" t="s">
        <v>813</v>
      </c>
      <c r="L4" s="8">
        <v>5.0</v>
      </c>
      <c r="M4" s="8">
        <v>5.0</v>
      </c>
    </row>
    <row r="5">
      <c r="A5" s="8">
        <v>61319.0</v>
      </c>
      <c r="B5" s="7">
        <v>45867.010416666664</v>
      </c>
      <c r="C5" s="5" t="s">
        <v>258</v>
      </c>
      <c r="D5" s="8">
        <v>40.0</v>
      </c>
      <c r="E5" s="5" t="s">
        <v>819</v>
      </c>
      <c r="F5" s="1" t="s">
        <v>815</v>
      </c>
      <c r="G5" s="5" t="s">
        <v>816</v>
      </c>
      <c r="H5" s="1" t="s">
        <v>821</v>
      </c>
      <c r="I5" s="1" t="s">
        <v>902</v>
      </c>
      <c r="J5" s="1" t="s">
        <v>822</v>
      </c>
      <c r="K5" s="1" t="s">
        <v>822</v>
      </c>
      <c r="L5" s="8">
        <v>5.0</v>
      </c>
      <c r="M5" s="8">
        <v>5.0</v>
      </c>
    </row>
    <row r="6">
      <c r="A6" s="8">
        <v>85.0</v>
      </c>
      <c r="B6" s="7">
        <v>45869.01527777778</v>
      </c>
      <c r="C6" s="5" t="s">
        <v>536</v>
      </c>
      <c r="D6" s="8">
        <v>27.0</v>
      </c>
      <c r="E6" s="5" t="s">
        <v>805</v>
      </c>
      <c r="F6" s="1" t="s">
        <v>824</v>
      </c>
      <c r="G6" s="5" t="s">
        <v>807</v>
      </c>
      <c r="H6" s="1" t="s">
        <v>825</v>
      </c>
      <c r="I6" s="1" t="s">
        <v>901</v>
      </c>
      <c r="J6" s="1" t="s">
        <v>826</v>
      </c>
      <c r="K6" s="1" t="s">
        <v>822</v>
      </c>
      <c r="L6" s="8">
        <v>1.0</v>
      </c>
      <c r="M6" s="8">
        <v>1.0</v>
      </c>
    </row>
    <row r="7">
      <c r="A7" s="8">
        <v>105.0</v>
      </c>
      <c r="B7" s="7">
        <v>45866.29305555556</v>
      </c>
      <c r="C7" s="5" t="s">
        <v>239</v>
      </c>
      <c r="D7" s="8">
        <v>34.0</v>
      </c>
      <c r="E7" s="5" t="s">
        <v>819</v>
      </c>
      <c r="F7" s="1" t="s">
        <v>828</v>
      </c>
      <c r="G7" s="5" t="s">
        <v>807</v>
      </c>
      <c r="H7" s="1" t="s">
        <v>821</v>
      </c>
      <c r="I7" s="1" t="s">
        <v>902</v>
      </c>
      <c r="J7" s="1" t="s">
        <v>822</v>
      </c>
      <c r="K7" s="1" t="s">
        <v>822</v>
      </c>
      <c r="L7" s="8">
        <v>4.0</v>
      </c>
      <c r="M7" s="8">
        <v>4.0</v>
      </c>
    </row>
    <row r="8">
      <c r="A8" s="8">
        <v>81.0</v>
      </c>
      <c r="B8" s="7">
        <v>45869.2625</v>
      </c>
      <c r="C8" s="5" t="s">
        <v>679</v>
      </c>
      <c r="D8" s="8">
        <v>25.0</v>
      </c>
      <c r="E8" s="5" t="s">
        <v>819</v>
      </c>
      <c r="F8" s="1" t="s">
        <v>830</v>
      </c>
      <c r="G8" s="5" t="s">
        <v>807</v>
      </c>
      <c r="H8" s="1" t="s">
        <v>831</v>
      </c>
      <c r="I8" s="1" t="s">
        <v>902</v>
      </c>
      <c r="J8" s="1" t="s">
        <v>813</v>
      </c>
      <c r="K8" s="1" t="s">
        <v>813</v>
      </c>
      <c r="L8" s="8">
        <v>5.0</v>
      </c>
      <c r="M8" s="8">
        <v>6.0</v>
      </c>
    </row>
    <row r="9">
      <c r="A9" s="8">
        <v>125.0</v>
      </c>
      <c r="B9" s="7">
        <v>45869.24166666667</v>
      </c>
      <c r="C9" s="5" t="s">
        <v>669</v>
      </c>
      <c r="D9" s="8">
        <v>31.0</v>
      </c>
      <c r="E9" s="5" t="s">
        <v>805</v>
      </c>
      <c r="F9" s="1" t="s">
        <v>833</v>
      </c>
      <c r="G9" s="5" t="s">
        <v>807</v>
      </c>
      <c r="H9" s="1" t="s">
        <v>817</v>
      </c>
      <c r="I9" s="1" t="s">
        <v>901</v>
      </c>
      <c r="J9" s="1" t="s">
        <v>834</v>
      </c>
      <c r="K9" s="1" t="s">
        <v>813</v>
      </c>
      <c r="L9" s="8">
        <v>1.0</v>
      </c>
      <c r="M9" s="8">
        <v>1.0</v>
      </c>
    </row>
    <row r="10">
      <c r="A10" s="8">
        <v>258.0</v>
      </c>
      <c r="B10" s="7">
        <v>45866.29305555556</v>
      </c>
      <c r="C10" s="5" t="s">
        <v>244</v>
      </c>
      <c r="D10" s="8">
        <v>25.0</v>
      </c>
      <c r="E10" s="5" t="s">
        <v>819</v>
      </c>
      <c r="F10" s="1" t="s">
        <v>824</v>
      </c>
      <c r="G10" s="5" t="s">
        <v>816</v>
      </c>
      <c r="H10" s="1" t="s">
        <v>836</v>
      </c>
      <c r="I10" s="1" t="s">
        <v>901</v>
      </c>
      <c r="J10" s="1" t="s">
        <v>813</v>
      </c>
      <c r="K10" s="1" t="s">
        <v>813</v>
      </c>
      <c r="L10" s="8">
        <v>6.0</v>
      </c>
      <c r="M10" s="8">
        <v>2.0</v>
      </c>
    </row>
    <row r="11">
      <c r="A11" s="8">
        <v>102.0</v>
      </c>
      <c r="B11" s="7">
        <v>45869.23472222222</v>
      </c>
      <c r="C11" s="5" t="s">
        <v>674</v>
      </c>
      <c r="D11" s="8">
        <v>25.0</v>
      </c>
      <c r="E11" s="5" t="s">
        <v>805</v>
      </c>
      <c r="F11" s="1" t="s">
        <v>824</v>
      </c>
      <c r="G11" s="5" t="s">
        <v>807</v>
      </c>
      <c r="H11" s="1" t="s">
        <v>817</v>
      </c>
      <c r="I11" s="1" t="s">
        <v>901</v>
      </c>
      <c r="J11" s="1" t="s">
        <v>838</v>
      </c>
      <c r="K11" s="1" t="s">
        <v>813</v>
      </c>
      <c r="L11" s="8">
        <v>6.0</v>
      </c>
      <c r="M11" s="8">
        <v>4.0</v>
      </c>
    </row>
    <row r="12">
      <c r="A12" s="8">
        <v>65.0</v>
      </c>
      <c r="B12" s="7">
        <v>45869.209027777775</v>
      </c>
      <c r="C12" s="5" t="s">
        <v>655</v>
      </c>
      <c r="D12" s="8">
        <v>34.0</v>
      </c>
      <c r="E12" s="5" t="s">
        <v>819</v>
      </c>
      <c r="F12" s="1" t="s">
        <v>830</v>
      </c>
      <c r="G12" s="5" t="s">
        <v>807</v>
      </c>
      <c r="H12" s="1" t="s">
        <v>841</v>
      </c>
      <c r="I12" s="1" t="s">
        <v>901</v>
      </c>
      <c r="J12" s="1" t="s">
        <v>842</v>
      </c>
      <c r="K12" s="1" t="s">
        <v>903</v>
      </c>
      <c r="L12" s="8">
        <v>7.0</v>
      </c>
      <c r="M12" s="8">
        <v>5.0</v>
      </c>
    </row>
    <row r="13">
      <c r="A13" s="8">
        <v>143.0</v>
      </c>
      <c r="B13" s="7">
        <v>45869.17291666667</v>
      </c>
      <c r="C13" s="5" t="s">
        <v>607</v>
      </c>
      <c r="D13" s="8">
        <v>25.0</v>
      </c>
      <c r="E13" s="5" t="s">
        <v>805</v>
      </c>
      <c r="F13" s="1" t="s">
        <v>894</v>
      </c>
      <c r="G13" s="5" t="s">
        <v>807</v>
      </c>
      <c r="H13" s="1" t="s">
        <v>845</v>
      </c>
      <c r="I13" s="1" t="s">
        <v>901</v>
      </c>
      <c r="J13" s="1" t="s">
        <v>838</v>
      </c>
      <c r="K13" s="1" t="s">
        <v>813</v>
      </c>
      <c r="L13" s="8">
        <v>1.0</v>
      </c>
      <c r="M13" s="8">
        <v>2.0</v>
      </c>
    </row>
    <row r="14">
      <c r="A14" s="8">
        <v>106.0</v>
      </c>
      <c r="B14" s="7">
        <v>45869.18541666667</v>
      </c>
      <c r="C14" s="5" t="s">
        <v>602</v>
      </c>
      <c r="D14" s="8">
        <v>26.0</v>
      </c>
      <c r="E14" s="5" t="s">
        <v>805</v>
      </c>
      <c r="F14" s="1" t="s">
        <v>824</v>
      </c>
      <c r="G14" s="5" t="s">
        <v>807</v>
      </c>
      <c r="H14" s="1" t="s">
        <v>847</v>
      </c>
      <c r="I14" s="1" t="s">
        <v>901</v>
      </c>
      <c r="J14" s="1" t="s">
        <v>826</v>
      </c>
      <c r="K14" s="1" t="s">
        <v>822</v>
      </c>
      <c r="L14" s="8">
        <v>1.0</v>
      </c>
      <c r="M14" s="8">
        <v>1.0</v>
      </c>
    </row>
    <row r="15">
      <c r="A15" s="8">
        <v>299.0</v>
      </c>
      <c r="B15" s="7">
        <v>45869.15138888889</v>
      </c>
      <c r="C15" s="5" t="s">
        <v>595</v>
      </c>
      <c r="D15" s="8">
        <v>38.0</v>
      </c>
      <c r="E15" s="5" t="s">
        <v>819</v>
      </c>
      <c r="F15" s="1" t="s">
        <v>849</v>
      </c>
      <c r="G15" s="5" t="s">
        <v>807</v>
      </c>
      <c r="H15" s="1" t="s">
        <v>850</v>
      </c>
      <c r="I15" s="1" t="s">
        <v>902</v>
      </c>
      <c r="J15" s="1" t="s">
        <v>822</v>
      </c>
      <c r="K15" s="1" t="s">
        <v>822</v>
      </c>
      <c r="L15" s="8">
        <v>4.0</v>
      </c>
      <c r="M15" s="8">
        <v>2.0</v>
      </c>
    </row>
    <row r="16">
      <c r="A16" s="8">
        <v>114.0</v>
      </c>
      <c r="B16" s="7">
        <v>45869.083333333336</v>
      </c>
      <c r="C16" s="5" t="s">
        <v>582</v>
      </c>
      <c r="D16" s="8">
        <v>23.0</v>
      </c>
      <c r="E16" s="5" t="s">
        <v>805</v>
      </c>
      <c r="F16" s="1" t="s">
        <v>824</v>
      </c>
      <c r="G16" s="5" t="s">
        <v>807</v>
      </c>
      <c r="H16" s="1" t="s">
        <v>825</v>
      </c>
      <c r="I16" s="1" t="s">
        <v>901</v>
      </c>
      <c r="J16" s="1" t="s">
        <v>813</v>
      </c>
      <c r="K16" s="1" t="s">
        <v>813</v>
      </c>
      <c r="L16" s="8">
        <v>1.0</v>
      </c>
      <c r="M16" s="8">
        <v>1.0</v>
      </c>
    </row>
    <row r="17">
      <c r="A17" s="8">
        <v>203.0</v>
      </c>
      <c r="B17" s="7">
        <v>45869.07847222222</v>
      </c>
      <c r="C17" s="5" t="s">
        <v>573</v>
      </c>
      <c r="D17" s="8">
        <v>22.0</v>
      </c>
      <c r="E17" s="5" t="s">
        <v>805</v>
      </c>
      <c r="F17" s="1" t="s">
        <v>824</v>
      </c>
      <c r="G17" s="5" t="s">
        <v>807</v>
      </c>
      <c r="H17" s="1" t="s">
        <v>812</v>
      </c>
      <c r="I17" s="1" t="s">
        <v>901</v>
      </c>
      <c r="J17" s="1" t="s">
        <v>838</v>
      </c>
      <c r="K17" s="1" t="s">
        <v>813</v>
      </c>
      <c r="L17" s="8">
        <v>1.0</v>
      </c>
      <c r="M17" s="8">
        <v>1.0</v>
      </c>
    </row>
    <row r="18">
      <c r="A18" s="8">
        <v>90.0</v>
      </c>
      <c r="B18" s="7">
        <v>45869.00902777778</v>
      </c>
      <c r="C18" s="5" t="s">
        <v>531</v>
      </c>
      <c r="D18" s="8">
        <v>26.0</v>
      </c>
      <c r="E18" s="5" t="s">
        <v>805</v>
      </c>
      <c r="F18" s="1" t="s">
        <v>824</v>
      </c>
      <c r="G18" s="5" t="s">
        <v>807</v>
      </c>
      <c r="H18" s="1" t="s">
        <v>812</v>
      </c>
      <c r="I18" s="1" t="s">
        <v>901</v>
      </c>
      <c r="J18" s="1" t="s">
        <v>854</v>
      </c>
      <c r="K18" s="1" t="s">
        <v>822</v>
      </c>
      <c r="L18" s="8">
        <v>1.0</v>
      </c>
      <c r="M18" s="8">
        <v>3.0</v>
      </c>
    </row>
    <row r="19">
      <c r="A19" s="8">
        <v>340.0</v>
      </c>
      <c r="B19" s="7">
        <v>45868.274305555555</v>
      </c>
      <c r="C19" s="5" t="s">
        <v>496</v>
      </c>
      <c r="D19" s="8">
        <v>27.0</v>
      </c>
      <c r="E19" s="5" t="s">
        <v>805</v>
      </c>
      <c r="F19" s="1" t="s">
        <v>824</v>
      </c>
      <c r="G19" s="5" t="s">
        <v>807</v>
      </c>
      <c r="H19" s="1" t="s">
        <v>856</v>
      </c>
      <c r="I19" s="1" t="s">
        <v>901</v>
      </c>
      <c r="J19" s="1" t="s">
        <v>822</v>
      </c>
      <c r="K19" s="1" t="s">
        <v>822</v>
      </c>
      <c r="L19" s="8">
        <v>1.0</v>
      </c>
      <c r="M19" s="8">
        <v>2.0</v>
      </c>
    </row>
    <row r="20">
      <c r="A20" s="8">
        <v>168.0</v>
      </c>
      <c r="B20" s="7">
        <v>45866.24444444444</v>
      </c>
      <c r="C20" s="5" t="s">
        <v>221</v>
      </c>
      <c r="D20" s="8">
        <v>26.0</v>
      </c>
      <c r="E20" s="5" t="s">
        <v>819</v>
      </c>
      <c r="F20" s="1" t="s">
        <v>895</v>
      </c>
      <c r="G20" s="5" t="s">
        <v>807</v>
      </c>
      <c r="H20" s="1" t="s">
        <v>821</v>
      </c>
      <c r="I20" s="1" t="s">
        <v>902</v>
      </c>
      <c r="J20" s="1" t="s">
        <v>859</v>
      </c>
      <c r="K20" s="1" t="s">
        <v>822</v>
      </c>
      <c r="L20" s="8">
        <v>1.0</v>
      </c>
      <c r="M20" s="8">
        <v>2.0</v>
      </c>
    </row>
    <row r="21">
      <c r="A21" s="8">
        <v>858.0</v>
      </c>
      <c r="B21" s="7">
        <v>45868.22152777778</v>
      </c>
      <c r="C21" s="5" t="s">
        <v>470</v>
      </c>
      <c r="D21" s="8">
        <v>29.0</v>
      </c>
      <c r="E21" s="5" t="s">
        <v>819</v>
      </c>
      <c r="F21" s="1" t="s">
        <v>830</v>
      </c>
      <c r="G21" s="5" t="s">
        <v>807</v>
      </c>
      <c r="H21" s="1" t="s">
        <v>862</v>
      </c>
      <c r="I21" s="1" t="s">
        <v>901</v>
      </c>
      <c r="J21" s="1" t="s">
        <v>863</v>
      </c>
      <c r="K21" s="1" t="s">
        <v>822</v>
      </c>
      <c r="L21" s="8">
        <v>2.0</v>
      </c>
      <c r="M21" s="8">
        <v>3.0</v>
      </c>
    </row>
    <row r="22">
      <c r="A22" s="8">
        <v>233.0</v>
      </c>
      <c r="B22" s="7">
        <v>45868.16736111111</v>
      </c>
      <c r="C22" s="5" t="s">
        <v>442</v>
      </c>
      <c r="D22" s="8">
        <v>29.0</v>
      </c>
      <c r="E22" s="5" t="s">
        <v>819</v>
      </c>
      <c r="F22" s="1" t="s">
        <v>830</v>
      </c>
      <c r="G22" s="5" t="s">
        <v>807</v>
      </c>
      <c r="H22" s="1" t="s">
        <v>865</v>
      </c>
      <c r="I22" s="1" t="s">
        <v>901</v>
      </c>
      <c r="J22" s="1" t="s">
        <v>826</v>
      </c>
      <c r="K22" s="1" t="s">
        <v>822</v>
      </c>
      <c r="L22" s="8">
        <v>1.0</v>
      </c>
      <c r="M22" s="8">
        <v>2.0</v>
      </c>
    </row>
    <row r="23">
      <c r="A23" s="8">
        <v>92.0</v>
      </c>
      <c r="B23" s="7">
        <v>45868.149305555555</v>
      </c>
      <c r="C23" s="5" t="s">
        <v>433</v>
      </c>
      <c r="D23" s="8">
        <v>27.0</v>
      </c>
      <c r="E23" s="5" t="s">
        <v>805</v>
      </c>
      <c r="F23" s="1" t="s">
        <v>849</v>
      </c>
      <c r="G23" s="5" t="s">
        <v>807</v>
      </c>
      <c r="H23" s="1" t="s">
        <v>867</v>
      </c>
      <c r="I23" s="1" t="s">
        <v>901</v>
      </c>
      <c r="J23" s="1" t="s">
        <v>826</v>
      </c>
      <c r="K23" s="1" t="s">
        <v>822</v>
      </c>
      <c r="L23" s="8">
        <v>3.0</v>
      </c>
      <c r="M23" s="8">
        <v>3.0</v>
      </c>
    </row>
    <row r="24">
      <c r="A24" s="8">
        <v>97.0</v>
      </c>
      <c r="B24" s="7">
        <v>45868.072222222225</v>
      </c>
      <c r="C24" s="5" t="s">
        <v>411</v>
      </c>
      <c r="D24" s="8">
        <v>30.0</v>
      </c>
      <c r="E24" s="5" t="s">
        <v>805</v>
      </c>
      <c r="F24" s="1" t="s">
        <v>824</v>
      </c>
      <c r="G24" s="5" t="s">
        <v>807</v>
      </c>
      <c r="H24" s="1" t="s">
        <v>825</v>
      </c>
      <c r="I24" s="1" t="s">
        <v>901</v>
      </c>
      <c r="J24" s="1" t="s">
        <v>869</v>
      </c>
      <c r="K24" s="1" t="s">
        <v>903</v>
      </c>
      <c r="L24" s="8">
        <v>2.0</v>
      </c>
      <c r="M24" s="8">
        <v>4.0</v>
      </c>
    </row>
    <row r="25">
      <c r="A25" s="8">
        <v>149.0</v>
      </c>
      <c r="B25" s="7">
        <v>45868.072916666664</v>
      </c>
      <c r="C25" s="5" t="s">
        <v>428</v>
      </c>
      <c r="D25" s="8">
        <v>44.0</v>
      </c>
      <c r="E25" s="5" t="s">
        <v>819</v>
      </c>
      <c r="F25" s="1" t="s">
        <v>830</v>
      </c>
      <c r="G25" s="5" t="s">
        <v>807</v>
      </c>
      <c r="H25" s="1" t="s">
        <v>872</v>
      </c>
      <c r="I25" s="1" t="s">
        <v>901</v>
      </c>
      <c r="J25" s="1" t="s">
        <v>873</v>
      </c>
      <c r="K25" s="1" t="s">
        <v>822</v>
      </c>
      <c r="L25" s="8">
        <v>5.0</v>
      </c>
      <c r="M25" s="8">
        <v>2.0</v>
      </c>
    </row>
    <row r="26">
      <c r="A26" s="8">
        <v>119.0</v>
      </c>
      <c r="B26" s="7">
        <v>45868.01736111111</v>
      </c>
      <c r="C26" s="5" t="s">
        <v>385</v>
      </c>
      <c r="D26" s="8">
        <v>29.0</v>
      </c>
      <c r="E26" s="5" t="s">
        <v>805</v>
      </c>
      <c r="F26" s="1" t="s">
        <v>896</v>
      </c>
      <c r="G26" s="5" t="s">
        <v>807</v>
      </c>
      <c r="H26" s="1" t="s">
        <v>876</v>
      </c>
      <c r="I26" s="1" t="s">
        <v>901</v>
      </c>
      <c r="J26" s="1" t="s">
        <v>813</v>
      </c>
      <c r="K26" s="1" t="s">
        <v>813</v>
      </c>
      <c r="L26" s="8">
        <v>2.0</v>
      </c>
      <c r="M26" s="8">
        <v>4.0</v>
      </c>
    </row>
    <row r="27">
      <c r="A27" s="8">
        <v>163.0</v>
      </c>
      <c r="B27" s="7">
        <v>45868.01527777778</v>
      </c>
      <c r="C27" s="5" t="s">
        <v>379</v>
      </c>
      <c r="D27" s="8">
        <v>40.0</v>
      </c>
      <c r="E27" s="5" t="s">
        <v>805</v>
      </c>
      <c r="F27" s="1" t="s">
        <v>878</v>
      </c>
      <c r="G27" s="5" t="s">
        <v>816</v>
      </c>
      <c r="H27" s="1" t="s">
        <v>879</v>
      </c>
      <c r="I27" s="1" t="s">
        <v>901</v>
      </c>
      <c r="J27" s="1" t="s">
        <v>859</v>
      </c>
      <c r="K27" s="1" t="s">
        <v>822</v>
      </c>
      <c r="L27" s="8">
        <v>6.0</v>
      </c>
      <c r="M27" s="8">
        <v>6.0</v>
      </c>
    </row>
    <row r="28">
      <c r="A28" s="8">
        <v>232.0</v>
      </c>
      <c r="B28" s="7">
        <v>45867.26944444444</v>
      </c>
      <c r="C28" s="5" t="s">
        <v>353</v>
      </c>
      <c r="D28" s="8">
        <v>26.0</v>
      </c>
      <c r="E28" s="5" t="s">
        <v>805</v>
      </c>
      <c r="F28" s="1" t="s">
        <v>897</v>
      </c>
      <c r="G28" s="5" t="s">
        <v>807</v>
      </c>
      <c r="H28" s="1" t="s">
        <v>882</v>
      </c>
      <c r="I28" s="1" t="s">
        <v>901</v>
      </c>
      <c r="J28" s="1" t="s">
        <v>863</v>
      </c>
      <c r="K28" s="1" t="s">
        <v>822</v>
      </c>
      <c r="L28" s="8">
        <v>5.0</v>
      </c>
      <c r="M28" s="8">
        <v>7.0</v>
      </c>
    </row>
    <row r="29">
      <c r="A29" s="8">
        <v>316.0</v>
      </c>
      <c r="B29" s="7">
        <v>45867.26875</v>
      </c>
      <c r="C29" s="5" t="s">
        <v>362</v>
      </c>
      <c r="D29" s="8">
        <v>29.0</v>
      </c>
      <c r="E29" s="5" t="s">
        <v>805</v>
      </c>
      <c r="F29" s="1" t="s">
        <v>878</v>
      </c>
      <c r="G29" s="5" t="s">
        <v>807</v>
      </c>
      <c r="H29" s="1" t="s">
        <v>884</v>
      </c>
      <c r="I29" s="1" t="s">
        <v>901</v>
      </c>
      <c r="J29" s="1" t="s">
        <v>822</v>
      </c>
      <c r="K29" s="1" t="s">
        <v>822</v>
      </c>
      <c r="L29" s="8">
        <v>2.0</v>
      </c>
      <c r="M29" s="8">
        <v>3.0</v>
      </c>
    </row>
    <row r="30">
      <c r="A30" s="8">
        <v>179.0</v>
      </c>
      <c r="B30" s="7">
        <v>45867.21805555555</v>
      </c>
      <c r="C30" s="5" t="s">
        <v>331</v>
      </c>
      <c r="D30" s="8">
        <v>26.0</v>
      </c>
      <c r="E30" s="5" t="s">
        <v>805</v>
      </c>
      <c r="F30" s="1" t="s">
        <v>898</v>
      </c>
      <c r="G30" s="5" t="s">
        <v>807</v>
      </c>
      <c r="H30" s="1" t="s">
        <v>825</v>
      </c>
      <c r="I30" s="1" t="s">
        <v>901</v>
      </c>
      <c r="J30" s="1" t="s">
        <v>826</v>
      </c>
      <c r="K30" s="1" t="s">
        <v>822</v>
      </c>
      <c r="L30" s="8">
        <v>4.0</v>
      </c>
      <c r="M30" s="8">
        <v>5.0</v>
      </c>
    </row>
    <row r="31">
      <c r="A31" s="8">
        <v>386.0</v>
      </c>
      <c r="B31" s="7">
        <v>45866.15347222222</v>
      </c>
      <c r="C31" s="5" t="s">
        <v>501</v>
      </c>
      <c r="D31" s="8">
        <v>24.0</v>
      </c>
      <c r="E31" s="5" t="s">
        <v>819</v>
      </c>
      <c r="F31" s="1" t="s">
        <v>824</v>
      </c>
      <c r="G31" s="5" t="s">
        <v>807</v>
      </c>
      <c r="H31" s="1" t="s">
        <v>892</v>
      </c>
      <c r="I31" s="1" t="s">
        <v>901</v>
      </c>
      <c r="J31" s="1" t="s">
        <v>893</v>
      </c>
      <c r="K31" s="1" t="s">
        <v>813</v>
      </c>
      <c r="L31" s="8">
        <v>2.0</v>
      </c>
      <c r="M31" s="8">
        <v>2.0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9" max="9" width="18.0"/>
    <col customWidth="1" min="10" max="10" width="28.75"/>
    <col customWidth="1" min="11" max="11" width="17.75"/>
  </cols>
  <sheetData>
    <row r="1">
      <c r="A1" s="18" t="s">
        <v>49</v>
      </c>
      <c r="B1" s="18" t="s">
        <v>51</v>
      </c>
      <c r="C1" s="19" t="s">
        <v>731</v>
      </c>
      <c r="D1" s="13" t="s">
        <v>904</v>
      </c>
      <c r="E1" s="13" t="s">
        <v>905</v>
      </c>
      <c r="F1" s="13" t="s">
        <v>906</v>
      </c>
      <c r="G1" s="13" t="s">
        <v>907</v>
      </c>
      <c r="H1" s="13" t="s">
        <v>908</v>
      </c>
      <c r="I1" s="20" t="s">
        <v>899</v>
      </c>
      <c r="J1" s="13" t="s">
        <v>909</v>
      </c>
      <c r="K1" s="13" t="s">
        <v>910</v>
      </c>
      <c r="L1" s="13" t="s">
        <v>911</v>
      </c>
      <c r="M1" s="13" t="s">
        <v>912</v>
      </c>
    </row>
    <row r="2">
      <c r="A2" s="21">
        <v>157.0</v>
      </c>
      <c r="B2" s="22">
        <v>45867.20277777778</v>
      </c>
      <c r="C2" s="18" t="s">
        <v>318</v>
      </c>
      <c r="D2" s="21">
        <v>29.0</v>
      </c>
      <c r="E2" s="18" t="s">
        <v>805</v>
      </c>
      <c r="F2" s="13" t="s">
        <v>806</v>
      </c>
      <c r="G2" s="18" t="s">
        <v>807</v>
      </c>
      <c r="H2" s="13" t="s">
        <v>808</v>
      </c>
      <c r="I2" s="13" t="s">
        <v>901</v>
      </c>
      <c r="J2" s="13" t="s">
        <v>809</v>
      </c>
      <c r="K2" s="13" t="s">
        <v>813</v>
      </c>
      <c r="L2" s="21">
        <v>1.0</v>
      </c>
      <c r="M2" s="21">
        <v>2.0</v>
      </c>
    </row>
    <row r="3">
      <c r="A3" s="21">
        <v>2670.0</v>
      </c>
      <c r="B3" s="22">
        <v>45867.08541666667</v>
      </c>
      <c r="C3" s="18" t="s">
        <v>289</v>
      </c>
      <c r="D3" s="21">
        <v>23.0</v>
      </c>
      <c r="E3" s="18" t="s">
        <v>805</v>
      </c>
      <c r="F3" s="13" t="s">
        <v>811</v>
      </c>
      <c r="G3" s="18" t="s">
        <v>807</v>
      </c>
      <c r="H3" s="13" t="s">
        <v>812</v>
      </c>
      <c r="I3" s="13" t="s">
        <v>901</v>
      </c>
      <c r="J3" s="13" t="s">
        <v>813</v>
      </c>
      <c r="K3" s="13" t="s">
        <v>813</v>
      </c>
      <c r="L3" s="21">
        <v>1.0</v>
      </c>
      <c r="M3" s="21">
        <v>7.0</v>
      </c>
    </row>
    <row r="4">
      <c r="A4" s="21">
        <v>89.0</v>
      </c>
      <c r="B4" s="22">
        <v>45867.08125</v>
      </c>
      <c r="C4" s="18" t="s">
        <v>284</v>
      </c>
      <c r="D4" s="21">
        <v>24.0</v>
      </c>
      <c r="E4" s="18" t="s">
        <v>805</v>
      </c>
      <c r="F4" s="13" t="s">
        <v>815</v>
      </c>
      <c r="G4" s="18" t="s">
        <v>816</v>
      </c>
      <c r="H4" s="13" t="s">
        <v>817</v>
      </c>
      <c r="I4" s="13" t="s">
        <v>901</v>
      </c>
      <c r="J4" s="13" t="s">
        <v>813</v>
      </c>
      <c r="K4" s="13" t="s">
        <v>813</v>
      </c>
      <c r="L4" s="21">
        <v>5.0</v>
      </c>
      <c r="M4" s="21">
        <v>5.0</v>
      </c>
    </row>
    <row r="5">
      <c r="A5" s="21">
        <v>61319.0</v>
      </c>
      <c r="B5" s="22">
        <v>45867.010416666664</v>
      </c>
      <c r="C5" s="18" t="s">
        <v>258</v>
      </c>
      <c r="D5" s="21">
        <v>40.0</v>
      </c>
      <c r="E5" s="18" t="s">
        <v>819</v>
      </c>
      <c r="F5" s="13" t="s">
        <v>815</v>
      </c>
      <c r="G5" s="18" t="s">
        <v>816</v>
      </c>
      <c r="H5" s="13" t="s">
        <v>821</v>
      </c>
      <c r="I5" s="13" t="s">
        <v>902</v>
      </c>
      <c r="J5" s="13" t="s">
        <v>822</v>
      </c>
      <c r="K5" s="13" t="s">
        <v>822</v>
      </c>
      <c r="L5" s="21">
        <v>5.0</v>
      </c>
      <c r="M5" s="21">
        <v>5.0</v>
      </c>
    </row>
    <row r="6">
      <c r="A6" s="21">
        <v>85.0</v>
      </c>
      <c r="B6" s="22">
        <v>45869.01527777778</v>
      </c>
      <c r="C6" s="18" t="s">
        <v>536</v>
      </c>
      <c r="D6" s="21">
        <v>27.0</v>
      </c>
      <c r="E6" s="18" t="s">
        <v>805</v>
      </c>
      <c r="F6" s="13" t="s">
        <v>824</v>
      </c>
      <c r="G6" s="18" t="s">
        <v>807</v>
      </c>
      <c r="H6" s="13" t="s">
        <v>825</v>
      </c>
      <c r="I6" s="13" t="s">
        <v>901</v>
      </c>
      <c r="J6" s="13" t="s">
        <v>826</v>
      </c>
      <c r="K6" s="13" t="s">
        <v>822</v>
      </c>
      <c r="L6" s="21">
        <v>1.0</v>
      </c>
      <c r="M6" s="21">
        <v>1.0</v>
      </c>
    </row>
    <row r="7">
      <c r="A7" s="21">
        <v>105.0</v>
      </c>
      <c r="B7" s="22">
        <v>45866.29305555556</v>
      </c>
      <c r="C7" s="18" t="s">
        <v>239</v>
      </c>
      <c r="D7" s="21">
        <v>34.0</v>
      </c>
      <c r="E7" s="18" t="s">
        <v>819</v>
      </c>
      <c r="F7" s="13" t="s">
        <v>828</v>
      </c>
      <c r="G7" s="18" t="s">
        <v>807</v>
      </c>
      <c r="H7" s="13" t="s">
        <v>821</v>
      </c>
      <c r="I7" s="13" t="s">
        <v>902</v>
      </c>
      <c r="J7" s="13" t="s">
        <v>822</v>
      </c>
      <c r="K7" s="13" t="s">
        <v>822</v>
      </c>
      <c r="L7" s="21">
        <v>4.0</v>
      </c>
      <c r="M7" s="21">
        <v>4.0</v>
      </c>
    </row>
    <row r="8">
      <c r="A8" s="21">
        <v>81.0</v>
      </c>
      <c r="B8" s="22">
        <v>45869.2625</v>
      </c>
      <c r="C8" s="18" t="s">
        <v>679</v>
      </c>
      <c r="D8" s="21">
        <v>25.0</v>
      </c>
      <c r="E8" s="18" t="s">
        <v>819</v>
      </c>
      <c r="F8" s="13" t="s">
        <v>830</v>
      </c>
      <c r="G8" s="18" t="s">
        <v>807</v>
      </c>
      <c r="H8" s="13" t="s">
        <v>831</v>
      </c>
      <c r="I8" s="13" t="s">
        <v>902</v>
      </c>
      <c r="J8" s="13" t="s">
        <v>813</v>
      </c>
      <c r="K8" s="13" t="s">
        <v>813</v>
      </c>
      <c r="L8" s="21">
        <v>5.0</v>
      </c>
      <c r="M8" s="21">
        <v>6.0</v>
      </c>
    </row>
    <row r="9">
      <c r="A9" s="21">
        <v>125.0</v>
      </c>
      <c r="B9" s="22">
        <v>45869.24166666667</v>
      </c>
      <c r="C9" s="18" t="s">
        <v>669</v>
      </c>
      <c r="D9" s="21">
        <v>31.0</v>
      </c>
      <c r="E9" s="18" t="s">
        <v>805</v>
      </c>
      <c r="F9" s="13" t="s">
        <v>833</v>
      </c>
      <c r="G9" s="18" t="s">
        <v>807</v>
      </c>
      <c r="H9" s="13" t="s">
        <v>817</v>
      </c>
      <c r="I9" s="13" t="s">
        <v>901</v>
      </c>
      <c r="J9" s="13" t="s">
        <v>834</v>
      </c>
      <c r="K9" s="13" t="s">
        <v>813</v>
      </c>
      <c r="L9" s="21">
        <v>1.0</v>
      </c>
      <c r="M9" s="21">
        <v>1.0</v>
      </c>
    </row>
    <row r="10">
      <c r="A10" s="21">
        <v>258.0</v>
      </c>
      <c r="B10" s="22">
        <v>45866.29305555556</v>
      </c>
      <c r="C10" s="18" t="s">
        <v>244</v>
      </c>
      <c r="D10" s="21">
        <v>25.0</v>
      </c>
      <c r="E10" s="18" t="s">
        <v>819</v>
      </c>
      <c r="F10" s="13" t="s">
        <v>824</v>
      </c>
      <c r="G10" s="18" t="s">
        <v>816</v>
      </c>
      <c r="H10" s="13" t="s">
        <v>836</v>
      </c>
      <c r="I10" s="13" t="s">
        <v>901</v>
      </c>
      <c r="J10" s="13" t="s">
        <v>813</v>
      </c>
      <c r="K10" s="13" t="s">
        <v>813</v>
      </c>
      <c r="L10" s="21">
        <v>6.0</v>
      </c>
      <c r="M10" s="21">
        <v>2.0</v>
      </c>
    </row>
    <row r="11">
      <c r="A11" s="21">
        <v>102.0</v>
      </c>
      <c r="B11" s="22">
        <v>45869.23472222222</v>
      </c>
      <c r="C11" s="18" t="s">
        <v>674</v>
      </c>
      <c r="D11" s="21">
        <v>25.0</v>
      </c>
      <c r="E11" s="18" t="s">
        <v>805</v>
      </c>
      <c r="F11" s="13" t="s">
        <v>824</v>
      </c>
      <c r="G11" s="18" t="s">
        <v>807</v>
      </c>
      <c r="H11" s="13" t="s">
        <v>817</v>
      </c>
      <c r="I11" s="13" t="s">
        <v>901</v>
      </c>
      <c r="J11" s="13" t="s">
        <v>838</v>
      </c>
      <c r="K11" s="13" t="s">
        <v>813</v>
      </c>
      <c r="L11" s="21">
        <v>6.0</v>
      </c>
      <c r="M11" s="21">
        <v>4.0</v>
      </c>
    </row>
    <row r="12">
      <c r="A12" s="21">
        <v>65.0</v>
      </c>
      <c r="B12" s="22">
        <v>45869.209027777775</v>
      </c>
      <c r="C12" s="18" t="s">
        <v>655</v>
      </c>
      <c r="D12" s="21">
        <v>34.0</v>
      </c>
      <c r="E12" s="18" t="s">
        <v>819</v>
      </c>
      <c r="F12" s="13" t="s">
        <v>830</v>
      </c>
      <c r="G12" s="18" t="s">
        <v>807</v>
      </c>
      <c r="H12" s="13" t="s">
        <v>841</v>
      </c>
      <c r="I12" s="13" t="s">
        <v>901</v>
      </c>
      <c r="J12" s="13" t="s">
        <v>842</v>
      </c>
      <c r="K12" s="13" t="s">
        <v>903</v>
      </c>
      <c r="L12" s="21">
        <v>7.0</v>
      </c>
      <c r="M12" s="21">
        <v>5.0</v>
      </c>
    </row>
    <row r="13">
      <c r="A13" s="21">
        <v>143.0</v>
      </c>
      <c r="B13" s="22">
        <v>45869.17291666667</v>
      </c>
      <c r="C13" s="18" t="s">
        <v>607</v>
      </c>
      <c r="D13" s="21">
        <v>25.0</v>
      </c>
      <c r="E13" s="18" t="s">
        <v>805</v>
      </c>
      <c r="F13" s="13" t="s">
        <v>894</v>
      </c>
      <c r="G13" s="18" t="s">
        <v>807</v>
      </c>
      <c r="H13" s="13" t="s">
        <v>845</v>
      </c>
      <c r="I13" s="13" t="s">
        <v>901</v>
      </c>
      <c r="J13" s="13" t="s">
        <v>838</v>
      </c>
      <c r="K13" s="13" t="s">
        <v>813</v>
      </c>
      <c r="L13" s="21">
        <v>1.0</v>
      </c>
      <c r="M13" s="21">
        <v>2.0</v>
      </c>
    </row>
    <row r="14">
      <c r="A14" s="21">
        <v>106.0</v>
      </c>
      <c r="B14" s="22">
        <v>45869.18541666667</v>
      </c>
      <c r="C14" s="18" t="s">
        <v>602</v>
      </c>
      <c r="D14" s="21">
        <v>26.0</v>
      </c>
      <c r="E14" s="18" t="s">
        <v>805</v>
      </c>
      <c r="F14" s="13" t="s">
        <v>824</v>
      </c>
      <c r="G14" s="18" t="s">
        <v>807</v>
      </c>
      <c r="H14" s="13" t="s">
        <v>847</v>
      </c>
      <c r="I14" s="13" t="s">
        <v>901</v>
      </c>
      <c r="J14" s="13" t="s">
        <v>826</v>
      </c>
      <c r="K14" s="13" t="s">
        <v>822</v>
      </c>
      <c r="L14" s="21">
        <v>1.0</v>
      </c>
      <c r="M14" s="21">
        <v>1.0</v>
      </c>
    </row>
    <row r="15">
      <c r="A15" s="21">
        <v>299.0</v>
      </c>
      <c r="B15" s="22">
        <v>45869.15138888889</v>
      </c>
      <c r="C15" s="18" t="s">
        <v>595</v>
      </c>
      <c r="D15" s="21">
        <v>38.0</v>
      </c>
      <c r="E15" s="18" t="s">
        <v>819</v>
      </c>
      <c r="F15" s="13" t="s">
        <v>849</v>
      </c>
      <c r="G15" s="18" t="s">
        <v>807</v>
      </c>
      <c r="H15" s="13" t="s">
        <v>850</v>
      </c>
      <c r="I15" s="13" t="s">
        <v>902</v>
      </c>
      <c r="J15" s="13" t="s">
        <v>822</v>
      </c>
      <c r="K15" s="13" t="s">
        <v>822</v>
      </c>
      <c r="L15" s="21">
        <v>4.0</v>
      </c>
      <c r="M15" s="21">
        <v>2.0</v>
      </c>
    </row>
    <row r="16">
      <c r="A16" s="21">
        <v>114.0</v>
      </c>
      <c r="B16" s="22">
        <v>45869.083333333336</v>
      </c>
      <c r="C16" s="18" t="s">
        <v>582</v>
      </c>
      <c r="D16" s="21">
        <v>23.0</v>
      </c>
      <c r="E16" s="18" t="s">
        <v>805</v>
      </c>
      <c r="F16" s="13" t="s">
        <v>824</v>
      </c>
      <c r="G16" s="18" t="s">
        <v>807</v>
      </c>
      <c r="H16" s="13" t="s">
        <v>825</v>
      </c>
      <c r="I16" s="13" t="s">
        <v>901</v>
      </c>
      <c r="J16" s="13" t="s">
        <v>813</v>
      </c>
      <c r="K16" s="13" t="s">
        <v>813</v>
      </c>
      <c r="L16" s="21">
        <v>1.0</v>
      </c>
      <c r="M16" s="21">
        <v>1.0</v>
      </c>
    </row>
    <row r="17">
      <c r="A17" s="21">
        <v>203.0</v>
      </c>
      <c r="B17" s="22">
        <v>45869.07847222222</v>
      </c>
      <c r="C17" s="18" t="s">
        <v>573</v>
      </c>
      <c r="D17" s="21">
        <v>22.0</v>
      </c>
      <c r="E17" s="18" t="s">
        <v>805</v>
      </c>
      <c r="F17" s="13" t="s">
        <v>824</v>
      </c>
      <c r="G17" s="18" t="s">
        <v>807</v>
      </c>
      <c r="H17" s="13" t="s">
        <v>812</v>
      </c>
      <c r="I17" s="13" t="s">
        <v>901</v>
      </c>
      <c r="J17" s="13" t="s">
        <v>838</v>
      </c>
      <c r="K17" s="13" t="s">
        <v>813</v>
      </c>
      <c r="L17" s="21">
        <v>1.0</v>
      </c>
      <c r="M17" s="21">
        <v>1.0</v>
      </c>
    </row>
    <row r="18">
      <c r="A18" s="21">
        <v>90.0</v>
      </c>
      <c r="B18" s="22">
        <v>45869.00902777778</v>
      </c>
      <c r="C18" s="18" t="s">
        <v>531</v>
      </c>
      <c r="D18" s="21">
        <v>26.0</v>
      </c>
      <c r="E18" s="18" t="s">
        <v>805</v>
      </c>
      <c r="F18" s="13" t="s">
        <v>824</v>
      </c>
      <c r="G18" s="18" t="s">
        <v>807</v>
      </c>
      <c r="H18" s="13" t="s">
        <v>812</v>
      </c>
      <c r="I18" s="13" t="s">
        <v>901</v>
      </c>
      <c r="J18" s="13" t="s">
        <v>854</v>
      </c>
      <c r="K18" s="13" t="s">
        <v>822</v>
      </c>
      <c r="L18" s="21">
        <v>1.0</v>
      </c>
      <c r="M18" s="21">
        <v>3.0</v>
      </c>
    </row>
    <row r="19">
      <c r="A19" s="21">
        <v>340.0</v>
      </c>
      <c r="B19" s="22">
        <v>45868.274305555555</v>
      </c>
      <c r="C19" s="18" t="s">
        <v>496</v>
      </c>
      <c r="D19" s="21">
        <v>27.0</v>
      </c>
      <c r="E19" s="18" t="s">
        <v>805</v>
      </c>
      <c r="F19" s="13" t="s">
        <v>824</v>
      </c>
      <c r="G19" s="18" t="s">
        <v>807</v>
      </c>
      <c r="H19" s="13" t="s">
        <v>856</v>
      </c>
      <c r="I19" s="13" t="s">
        <v>901</v>
      </c>
      <c r="J19" s="13" t="s">
        <v>822</v>
      </c>
      <c r="K19" s="13" t="s">
        <v>822</v>
      </c>
      <c r="L19" s="21">
        <v>1.0</v>
      </c>
      <c r="M19" s="21">
        <v>2.0</v>
      </c>
    </row>
    <row r="20">
      <c r="A20" s="21">
        <v>168.0</v>
      </c>
      <c r="B20" s="22">
        <v>45866.24444444444</v>
      </c>
      <c r="C20" s="18" t="s">
        <v>221</v>
      </c>
      <c r="D20" s="21">
        <v>26.0</v>
      </c>
      <c r="E20" s="18" t="s">
        <v>819</v>
      </c>
      <c r="F20" s="13" t="s">
        <v>895</v>
      </c>
      <c r="G20" s="18" t="s">
        <v>807</v>
      </c>
      <c r="H20" s="13" t="s">
        <v>821</v>
      </c>
      <c r="I20" s="13" t="s">
        <v>902</v>
      </c>
      <c r="J20" s="13" t="s">
        <v>859</v>
      </c>
      <c r="K20" s="13" t="s">
        <v>822</v>
      </c>
      <c r="L20" s="21">
        <v>1.0</v>
      </c>
      <c r="M20" s="21">
        <v>2.0</v>
      </c>
    </row>
    <row r="21">
      <c r="A21" s="21">
        <v>858.0</v>
      </c>
      <c r="B21" s="22">
        <v>45868.22152777778</v>
      </c>
      <c r="C21" s="18" t="s">
        <v>470</v>
      </c>
      <c r="D21" s="21">
        <v>29.0</v>
      </c>
      <c r="E21" s="18" t="s">
        <v>819</v>
      </c>
      <c r="F21" s="13" t="s">
        <v>830</v>
      </c>
      <c r="G21" s="18" t="s">
        <v>807</v>
      </c>
      <c r="H21" s="13" t="s">
        <v>862</v>
      </c>
      <c r="I21" s="13" t="s">
        <v>901</v>
      </c>
      <c r="J21" s="13" t="s">
        <v>863</v>
      </c>
      <c r="K21" s="13" t="s">
        <v>822</v>
      </c>
      <c r="L21" s="21">
        <v>2.0</v>
      </c>
      <c r="M21" s="21">
        <v>3.0</v>
      </c>
    </row>
    <row r="22">
      <c r="A22" s="21">
        <v>233.0</v>
      </c>
      <c r="B22" s="22">
        <v>45868.16736111111</v>
      </c>
      <c r="C22" s="18" t="s">
        <v>442</v>
      </c>
      <c r="D22" s="21">
        <v>29.0</v>
      </c>
      <c r="E22" s="18" t="s">
        <v>819</v>
      </c>
      <c r="F22" s="13" t="s">
        <v>830</v>
      </c>
      <c r="G22" s="18" t="s">
        <v>807</v>
      </c>
      <c r="H22" s="13" t="s">
        <v>865</v>
      </c>
      <c r="I22" s="13" t="s">
        <v>901</v>
      </c>
      <c r="J22" s="13" t="s">
        <v>826</v>
      </c>
      <c r="K22" s="13" t="s">
        <v>822</v>
      </c>
      <c r="L22" s="21">
        <v>1.0</v>
      </c>
      <c r="M22" s="21">
        <v>2.0</v>
      </c>
    </row>
    <row r="23">
      <c r="A23" s="21">
        <v>92.0</v>
      </c>
      <c r="B23" s="22">
        <v>45868.149305555555</v>
      </c>
      <c r="C23" s="18" t="s">
        <v>433</v>
      </c>
      <c r="D23" s="21">
        <v>27.0</v>
      </c>
      <c r="E23" s="18" t="s">
        <v>805</v>
      </c>
      <c r="F23" s="13" t="s">
        <v>849</v>
      </c>
      <c r="G23" s="18" t="s">
        <v>807</v>
      </c>
      <c r="H23" s="13" t="s">
        <v>867</v>
      </c>
      <c r="I23" s="13" t="s">
        <v>901</v>
      </c>
      <c r="J23" s="13" t="s">
        <v>826</v>
      </c>
      <c r="K23" s="13" t="s">
        <v>822</v>
      </c>
      <c r="L23" s="21">
        <v>3.0</v>
      </c>
      <c r="M23" s="21">
        <v>3.0</v>
      </c>
    </row>
    <row r="24">
      <c r="A24" s="21">
        <v>97.0</v>
      </c>
      <c r="B24" s="22">
        <v>45868.072222222225</v>
      </c>
      <c r="C24" s="18" t="s">
        <v>411</v>
      </c>
      <c r="D24" s="21">
        <v>30.0</v>
      </c>
      <c r="E24" s="18" t="s">
        <v>805</v>
      </c>
      <c r="F24" s="13" t="s">
        <v>824</v>
      </c>
      <c r="G24" s="18" t="s">
        <v>807</v>
      </c>
      <c r="H24" s="13" t="s">
        <v>825</v>
      </c>
      <c r="I24" s="13" t="s">
        <v>901</v>
      </c>
      <c r="J24" s="13" t="s">
        <v>869</v>
      </c>
      <c r="K24" s="13" t="s">
        <v>903</v>
      </c>
      <c r="L24" s="21">
        <v>2.0</v>
      </c>
      <c r="M24" s="21">
        <v>4.0</v>
      </c>
    </row>
    <row r="25">
      <c r="A25" s="21">
        <v>149.0</v>
      </c>
      <c r="B25" s="22">
        <v>45868.072916666664</v>
      </c>
      <c r="C25" s="18" t="s">
        <v>428</v>
      </c>
      <c r="D25" s="21">
        <v>44.0</v>
      </c>
      <c r="E25" s="18" t="s">
        <v>819</v>
      </c>
      <c r="F25" s="13" t="s">
        <v>830</v>
      </c>
      <c r="G25" s="18" t="s">
        <v>807</v>
      </c>
      <c r="H25" s="13" t="s">
        <v>872</v>
      </c>
      <c r="I25" s="13" t="s">
        <v>901</v>
      </c>
      <c r="J25" s="13" t="s">
        <v>873</v>
      </c>
      <c r="K25" s="13" t="s">
        <v>822</v>
      </c>
      <c r="L25" s="21">
        <v>5.0</v>
      </c>
      <c r="M25" s="21">
        <v>2.0</v>
      </c>
    </row>
    <row r="26">
      <c r="A26" s="21">
        <v>119.0</v>
      </c>
      <c r="B26" s="22">
        <v>45868.01736111111</v>
      </c>
      <c r="C26" s="18" t="s">
        <v>385</v>
      </c>
      <c r="D26" s="21">
        <v>29.0</v>
      </c>
      <c r="E26" s="18" t="s">
        <v>805</v>
      </c>
      <c r="F26" s="13" t="s">
        <v>896</v>
      </c>
      <c r="G26" s="18" t="s">
        <v>807</v>
      </c>
      <c r="H26" s="13" t="s">
        <v>876</v>
      </c>
      <c r="I26" s="13" t="s">
        <v>901</v>
      </c>
      <c r="J26" s="13" t="s">
        <v>813</v>
      </c>
      <c r="K26" s="13" t="s">
        <v>813</v>
      </c>
      <c r="L26" s="21">
        <v>2.0</v>
      </c>
      <c r="M26" s="21">
        <v>4.0</v>
      </c>
    </row>
    <row r="27">
      <c r="A27" s="21">
        <v>163.0</v>
      </c>
      <c r="B27" s="22">
        <v>45868.01527777778</v>
      </c>
      <c r="C27" s="18" t="s">
        <v>379</v>
      </c>
      <c r="D27" s="21">
        <v>40.0</v>
      </c>
      <c r="E27" s="18" t="s">
        <v>805</v>
      </c>
      <c r="F27" s="13" t="s">
        <v>878</v>
      </c>
      <c r="G27" s="18" t="s">
        <v>816</v>
      </c>
      <c r="H27" s="13" t="s">
        <v>879</v>
      </c>
      <c r="I27" s="13" t="s">
        <v>901</v>
      </c>
      <c r="J27" s="13" t="s">
        <v>859</v>
      </c>
      <c r="K27" s="13" t="s">
        <v>822</v>
      </c>
      <c r="L27" s="21">
        <v>6.0</v>
      </c>
      <c r="M27" s="21">
        <v>6.0</v>
      </c>
    </row>
    <row r="28">
      <c r="A28" s="21">
        <v>232.0</v>
      </c>
      <c r="B28" s="22">
        <v>45867.26944444444</v>
      </c>
      <c r="C28" s="18" t="s">
        <v>353</v>
      </c>
      <c r="D28" s="21">
        <v>26.0</v>
      </c>
      <c r="E28" s="18" t="s">
        <v>805</v>
      </c>
      <c r="F28" s="13" t="s">
        <v>897</v>
      </c>
      <c r="G28" s="18" t="s">
        <v>807</v>
      </c>
      <c r="H28" s="13" t="s">
        <v>882</v>
      </c>
      <c r="I28" s="13" t="s">
        <v>901</v>
      </c>
      <c r="J28" s="13" t="s">
        <v>863</v>
      </c>
      <c r="K28" s="13" t="s">
        <v>822</v>
      </c>
      <c r="L28" s="21">
        <v>5.0</v>
      </c>
      <c r="M28" s="21">
        <v>7.0</v>
      </c>
    </row>
    <row r="29">
      <c r="A29" s="21">
        <v>316.0</v>
      </c>
      <c r="B29" s="22">
        <v>45867.26875</v>
      </c>
      <c r="C29" s="18" t="s">
        <v>362</v>
      </c>
      <c r="D29" s="21">
        <v>29.0</v>
      </c>
      <c r="E29" s="18" t="s">
        <v>805</v>
      </c>
      <c r="F29" s="13" t="s">
        <v>878</v>
      </c>
      <c r="G29" s="18" t="s">
        <v>807</v>
      </c>
      <c r="H29" s="13" t="s">
        <v>884</v>
      </c>
      <c r="I29" s="13" t="s">
        <v>901</v>
      </c>
      <c r="J29" s="13" t="s">
        <v>822</v>
      </c>
      <c r="K29" s="13" t="s">
        <v>822</v>
      </c>
      <c r="L29" s="21">
        <v>2.0</v>
      </c>
      <c r="M29" s="21">
        <v>3.0</v>
      </c>
    </row>
    <row r="30">
      <c r="A30" s="21">
        <v>179.0</v>
      </c>
      <c r="B30" s="22">
        <v>45867.21805555555</v>
      </c>
      <c r="C30" s="18" t="s">
        <v>331</v>
      </c>
      <c r="D30" s="21">
        <v>26.0</v>
      </c>
      <c r="E30" s="18" t="s">
        <v>805</v>
      </c>
      <c r="F30" s="13" t="s">
        <v>898</v>
      </c>
      <c r="G30" s="18" t="s">
        <v>807</v>
      </c>
      <c r="H30" s="13" t="s">
        <v>825</v>
      </c>
      <c r="I30" s="13" t="s">
        <v>901</v>
      </c>
      <c r="J30" s="13" t="s">
        <v>826</v>
      </c>
      <c r="K30" s="13" t="s">
        <v>822</v>
      </c>
      <c r="L30" s="21">
        <v>4.0</v>
      </c>
      <c r="M30" s="21">
        <v>5.0</v>
      </c>
    </row>
    <row r="31">
      <c r="A31" s="21">
        <v>386.0</v>
      </c>
      <c r="B31" s="22">
        <v>45866.15347222222</v>
      </c>
      <c r="C31" s="18" t="s">
        <v>501</v>
      </c>
      <c r="D31" s="21">
        <v>24.0</v>
      </c>
      <c r="E31" s="18" t="s">
        <v>819</v>
      </c>
      <c r="F31" s="13" t="s">
        <v>824</v>
      </c>
      <c r="G31" s="18" t="s">
        <v>807</v>
      </c>
      <c r="H31" s="13" t="s">
        <v>892</v>
      </c>
      <c r="I31" s="13" t="s">
        <v>901</v>
      </c>
      <c r="J31" s="13" t="s">
        <v>893</v>
      </c>
      <c r="K31" s="13" t="s">
        <v>813</v>
      </c>
      <c r="L31" s="21">
        <v>2.0</v>
      </c>
      <c r="M31" s="21">
        <v>2.0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63"/>
    <col customWidth="1" min="2" max="2" width="44.5"/>
    <col customWidth="1" min="3" max="3" width="37.5"/>
    <col customWidth="1" min="4" max="4" width="15.0"/>
    <col customWidth="1" min="16" max="16" width="21.5"/>
  </cols>
  <sheetData>
    <row r="1">
      <c r="A1" s="23" t="s">
        <v>913</v>
      </c>
      <c r="B1" s="23" t="s">
        <v>914</v>
      </c>
      <c r="C1" s="23" t="s">
        <v>915</v>
      </c>
      <c r="D1" s="23" t="s">
        <v>916</v>
      </c>
      <c r="E1" s="23" t="s">
        <v>917</v>
      </c>
      <c r="F1" s="23" t="s">
        <v>918</v>
      </c>
      <c r="G1" s="23" t="s">
        <v>919</v>
      </c>
      <c r="H1" s="23" t="s">
        <v>920</v>
      </c>
      <c r="I1" s="24" t="s">
        <v>921</v>
      </c>
      <c r="J1" s="24" t="s">
        <v>922</v>
      </c>
      <c r="K1" s="24" t="s">
        <v>923</v>
      </c>
      <c r="L1" s="23" t="s">
        <v>924</v>
      </c>
      <c r="M1" s="25" t="s">
        <v>925</v>
      </c>
      <c r="N1" s="25" t="s">
        <v>926</v>
      </c>
      <c r="O1" s="25" t="s">
        <v>927</v>
      </c>
      <c r="P1" s="25" t="s">
        <v>928</v>
      </c>
      <c r="Q1" s="26"/>
      <c r="R1" s="26"/>
      <c r="S1" s="26"/>
      <c r="T1" s="26"/>
      <c r="U1" s="26"/>
      <c r="V1" s="26"/>
    </row>
    <row r="2">
      <c r="A2" s="1" t="s">
        <v>44</v>
      </c>
      <c r="B2" s="1" t="s">
        <v>929</v>
      </c>
      <c r="C2" s="27" t="s">
        <v>96</v>
      </c>
      <c r="D2" s="28"/>
      <c r="E2" s="28"/>
      <c r="F2" s="28"/>
      <c r="G2" s="28"/>
      <c r="H2" s="29"/>
      <c r="L2" s="28"/>
      <c r="M2" s="30"/>
      <c r="N2" s="30"/>
      <c r="O2" s="30"/>
      <c r="P2" s="30"/>
    </row>
    <row r="3">
      <c r="A3" s="1" t="s">
        <v>45</v>
      </c>
      <c r="B3" s="1" t="s">
        <v>930</v>
      </c>
      <c r="C3" s="27" t="s">
        <v>97</v>
      </c>
      <c r="D3" s="28"/>
      <c r="E3" s="28"/>
      <c r="F3" s="28"/>
      <c r="G3" s="28"/>
      <c r="H3" s="29"/>
      <c r="L3" s="28"/>
      <c r="M3" s="30"/>
      <c r="N3" s="30"/>
      <c r="O3" s="30"/>
      <c r="P3" s="30"/>
    </row>
    <row r="4">
      <c r="A4" s="1" t="s">
        <v>46</v>
      </c>
      <c r="B4" s="1" t="s">
        <v>931</v>
      </c>
      <c r="C4" s="27" t="s">
        <v>98</v>
      </c>
      <c r="D4" s="28"/>
      <c r="E4" s="28"/>
      <c r="F4" s="28"/>
      <c r="G4" s="28"/>
      <c r="H4" s="28"/>
      <c r="L4" s="28"/>
      <c r="M4" s="30"/>
      <c r="N4" s="30"/>
      <c r="O4" s="30"/>
      <c r="P4" s="30"/>
    </row>
    <row r="5">
      <c r="A5" s="1" t="s">
        <v>47</v>
      </c>
      <c r="B5" s="1" t="s">
        <v>932</v>
      </c>
      <c r="C5" s="27" t="s">
        <v>99</v>
      </c>
      <c r="D5" s="28"/>
      <c r="E5" s="28"/>
      <c r="F5" s="28"/>
      <c r="G5" s="28"/>
      <c r="H5" s="28"/>
      <c r="L5" s="28"/>
      <c r="M5" s="30"/>
      <c r="N5" s="30"/>
      <c r="O5" s="30"/>
      <c r="P5" s="30"/>
    </row>
    <row r="6">
      <c r="A6" s="1" t="s">
        <v>48</v>
      </c>
      <c r="B6" s="1" t="s">
        <v>933</v>
      </c>
      <c r="C6" s="27" t="s">
        <v>48</v>
      </c>
      <c r="D6" s="28"/>
      <c r="E6" s="29"/>
      <c r="F6" s="28"/>
      <c r="G6" s="28"/>
      <c r="H6" s="28"/>
      <c r="L6" s="28"/>
      <c r="M6" s="30"/>
      <c r="N6" s="30"/>
      <c r="O6" s="30"/>
      <c r="P6" s="30"/>
    </row>
    <row r="7">
      <c r="A7" s="1" t="s">
        <v>49</v>
      </c>
      <c r="B7" s="1" t="s">
        <v>728</v>
      </c>
      <c r="C7" s="27" t="s">
        <v>49</v>
      </c>
      <c r="D7" s="28"/>
      <c r="E7" s="28"/>
      <c r="F7" s="29"/>
      <c r="G7" s="28"/>
      <c r="H7" s="28"/>
      <c r="L7" s="28"/>
      <c r="M7" s="30"/>
      <c r="N7" s="30"/>
      <c r="O7" s="30"/>
      <c r="P7" s="30"/>
    </row>
    <row r="8">
      <c r="A8" s="1" t="s">
        <v>50</v>
      </c>
      <c r="B8" s="1" t="s">
        <v>934</v>
      </c>
      <c r="C8" s="27" t="s">
        <v>50</v>
      </c>
      <c r="D8" s="28"/>
      <c r="E8" s="29"/>
      <c r="F8" s="28"/>
      <c r="G8" s="28"/>
      <c r="H8" s="28"/>
      <c r="L8" s="28"/>
      <c r="M8" s="30"/>
      <c r="N8" s="30"/>
      <c r="O8" s="30"/>
      <c r="P8" s="30"/>
    </row>
    <row r="9">
      <c r="A9" s="1" t="s">
        <v>51</v>
      </c>
      <c r="B9" s="1" t="s">
        <v>729</v>
      </c>
      <c r="C9" s="27" t="s">
        <v>100</v>
      </c>
      <c r="D9" s="28"/>
      <c r="E9" s="28"/>
      <c r="F9" s="28"/>
      <c r="G9" s="28"/>
      <c r="H9" s="28"/>
      <c r="L9" s="28"/>
      <c r="M9" s="30"/>
      <c r="N9" s="30"/>
      <c r="O9" s="30"/>
      <c r="P9" s="30"/>
    </row>
    <row r="10">
      <c r="A10" s="1" t="s">
        <v>52</v>
      </c>
      <c r="B10" s="1" t="s">
        <v>730</v>
      </c>
      <c r="C10" s="27" t="s">
        <v>101</v>
      </c>
      <c r="D10" s="28"/>
      <c r="E10" s="28"/>
      <c r="F10" s="28"/>
      <c r="G10" s="28"/>
      <c r="H10" s="28"/>
      <c r="L10" s="28"/>
      <c r="M10" s="30"/>
      <c r="N10" s="30"/>
      <c r="O10" s="30"/>
      <c r="P10" s="30"/>
    </row>
    <row r="11">
      <c r="A11" s="1" t="s">
        <v>53</v>
      </c>
      <c r="B11" s="1" t="s">
        <v>935</v>
      </c>
      <c r="C11" s="27" t="s">
        <v>102</v>
      </c>
      <c r="D11" s="28"/>
      <c r="E11" s="28"/>
      <c r="F11" s="28"/>
      <c r="G11" s="28"/>
      <c r="H11" s="28"/>
      <c r="L11" s="28"/>
      <c r="M11" s="30"/>
      <c r="N11" s="30"/>
      <c r="O11" s="30"/>
      <c r="P11" s="30"/>
    </row>
    <row r="12">
      <c r="A12" s="1" t="s">
        <v>54</v>
      </c>
      <c r="B12" s="1" t="s">
        <v>936</v>
      </c>
      <c r="C12" s="27" t="s">
        <v>103</v>
      </c>
      <c r="D12" s="28"/>
      <c r="E12" s="28"/>
      <c r="F12" s="28"/>
      <c r="G12" s="28"/>
      <c r="H12" s="28"/>
      <c r="L12" s="28"/>
      <c r="M12" s="30"/>
      <c r="N12" s="30"/>
      <c r="O12" s="30"/>
      <c r="P12" s="30"/>
    </row>
    <row r="13">
      <c r="A13" s="1" t="s">
        <v>55</v>
      </c>
      <c r="B13" s="1" t="s">
        <v>937</v>
      </c>
      <c r="C13" s="27" t="s">
        <v>104</v>
      </c>
      <c r="D13" s="28"/>
      <c r="E13" s="28"/>
      <c r="F13" s="28"/>
      <c r="G13" s="28"/>
      <c r="H13" s="28"/>
      <c r="L13" s="28"/>
      <c r="M13" s="30"/>
      <c r="N13" s="30"/>
      <c r="O13" s="30"/>
      <c r="P13" s="30"/>
    </row>
    <row r="14">
      <c r="A14" s="1" t="s">
        <v>56</v>
      </c>
      <c r="B14" s="1" t="s">
        <v>938</v>
      </c>
      <c r="C14" s="27" t="s">
        <v>105</v>
      </c>
      <c r="D14" s="28"/>
      <c r="E14" s="28"/>
      <c r="F14" s="28"/>
      <c r="G14" s="28"/>
      <c r="H14" s="28"/>
      <c r="L14" s="28"/>
      <c r="M14" s="30"/>
      <c r="N14" s="30"/>
      <c r="O14" s="30"/>
      <c r="P14" s="30"/>
    </row>
    <row r="15">
      <c r="A15" s="1" t="s">
        <v>57</v>
      </c>
      <c r="B15" s="1" t="s">
        <v>939</v>
      </c>
      <c r="C15" s="27" t="s">
        <v>106</v>
      </c>
      <c r="D15" s="28"/>
      <c r="E15" s="28"/>
      <c r="F15" s="28"/>
      <c r="G15" s="28"/>
      <c r="H15" s="28"/>
      <c r="L15" s="28"/>
      <c r="M15" s="30"/>
      <c r="N15" s="30"/>
      <c r="O15" s="30"/>
      <c r="P15" s="30"/>
    </row>
    <row r="16">
      <c r="A16" s="1" t="s">
        <v>58</v>
      </c>
      <c r="B16" s="1" t="s">
        <v>940</v>
      </c>
      <c r="C16" s="27" t="s">
        <v>107</v>
      </c>
      <c r="D16" s="28"/>
      <c r="E16" s="28"/>
      <c r="F16" s="28"/>
      <c r="G16" s="28"/>
      <c r="H16" s="28"/>
      <c r="L16" s="28"/>
      <c r="M16" s="30"/>
      <c r="N16" s="30"/>
      <c r="O16" s="30"/>
      <c r="P16" s="30"/>
    </row>
    <row r="17">
      <c r="A17" s="1" t="s">
        <v>59</v>
      </c>
      <c r="B17" s="1" t="s">
        <v>941</v>
      </c>
      <c r="C17" s="27" t="s">
        <v>108</v>
      </c>
      <c r="D17" s="28"/>
      <c r="E17" s="28"/>
      <c r="F17" s="28"/>
      <c r="G17" s="28"/>
      <c r="H17" s="28"/>
      <c r="L17" s="28"/>
      <c r="M17" s="30"/>
      <c r="N17" s="30"/>
      <c r="O17" s="30"/>
      <c r="P17" s="30"/>
    </row>
    <row r="18">
      <c r="A18" s="1" t="s">
        <v>60</v>
      </c>
      <c r="B18" s="1" t="s">
        <v>942</v>
      </c>
      <c r="C18" s="27" t="s">
        <v>109</v>
      </c>
      <c r="D18" s="28"/>
      <c r="E18" s="28"/>
      <c r="F18" s="28"/>
      <c r="G18" s="28"/>
      <c r="H18" s="28"/>
      <c r="L18" s="28"/>
      <c r="M18" s="30"/>
      <c r="N18" s="30"/>
      <c r="O18" s="30"/>
      <c r="P18" s="30"/>
    </row>
    <row r="19">
      <c r="A19" s="1" t="s">
        <v>61</v>
      </c>
      <c r="B19" s="1" t="s">
        <v>731</v>
      </c>
      <c r="C19" s="27" t="s">
        <v>110</v>
      </c>
      <c r="D19" s="28"/>
      <c r="E19" s="28"/>
      <c r="F19" s="29" t="s">
        <v>943</v>
      </c>
      <c r="G19" s="29"/>
      <c r="H19" s="28"/>
      <c r="K19" s="1" t="s">
        <v>943</v>
      </c>
      <c r="L19" s="28"/>
      <c r="M19" s="30"/>
      <c r="N19" s="30"/>
      <c r="O19" s="30"/>
      <c r="P19" s="30"/>
    </row>
    <row r="20">
      <c r="A20" s="1" t="s">
        <v>724</v>
      </c>
      <c r="B20" s="1" t="s">
        <v>944</v>
      </c>
      <c r="C20" s="19" t="s">
        <v>945</v>
      </c>
      <c r="D20" s="28"/>
      <c r="E20" s="28"/>
      <c r="F20" s="29"/>
      <c r="G20" s="29" t="s">
        <v>943</v>
      </c>
      <c r="H20" s="28"/>
      <c r="J20" s="1" t="s">
        <v>943</v>
      </c>
      <c r="L20" s="28"/>
      <c r="M20" s="30"/>
      <c r="N20" s="30"/>
      <c r="O20" s="30"/>
      <c r="P20" s="30"/>
    </row>
    <row r="21">
      <c r="A21" s="1" t="s">
        <v>62</v>
      </c>
      <c r="B21" s="1" t="s">
        <v>732</v>
      </c>
      <c r="C21" s="27" t="s">
        <v>111</v>
      </c>
      <c r="D21" s="28"/>
      <c r="E21" s="28"/>
      <c r="F21" s="28"/>
      <c r="G21" s="29" t="s">
        <v>943</v>
      </c>
      <c r="H21" s="28"/>
      <c r="I21" s="1" t="s">
        <v>943</v>
      </c>
      <c r="L21" s="29" t="s">
        <v>943</v>
      </c>
      <c r="M21" s="30"/>
      <c r="N21" s="30"/>
      <c r="O21" s="30"/>
      <c r="P21" s="30"/>
    </row>
    <row r="22">
      <c r="A22" s="1" t="s">
        <v>725</v>
      </c>
      <c r="B22" s="1" t="s">
        <v>733</v>
      </c>
      <c r="C22" s="19" t="s">
        <v>946</v>
      </c>
      <c r="D22" s="28"/>
      <c r="E22" s="31"/>
      <c r="F22" s="28"/>
      <c r="G22" s="29" t="s">
        <v>943</v>
      </c>
      <c r="H22" s="28"/>
      <c r="J22" s="1" t="s">
        <v>943</v>
      </c>
      <c r="L22" s="29" t="s">
        <v>943</v>
      </c>
      <c r="M22" s="32" t="s">
        <v>947</v>
      </c>
      <c r="N22" s="32" t="s">
        <v>948</v>
      </c>
      <c r="O22" s="30"/>
      <c r="P22" s="30"/>
    </row>
    <row r="23">
      <c r="A23" s="1" t="s">
        <v>726</v>
      </c>
      <c r="B23" s="1" t="s">
        <v>734</v>
      </c>
      <c r="C23" s="19" t="s">
        <v>949</v>
      </c>
      <c r="D23" s="28"/>
      <c r="E23" s="31"/>
      <c r="F23" s="28"/>
      <c r="G23" s="29" t="s">
        <v>943</v>
      </c>
      <c r="H23" s="28"/>
      <c r="J23" s="1" t="s">
        <v>943</v>
      </c>
      <c r="L23" s="29" t="s">
        <v>943</v>
      </c>
      <c r="M23" s="32" t="s">
        <v>947</v>
      </c>
      <c r="N23" s="32" t="s">
        <v>948</v>
      </c>
      <c r="O23" s="30"/>
      <c r="P23" s="30"/>
    </row>
    <row r="24">
      <c r="A24" s="1" t="s">
        <v>63</v>
      </c>
      <c r="B24" s="1" t="s">
        <v>736</v>
      </c>
      <c r="C24" s="19" t="s">
        <v>112</v>
      </c>
      <c r="D24" s="28"/>
      <c r="E24" s="31">
        <v>45664.0</v>
      </c>
      <c r="F24" s="29" t="s">
        <v>943</v>
      </c>
      <c r="G24" s="28"/>
      <c r="H24" s="28"/>
      <c r="K24" s="1" t="s">
        <v>943</v>
      </c>
      <c r="L24" s="29" t="s">
        <v>943</v>
      </c>
      <c r="M24" s="30"/>
      <c r="N24" s="32" t="s">
        <v>948</v>
      </c>
      <c r="O24" s="32" t="s">
        <v>950</v>
      </c>
      <c r="P24" s="30"/>
    </row>
    <row r="25">
      <c r="A25" s="1" t="s">
        <v>64</v>
      </c>
      <c r="B25" s="1" t="s">
        <v>737</v>
      </c>
      <c r="C25" s="27" t="s">
        <v>113</v>
      </c>
      <c r="D25" s="28"/>
      <c r="E25" s="31">
        <v>45664.0</v>
      </c>
      <c r="F25" s="29" t="s">
        <v>943</v>
      </c>
      <c r="G25" s="28"/>
      <c r="H25" s="28"/>
      <c r="K25" s="1" t="s">
        <v>943</v>
      </c>
      <c r="L25" s="29" t="s">
        <v>943</v>
      </c>
      <c r="M25" s="32" t="s">
        <v>947</v>
      </c>
      <c r="N25" s="30"/>
      <c r="O25" s="30"/>
      <c r="P25" s="30"/>
    </row>
    <row r="26">
      <c r="A26" s="1" t="s">
        <v>65</v>
      </c>
      <c r="B26" s="1" t="s">
        <v>738</v>
      </c>
      <c r="C26" s="27" t="s">
        <v>65</v>
      </c>
      <c r="D26" s="28"/>
      <c r="E26" s="31">
        <v>45664.0</v>
      </c>
      <c r="F26" s="29" t="s">
        <v>943</v>
      </c>
      <c r="G26" s="28"/>
      <c r="H26" s="28"/>
      <c r="K26" s="1" t="s">
        <v>943</v>
      </c>
      <c r="L26" s="29" t="s">
        <v>943</v>
      </c>
      <c r="M26" s="30"/>
      <c r="N26" s="30"/>
      <c r="O26" s="30"/>
      <c r="P26" s="30"/>
    </row>
    <row r="27">
      <c r="A27" s="1" t="s">
        <v>66</v>
      </c>
      <c r="B27" s="1" t="s">
        <v>739</v>
      </c>
      <c r="C27" s="27" t="s">
        <v>114</v>
      </c>
      <c r="D27" s="28"/>
      <c r="E27" s="31">
        <v>45664.0</v>
      </c>
      <c r="F27" s="29" t="s">
        <v>943</v>
      </c>
      <c r="G27" s="28"/>
      <c r="H27" s="28"/>
      <c r="K27" s="1" t="s">
        <v>943</v>
      </c>
      <c r="L27" s="29" t="s">
        <v>943</v>
      </c>
      <c r="M27" s="32" t="s">
        <v>947</v>
      </c>
      <c r="N27" s="32" t="s">
        <v>948</v>
      </c>
      <c r="O27" s="30"/>
      <c r="P27" s="33" t="s">
        <v>951</v>
      </c>
    </row>
    <row r="28">
      <c r="A28" s="1" t="s">
        <v>67</v>
      </c>
      <c r="B28" s="1" t="s">
        <v>740</v>
      </c>
      <c r="C28" s="27" t="s">
        <v>115</v>
      </c>
      <c r="D28" s="28"/>
      <c r="E28" s="31">
        <v>45664.0</v>
      </c>
      <c r="F28" s="29" t="s">
        <v>943</v>
      </c>
      <c r="G28" s="28"/>
      <c r="H28" s="28"/>
      <c r="K28" s="1" t="s">
        <v>943</v>
      </c>
      <c r="L28" s="29" t="s">
        <v>943</v>
      </c>
      <c r="M28" s="32" t="s">
        <v>947</v>
      </c>
      <c r="N28" s="32" t="s">
        <v>948</v>
      </c>
      <c r="O28" s="30"/>
      <c r="P28" s="33" t="s">
        <v>952</v>
      </c>
    </row>
    <row r="29">
      <c r="A29" s="1" t="s">
        <v>68</v>
      </c>
      <c r="B29" s="1" t="s">
        <v>741</v>
      </c>
      <c r="C29" s="27" t="s">
        <v>116</v>
      </c>
      <c r="D29" s="28"/>
      <c r="E29" s="31">
        <v>45664.0</v>
      </c>
      <c r="F29" s="29" t="s">
        <v>943</v>
      </c>
      <c r="G29" s="28"/>
      <c r="H29" s="28"/>
      <c r="K29" s="1" t="s">
        <v>943</v>
      </c>
      <c r="L29" s="29" t="s">
        <v>943</v>
      </c>
      <c r="M29" s="32" t="s">
        <v>947</v>
      </c>
      <c r="N29" s="30"/>
      <c r="O29" s="30"/>
      <c r="P29" s="30"/>
    </row>
    <row r="30">
      <c r="A30" s="1" t="s">
        <v>69</v>
      </c>
      <c r="B30" s="1" t="s">
        <v>742</v>
      </c>
      <c r="C30" s="27" t="s">
        <v>117</v>
      </c>
      <c r="D30" s="28"/>
      <c r="E30" s="31">
        <v>45664.0</v>
      </c>
      <c r="F30" s="29" t="s">
        <v>943</v>
      </c>
      <c r="G30" s="28"/>
      <c r="H30" s="28"/>
      <c r="K30" s="1" t="s">
        <v>943</v>
      </c>
      <c r="L30" s="29" t="s">
        <v>943</v>
      </c>
      <c r="M30" s="32" t="s">
        <v>947</v>
      </c>
      <c r="N30" s="30"/>
      <c r="O30" s="30"/>
      <c r="P30" s="30"/>
    </row>
    <row r="31">
      <c r="A31" s="1" t="s">
        <v>70</v>
      </c>
      <c r="B31" s="1" t="s">
        <v>743</v>
      </c>
      <c r="C31" s="27" t="s">
        <v>118</v>
      </c>
      <c r="D31" s="28"/>
      <c r="E31" s="31">
        <v>45664.0</v>
      </c>
      <c r="F31" s="29" t="s">
        <v>943</v>
      </c>
      <c r="G31" s="28"/>
      <c r="H31" s="28"/>
      <c r="K31" s="1" t="s">
        <v>943</v>
      </c>
      <c r="L31" s="29" t="s">
        <v>943</v>
      </c>
      <c r="M31" s="32" t="s">
        <v>947</v>
      </c>
      <c r="N31" s="30"/>
      <c r="O31" s="30"/>
      <c r="P31" s="30"/>
    </row>
    <row r="32">
      <c r="A32" s="1" t="s">
        <v>71</v>
      </c>
      <c r="B32" s="1" t="s">
        <v>744</v>
      </c>
      <c r="C32" s="27" t="s">
        <v>119</v>
      </c>
      <c r="D32" s="28"/>
      <c r="E32" s="31">
        <v>45664.0</v>
      </c>
      <c r="F32" s="29" t="s">
        <v>943</v>
      </c>
      <c r="G32" s="28"/>
      <c r="H32" s="28"/>
      <c r="K32" s="1" t="s">
        <v>943</v>
      </c>
      <c r="L32" s="29" t="s">
        <v>943</v>
      </c>
      <c r="M32" s="32" t="s">
        <v>947</v>
      </c>
      <c r="N32" s="32" t="s">
        <v>948</v>
      </c>
      <c r="O32" s="30"/>
      <c r="P32" s="33" t="s">
        <v>953</v>
      </c>
    </row>
    <row r="33">
      <c r="A33" s="1" t="s">
        <v>72</v>
      </c>
      <c r="B33" s="1" t="s">
        <v>745</v>
      </c>
      <c r="C33" s="27" t="s">
        <v>120</v>
      </c>
      <c r="D33" s="28"/>
      <c r="E33" s="31">
        <v>45664.0</v>
      </c>
      <c r="F33" s="29" t="s">
        <v>943</v>
      </c>
      <c r="G33" s="28"/>
      <c r="H33" s="28"/>
      <c r="K33" s="1" t="s">
        <v>943</v>
      </c>
      <c r="L33" s="29" t="s">
        <v>943</v>
      </c>
      <c r="M33" s="30"/>
      <c r="N33" s="32" t="s">
        <v>948</v>
      </c>
      <c r="O33" s="30"/>
      <c r="P33" s="30"/>
    </row>
    <row r="34">
      <c r="A34" s="1" t="s">
        <v>73</v>
      </c>
      <c r="B34" s="1" t="s">
        <v>746</v>
      </c>
      <c r="C34" s="27" t="s">
        <v>121</v>
      </c>
      <c r="D34" s="28"/>
      <c r="E34" s="31">
        <v>45664.0</v>
      </c>
      <c r="F34" s="29" t="s">
        <v>943</v>
      </c>
      <c r="G34" s="28"/>
      <c r="H34" s="28"/>
      <c r="K34" s="1" t="s">
        <v>943</v>
      </c>
      <c r="L34" s="29" t="s">
        <v>943</v>
      </c>
      <c r="M34" s="32" t="s">
        <v>947</v>
      </c>
      <c r="N34" s="30"/>
      <c r="O34" s="30"/>
      <c r="P34" s="30"/>
    </row>
    <row r="35">
      <c r="A35" s="1" t="s">
        <v>74</v>
      </c>
      <c r="B35" s="1" t="s">
        <v>747</v>
      </c>
      <c r="C35" s="27" t="s">
        <v>122</v>
      </c>
      <c r="D35" s="28"/>
      <c r="E35" s="31">
        <v>45664.0</v>
      </c>
      <c r="F35" s="29" t="s">
        <v>943</v>
      </c>
      <c r="G35" s="28"/>
      <c r="H35" s="28"/>
      <c r="K35" s="1" t="s">
        <v>943</v>
      </c>
      <c r="L35" s="29" t="s">
        <v>943</v>
      </c>
      <c r="M35" s="32" t="s">
        <v>947</v>
      </c>
      <c r="N35" s="30"/>
      <c r="O35" s="30"/>
      <c r="P35" s="30"/>
    </row>
    <row r="36">
      <c r="A36" s="1" t="s">
        <v>75</v>
      </c>
      <c r="B36" s="1" t="s">
        <v>748</v>
      </c>
      <c r="C36" s="27" t="s">
        <v>123</v>
      </c>
      <c r="D36" s="28"/>
      <c r="E36" s="31">
        <v>45664.0</v>
      </c>
      <c r="F36" s="29" t="s">
        <v>943</v>
      </c>
      <c r="G36" s="28"/>
      <c r="H36" s="28"/>
      <c r="K36" s="1" t="s">
        <v>943</v>
      </c>
      <c r="L36" s="29" t="s">
        <v>943</v>
      </c>
      <c r="M36" s="32" t="s">
        <v>947</v>
      </c>
      <c r="N36" s="30"/>
      <c r="O36" s="30"/>
      <c r="P36" s="30"/>
    </row>
    <row r="37">
      <c r="A37" s="1" t="s">
        <v>76</v>
      </c>
      <c r="B37" s="1" t="s">
        <v>749</v>
      </c>
      <c r="C37" s="27" t="s">
        <v>124</v>
      </c>
      <c r="D37" s="28"/>
      <c r="E37" s="31">
        <v>45664.0</v>
      </c>
      <c r="F37" s="29" t="s">
        <v>943</v>
      </c>
      <c r="G37" s="28"/>
      <c r="H37" s="28"/>
      <c r="K37" s="1" t="s">
        <v>943</v>
      </c>
      <c r="L37" s="29" t="s">
        <v>943</v>
      </c>
      <c r="M37" s="32" t="s">
        <v>947</v>
      </c>
      <c r="N37" s="32" t="s">
        <v>948</v>
      </c>
      <c r="O37" s="30"/>
      <c r="P37" s="30"/>
    </row>
    <row r="38">
      <c r="A38" s="1" t="s">
        <v>77</v>
      </c>
      <c r="B38" s="1" t="s">
        <v>750</v>
      </c>
      <c r="C38" s="27" t="s">
        <v>125</v>
      </c>
      <c r="D38" s="29" t="s">
        <v>943</v>
      </c>
      <c r="E38" s="31">
        <v>45664.0</v>
      </c>
      <c r="F38" s="29" t="s">
        <v>943</v>
      </c>
      <c r="G38" s="28"/>
      <c r="H38" s="28"/>
      <c r="K38" s="1" t="s">
        <v>943</v>
      </c>
      <c r="L38" s="29"/>
      <c r="M38" s="32" t="s">
        <v>947</v>
      </c>
      <c r="N38" s="30"/>
      <c r="O38" s="30"/>
      <c r="P38" s="30"/>
    </row>
    <row r="39">
      <c r="A39" s="1" t="s">
        <v>718</v>
      </c>
      <c r="B39" s="1" t="s">
        <v>751</v>
      </c>
      <c r="C39" s="19" t="s">
        <v>954</v>
      </c>
      <c r="D39" s="29"/>
      <c r="E39" s="31">
        <v>45664.0</v>
      </c>
      <c r="F39" s="29" t="s">
        <v>943</v>
      </c>
      <c r="G39" s="28"/>
      <c r="H39" s="28"/>
      <c r="J39" s="1" t="s">
        <v>943</v>
      </c>
      <c r="L39" s="29" t="s">
        <v>943</v>
      </c>
      <c r="M39" s="30"/>
      <c r="N39" s="30"/>
      <c r="O39" s="30"/>
      <c r="P39" s="30"/>
    </row>
    <row r="40">
      <c r="A40" s="1" t="s">
        <v>78</v>
      </c>
      <c r="B40" s="1" t="s">
        <v>752</v>
      </c>
      <c r="C40" s="27" t="s">
        <v>126</v>
      </c>
      <c r="D40" s="28"/>
      <c r="E40" s="31"/>
      <c r="F40" s="28"/>
      <c r="G40" s="28"/>
      <c r="H40" s="29" t="s">
        <v>943</v>
      </c>
      <c r="I40" s="1" t="s">
        <v>943</v>
      </c>
      <c r="L40" s="28"/>
      <c r="M40" s="30"/>
      <c r="N40" s="30"/>
      <c r="O40" s="30"/>
      <c r="P40" s="30"/>
    </row>
    <row r="41">
      <c r="A41" s="1" t="s">
        <v>79</v>
      </c>
      <c r="B41" s="1" t="s">
        <v>753</v>
      </c>
      <c r="C41" s="27" t="s">
        <v>79</v>
      </c>
      <c r="D41" s="28"/>
      <c r="E41" s="31"/>
      <c r="F41" s="28"/>
      <c r="G41" s="29" t="s">
        <v>943</v>
      </c>
      <c r="H41" s="28"/>
      <c r="I41" s="1" t="s">
        <v>943</v>
      </c>
      <c r="L41" s="28"/>
      <c r="M41" s="30"/>
      <c r="N41" s="30"/>
      <c r="O41" s="30"/>
      <c r="P41" s="30"/>
    </row>
    <row r="42">
      <c r="A42" s="1" t="s">
        <v>80</v>
      </c>
      <c r="B42" s="1" t="s">
        <v>754</v>
      </c>
      <c r="C42" s="27" t="s">
        <v>127</v>
      </c>
      <c r="D42" s="28"/>
      <c r="E42" s="31">
        <v>45664.0</v>
      </c>
      <c r="F42" s="29" t="s">
        <v>943</v>
      </c>
      <c r="G42" s="28"/>
      <c r="H42" s="28"/>
      <c r="K42" s="1" t="s">
        <v>943</v>
      </c>
      <c r="L42" s="29" t="s">
        <v>943</v>
      </c>
      <c r="M42" s="30"/>
      <c r="N42" s="32" t="s">
        <v>948</v>
      </c>
      <c r="O42" s="33"/>
      <c r="P42" s="30"/>
    </row>
    <row r="43">
      <c r="A43" s="1" t="s">
        <v>81</v>
      </c>
      <c r="B43" s="1" t="s">
        <v>755</v>
      </c>
      <c r="C43" s="27" t="s">
        <v>128</v>
      </c>
      <c r="D43" s="28"/>
      <c r="E43" s="31">
        <v>45664.0</v>
      </c>
      <c r="F43" s="29" t="s">
        <v>943</v>
      </c>
      <c r="G43" s="28"/>
      <c r="H43" s="28"/>
      <c r="K43" s="1" t="s">
        <v>943</v>
      </c>
      <c r="L43" s="29" t="s">
        <v>943</v>
      </c>
      <c r="M43" s="30"/>
      <c r="N43" s="32" t="s">
        <v>948</v>
      </c>
      <c r="O43" s="30"/>
      <c r="P43" s="30"/>
    </row>
    <row r="44">
      <c r="A44" s="1" t="s">
        <v>82</v>
      </c>
      <c r="B44" s="1" t="s">
        <v>756</v>
      </c>
      <c r="C44" s="27" t="s">
        <v>129</v>
      </c>
      <c r="D44" s="28"/>
      <c r="E44" s="31">
        <v>45664.0</v>
      </c>
      <c r="F44" s="29" t="s">
        <v>943</v>
      </c>
      <c r="G44" s="28"/>
      <c r="H44" s="28"/>
      <c r="K44" s="1" t="s">
        <v>943</v>
      </c>
      <c r="L44" s="29" t="s">
        <v>943</v>
      </c>
      <c r="M44" s="30"/>
      <c r="N44" s="32" t="s">
        <v>948</v>
      </c>
      <c r="O44" s="30"/>
      <c r="P44" s="30"/>
    </row>
    <row r="45">
      <c r="A45" s="1" t="s">
        <v>83</v>
      </c>
      <c r="B45" s="1" t="s">
        <v>757</v>
      </c>
      <c r="C45" s="27" t="s">
        <v>130</v>
      </c>
      <c r="D45" s="28"/>
      <c r="E45" s="31">
        <v>45664.0</v>
      </c>
      <c r="F45" s="29" t="s">
        <v>943</v>
      </c>
      <c r="G45" s="28"/>
      <c r="H45" s="28"/>
      <c r="K45" s="1" t="s">
        <v>943</v>
      </c>
      <c r="L45" s="29" t="s">
        <v>943</v>
      </c>
      <c r="M45" s="30"/>
      <c r="N45" s="32" t="s">
        <v>948</v>
      </c>
      <c r="O45" s="30"/>
      <c r="P45" s="30"/>
    </row>
    <row r="46">
      <c r="A46" s="1" t="s">
        <v>84</v>
      </c>
      <c r="B46" s="1" t="s">
        <v>758</v>
      </c>
      <c r="C46" s="27" t="s">
        <v>131</v>
      </c>
      <c r="D46" s="28"/>
      <c r="E46" s="31">
        <v>45664.0</v>
      </c>
      <c r="F46" s="29" t="s">
        <v>943</v>
      </c>
      <c r="G46" s="28"/>
      <c r="H46" s="28"/>
      <c r="K46" s="1" t="s">
        <v>943</v>
      </c>
      <c r="L46" s="29" t="s">
        <v>943</v>
      </c>
      <c r="M46" s="30"/>
      <c r="N46" s="32" t="s">
        <v>948</v>
      </c>
      <c r="O46" s="30"/>
      <c r="P46" s="30"/>
    </row>
    <row r="47">
      <c r="A47" s="1" t="s">
        <v>85</v>
      </c>
      <c r="B47" s="1" t="s">
        <v>759</v>
      </c>
      <c r="C47" s="27" t="s">
        <v>132</v>
      </c>
      <c r="D47" s="28"/>
      <c r="E47" s="31">
        <v>45664.0</v>
      </c>
      <c r="F47" s="29" t="s">
        <v>943</v>
      </c>
      <c r="G47" s="28"/>
      <c r="H47" s="28"/>
      <c r="K47" s="1" t="s">
        <v>943</v>
      </c>
      <c r="L47" s="29" t="s">
        <v>943</v>
      </c>
      <c r="M47" s="30"/>
      <c r="N47" s="32" t="s">
        <v>948</v>
      </c>
      <c r="O47" s="30"/>
      <c r="P47" s="30"/>
    </row>
    <row r="48">
      <c r="A48" s="1" t="s">
        <v>86</v>
      </c>
      <c r="B48" s="1" t="s">
        <v>760</v>
      </c>
      <c r="C48" s="27" t="s">
        <v>126</v>
      </c>
      <c r="D48" s="28"/>
      <c r="E48" s="31"/>
      <c r="F48" s="28"/>
      <c r="G48" s="28"/>
      <c r="H48" s="29" t="s">
        <v>943</v>
      </c>
      <c r="I48" s="1" t="s">
        <v>943</v>
      </c>
      <c r="L48" s="28"/>
      <c r="M48" s="30"/>
      <c r="N48" s="30"/>
      <c r="O48" s="30"/>
      <c r="P48" s="30"/>
    </row>
    <row r="49">
      <c r="A49" s="1" t="s">
        <v>87</v>
      </c>
      <c r="B49" s="1" t="s">
        <v>761</v>
      </c>
      <c r="C49" s="27" t="s">
        <v>87</v>
      </c>
      <c r="D49" s="28"/>
      <c r="E49" s="31"/>
      <c r="F49" s="28"/>
      <c r="G49" s="28"/>
      <c r="H49" s="28"/>
      <c r="L49" s="28"/>
      <c r="M49" s="30"/>
      <c r="N49" s="30"/>
      <c r="O49" s="30"/>
      <c r="P49" s="30"/>
    </row>
    <row r="50">
      <c r="A50" s="1" t="s">
        <v>88</v>
      </c>
      <c r="B50" s="1" t="s">
        <v>762</v>
      </c>
      <c r="C50" s="27" t="s">
        <v>133</v>
      </c>
      <c r="D50" s="28"/>
      <c r="E50" s="31">
        <v>45664.0</v>
      </c>
      <c r="F50" s="29" t="s">
        <v>943</v>
      </c>
      <c r="G50" s="28"/>
      <c r="H50" s="28"/>
      <c r="K50" s="1" t="s">
        <v>943</v>
      </c>
      <c r="L50" s="29" t="s">
        <v>943</v>
      </c>
      <c r="M50" s="30"/>
      <c r="N50" s="32" t="s">
        <v>948</v>
      </c>
      <c r="O50" s="30"/>
      <c r="P50" s="30"/>
    </row>
    <row r="51">
      <c r="A51" s="1" t="s">
        <v>89</v>
      </c>
      <c r="B51" s="1" t="s">
        <v>763</v>
      </c>
      <c r="C51" s="27" t="s">
        <v>134</v>
      </c>
      <c r="D51" s="28"/>
      <c r="E51" s="31">
        <v>45664.0</v>
      </c>
      <c r="F51" s="29" t="s">
        <v>943</v>
      </c>
      <c r="G51" s="28"/>
      <c r="H51" s="28"/>
      <c r="K51" s="1" t="s">
        <v>943</v>
      </c>
      <c r="L51" s="29" t="s">
        <v>943</v>
      </c>
      <c r="M51" s="30"/>
      <c r="N51" s="32" t="s">
        <v>948</v>
      </c>
      <c r="O51" s="30"/>
      <c r="P51" s="30"/>
    </row>
    <row r="52">
      <c r="A52" s="1" t="s">
        <v>90</v>
      </c>
      <c r="B52" s="1" t="s">
        <v>764</v>
      </c>
      <c r="C52" s="27" t="s">
        <v>135</v>
      </c>
      <c r="D52" s="28"/>
      <c r="E52" s="31">
        <v>45664.0</v>
      </c>
      <c r="F52" s="29" t="s">
        <v>943</v>
      </c>
      <c r="G52" s="28"/>
      <c r="H52" s="28"/>
      <c r="K52" s="1" t="s">
        <v>943</v>
      </c>
      <c r="L52" s="29" t="s">
        <v>943</v>
      </c>
      <c r="M52" s="30"/>
      <c r="N52" s="32" t="s">
        <v>948</v>
      </c>
      <c r="O52" s="30"/>
      <c r="P52" s="30"/>
    </row>
    <row r="53">
      <c r="A53" s="1" t="s">
        <v>91</v>
      </c>
      <c r="B53" s="1" t="s">
        <v>765</v>
      </c>
      <c r="C53" s="27" t="s">
        <v>136</v>
      </c>
      <c r="D53" s="29" t="s">
        <v>943</v>
      </c>
      <c r="E53" s="31">
        <v>45664.0</v>
      </c>
      <c r="F53" s="29" t="s">
        <v>943</v>
      </c>
      <c r="G53" s="28"/>
      <c r="H53" s="28"/>
      <c r="K53" s="1" t="s">
        <v>943</v>
      </c>
      <c r="L53" s="28"/>
      <c r="M53" s="30"/>
      <c r="N53" s="33"/>
      <c r="O53" s="30"/>
      <c r="P53" s="33"/>
    </row>
    <row r="54">
      <c r="A54" s="1" t="s">
        <v>719</v>
      </c>
      <c r="B54" s="1" t="s">
        <v>766</v>
      </c>
      <c r="C54" s="27" t="s">
        <v>136</v>
      </c>
      <c r="D54" s="29"/>
      <c r="E54" s="31">
        <v>45664.0</v>
      </c>
      <c r="F54" s="29" t="s">
        <v>943</v>
      </c>
      <c r="G54" s="28"/>
      <c r="H54" s="28"/>
      <c r="J54" s="1" t="s">
        <v>943</v>
      </c>
      <c r="L54" s="29" t="s">
        <v>943</v>
      </c>
      <c r="M54" s="30"/>
      <c r="N54" s="32" t="s">
        <v>948</v>
      </c>
      <c r="O54" s="30"/>
      <c r="P54" s="33"/>
    </row>
    <row r="55">
      <c r="A55" s="1" t="s">
        <v>92</v>
      </c>
      <c r="B55" s="1" t="s">
        <v>767</v>
      </c>
      <c r="C55" s="27" t="s">
        <v>137</v>
      </c>
      <c r="D55" s="29" t="s">
        <v>943</v>
      </c>
      <c r="E55" s="31">
        <v>45664.0</v>
      </c>
      <c r="F55" s="29" t="s">
        <v>943</v>
      </c>
      <c r="G55" s="28"/>
      <c r="H55" s="28"/>
      <c r="K55" s="1" t="s">
        <v>943</v>
      </c>
      <c r="L55" s="28"/>
      <c r="M55" s="30"/>
      <c r="N55" s="30"/>
      <c r="O55" s="30"/>
      <c r="P55" s="30"/>
    </row>
    <row r="56">
      <c r="A56" s="1" t="s">
        <v>720</v>
      </c>
      <c r="B56" s="1" t="s">
        <v>768</v>
      </c>
      <c r="C56" s="27" t="s">
        <v>137</v>
      </c>
      <c r="D56" s="29"/>
      <c r="E56" s="31">
        <v>45664.0</v>
      </c>
      <c r="F56" s="29" t="s">
        <v>943</v>
      </c>
      <c r="G56" s="28"/>
      <c r="H56" s="28"/>
      <c r="J56" s="1" t="s">
        <v>943</v>
      </c>
      <c r="L56" s="29" t="s">
        <v>943</v>
      </c>
      <c r="M56" s="30"/>
      <c r="N56" s="32" t="s">
        <v>948</v>
      </c>
      <c r="O56" s="30"/>
      <c r="P56" s="30"/>
    </row>
    <row r="57">
      <c r="A57" s="1" t="s">
        <v>93</v>
      </c>
      <c r="B57" s="1" t="s">
        <v>769</v>
      </c>
      <c r="C57" s="27" t="s">
        <v>138</v>
      </c>
      <c r="D57" s="29" t="s">
        <v>943</v>
      </c>
      <c r="E57" s="31">
        <v>45664.0</v>
      </c>
      <c r="F57" s="29" t="s">
        <v>943</v>
      </c>
      <c r="G57" s="28"/>
      <c r="H57" s="28"/>
      <c r="K57" s="1" t="s">
        <v>943</v>
      </c>
      <c r="L57" s="28"/>
      <c r="M57" s="30"/>
      <c r="N57" s="30"/>
      <c r="O57" s="30"/>
      <c r="P57" s="30"/>
    </row>
    <row r="58">
      <c r="A58" s="1" t="s">
        <v>721</v>
      </c>
      <c r="B58" s="1" t="s">
        <v>770</v>
      </c>
      <c r="C58" s="27" t="s">
        <v>138</v>
      </c>
      <c r="D58" s="29"/>
      <c r="E58" s="31">
        <v>45664.0</v>
      </c>
      <c r="F58" s="29" t="s">
        <v>943</v>
      </c>
      <c r="G58" s="28"/>
      <c r="H58" s="28"/>
      <c r="J58" s="1" t="s">
        <v>943</v>
      </c>
      <c r="L58" s="29" t="s">
        <v>943</v>
      </c>
      <c r="M58" s="30"/>
      <c r="N58" s="32" t="s">
        <v>948</v>
      </c>
      <c r="O58" s="30"/>
      <c r="P58" s="30"/>
    </row>
    <row r="59">
      <c r="A59" s="1" t="s">
        <v>94</v>
      </c>
      <c r="B59" s="1" t="s">
        <v>771</v>
      </c>
      <c r="C59" s="27" t="s">
        <v>139</v>
      </c>
      <c r="D59" s="29" t="s">
        <v>943</v>
      </c>
      <c r="E59" s="31">
        <v>45664.0</v>
      </c>
      <c r="F59" s="29" t="s">
        <v>943</v>
      </c>
      <c r="G59" s="28"/>
      <c r="H59" s="28"/>
      <c r="K59" s="1" t="s">
        <v>943</v>
      </c>
      <c r="L59" s="28"/>
      <c r="M59" s="30"/>
      <c r="N59" s="30"/>
      <c r="O59" s="30"/>
      <c r="P59" s="30"/>
    </row>
    <row r="60">
      <c r="A60" s="1" t="s">
        <v>722</v>
      </c>
      <c r="B60" s="1" t="s">
        <v>772</v>
      </c>
      <c r="C60" s="27" t="s">
        <v>139</v>
      </c>
      <c r="D60" s="29"/>
      <c r="E60" s="31">
        <v>45664.0</v>
      </c>
      <c r="F60" s="29" t="s">
        <v>943</v>
      </c>
      <c r="G60" s="28"/>
      <c r="H60" s="28"/>
      <c r="J60" s="1" t="s">
        <v>943</v>
      </c>
      <c r="L60" s="29" t="s">
        <v>943</v>
      </c>
      <c r="M60" s="30"/>
      <c r="N60" s="32" t="s">
        <v>948</v>
      </c>
      <c r="O60" s="30"/>
      <c r="P60" s="30"/>
    </row>
    <row r="61">
      <c r="A61" s="1" t="s">
        <v>95</v>
      </c>
      <c r="B61" s="1" t="s">
        <v>773</v>
      </c>
      <c r="C61" s="27" t="s">
        <v>126</v>
      </c>
      <c r="D61" s="28"/>
      <c r="E61" s="28"/>
      <c r="F61" s="29"/>
      <c r="G61" s="28"/>
      <c r="H61" s="29" t="s">
        <v>943</v>
      </c>
      <c r="I61" s="1" t="s">
        <v>943</v>
      </c>
      <c r="L61" s="28"/>
      <c r="M61" s="30"/>
      <c r="N61" s="30"/>
      <c r="O61" s="30"/>
      <c r="P61" s="30"/>
    </row>
    <row r="62">
      <c r="A62" s="1" t="s">
        <v>44</v>
      </c>
      <c r="B62" s="1" t="s">
        <v>929</v>
      </c>
      <c r="C62" s="27" t="s">
        <v>96</v>
      </c>
      <c r="D62" s="28"/>
      <c r="E62" s="28"/>
      <c r="F62" s="28"/>
      <c r="G62" s="28"/>
      <c r="H62" s="28"/>
      <c r="L62" s="28"/>
      <c r="M62" s="30"/>
      <c r="N62" s="30"/>
      <c r="O62" s="30"/>
      <c r="P62" s="30"/>
    </row>
    <row r="63">
      <c r="A63" s="1" t="s">
        <v>45</v>
      </c>
      <c r="B63" s="1" t="s">
        <v>930</v>
      </c>
      <c r="C63" s="27" t="s">
        <v>97</v>
      </c>
      <c r="D63" s="28"/>
      <c r="E63" s="28"/>
      <c r="F63" s="28"/>
      <c r="G63" s="28"/>
      <c r="H63" s="28"/>
      <c r="L63" s="28"/>
      <c r="M63" s="30"/>
      <c r="N63" s="30"/>
      <c r="O63" s="30"/>
      <c r="P63" s="30"/>
    </row>
    <row r="64">
      <c r="A64" s="1" t="s">
        <v>46</v>
      </c>
      <c r="B64" s="1" t="s">
        <v>931</v>
      </c>
      <c r="C64" s="27" t="s">
        <v>98</v>
      </c>
      <c r="D64" s="28"/>
      <c r="E64" s="28"/>
      <c r="F64" s="28"/>
      <c r="G64" s="28"/>
      <c r="H64" s="28"/>
      <c r="L64" s="28"/>
      <c r="M64" s="30"/>
      <c r="N64" s="30"/>
      <c r="O64" s="30"/>
      <c r="P64" s="30"/>
    </row>
    <row r="65">
      <c r="A65" s="1" t="s">
        <v>47</v>
      </c>
      <c r="B65" s="1" t="s">
        <v>932</v>
      </c>
      <c r="C65" s="27" t="s">
        <v>99</v>
      </c>
      <c r="D65" s="28"/>
      <c r="E65" s="28"/>
      <c r="F65" s="28"/>
      <c r="G65" s="28"/>
      <c r="H65" s="28"/>
      <c r="L65" s="28"/>
      <c r="M65" s="30"/>
      <c r="N65" s="30"/>
      <c r="O65" s="30"/>
      <c r="P65" s="30"/>
    </row>
    <row r="66">
      <c r="A66" s="1" t="s">
        <v>48</v>
      </c>
      <c r="B66" s="1" t="s">
        <v>933</v>
      </c>
      <c r="C66" s="27" t="s">
        <v>48</v>
      </c>
      <c r="D66" s="28"/>
      <c r="E66" s="28"/>
      <c r="F66" s="28"/>
      <c r="G66" s="28"/>
      <c r="H66" s="28"/>
      <c r="L66" s="28"/>
      <c r="M66" s="30"/>
      <c r="N66" s="30"/>
      <c r="O66" s="30"/>
      <c r="P66" s="30"/>
    </row>
    <row r="67">
      <c r="A67" s="1" t="s">
        <v>49</v>
      </c>
      <c r="B67" s="1" t="s">
        <v>728</v>
      </c>
      <c r="C67" s="27" t="s">
        <v>49</v>
      </c>
      <c r="D67" s="28"/>
      <c r="E67" s="28"/>
      <c r="F67" s="28"/>
      <c r="G67" s="28"/>
      <c r="H67" s="28"/>
      <c r="L67" s="28"/>
      <c r="M67" s="30"/>
      <c r="N67" s="30"/>
      <c r="O67" s="30"/>
      <c r="P67" s="30"/>
    </row>
    <row r="68">
      <c r="A68" s="1" t="s">
        <v>50</v>
      </c>
      <c r="B68" s="1" t="s">
        <v>934</v>
      </c>
      <c r="C68" s="27" t="s">
        <v>50</v>
      </c>
      <c r="D68" s="28"/>
      <c r="E68" s="28"/>
      <c r="F68" s="28"/>
      <c r="G68" s="28"/>
      <c r="H68" s="28"/>
      <c r="L68" s="28"/>
      <c r="M68" s="30"/>
      <c r="N68" s="30"/>
      <c r="O68" s="30"/>
      <c r="P68" s="30"/>
    </row>
    <row r="69">
      <c r="A69" s="1" t="s">
        <v>51</v>
      </c>
      <c r="B69" s="1" t="s">
        <v>729</v>
      </c>
      <c r="C69" s="27" t="s">
        <v>100</v>
      </c>
      <c r="D69" s="28"/>
      <c r="E69" s="28"/>
      <c r="F69" s="28"/>
      <c r="G69" s="28"/>
      <c r="H69" s="28"/>
      <c r="L69" s="28"/>
      <c r="M69" s="30"/>
      <c r="N69" s="30"/>
      <c r="O69" s="30"/>
      <c r="P69" s="30"/>
    </row>
    <row r="70">
      <c r="A70" s="1" t="s">
        <v>52</v>
      </c>
      <c r="B70" s="1" t="s">
        <v>730</v>
      </c>
      <c r="C70" s="27" t="s">
        <v>101</v>
      </c>
      <c r="D70" s="28"/>
      <c r="E70" s="28"/>
      <c r="F70" s="28"/>
      <c r="G70" s="28"/>
      <c r="H70" s="28"/>
      <c r="L70" s="28"/>
      <c r="M70" s="30"/>
      <c r="N70" s="30"/>
      <c r="O70" s="30"/>
      <c r="P70" s="30"/>
    </row>
    <row r="71">
      <c r="A71" s="1" t="s">
        <v>53</v>
      </c>
      <c r="B71" s="1" t="s">
        <v>935</v>
      </c>
      <c r="C71" s="27" t="s">
        <v>102</v>
      </c>
      <c r="D71" s="28"/>
      <c r="E71" s="28"/>
      <c r="F71" s="28"/>
      <c r="G71" s="28"/>
      <c r="H71" s="28"/>
      <c r="L71" s="28"/>
      <c r="M71" s="30"/>
      <c r="N71" s="30"/>
      <c r="O71" s="30"/>
      <c r="P71" s="30"/>
    </row>
    <row r="72">
      <c r="A72" s="1" t="s">
        <v>54</v>
      </c>
      <c r="B72" s="1" t="s">
        <v>936</v>
      </c>
      <c r="C72" s="27" t="s">
        <v>103</v>
      </c>
      <c r="D72" s="28"/>
      <c r="E72" s="28"/>
      <c r="F72" s="28"/>
      <c r="G72" s="28"/>
      <c r="H72" s="28"/>
      <c r="L72" s="28"/>
      <c r="M72" s="30"/>
      <c r="N72" s="30"/>
      <c r="O72" s="30"/>
      <c r="P72" s="30"/>
    </row>
    <row r="73">
      <c r="A73" s="1" t="s">
        <v>55</v>
      </c>
      <c r="B73" s="1" t="s">
        <v>937</v>
      </c>
      <c r="C73" s="27" t="s">
        <v>104</v>
      </c>
      <c r="D73" s="28"/>
      <c r="E73" s="28"/>
      <c r="F73" s="28"/>
      <c r="G73" s="28"/>
      <c r="H73" s="28"/>
      <c r="L73" s="28"/>
      <c r="M73" s="30"/>
      <c r="N73" s="30"/>
      <c r="O73" s="30"/>
      <c r="P73" s="30"/>
    </row>
    <row r="74">
      <c r="A74" s="1" t="s">
        <v>56</v>
      </c>
      <c r="B74" s="1" t="s">
        <v>938</v>
      </c>
      <c r="C74" s="27" t="s">
        <v>105</v>
      </c>
      <c r="D74" s="28"/>
      <c r="E74" s="28"/>
      <c r="F74" s="28"/>
      <c r="G74" s="28"/>
      <c r="H74" s="28"/>
      <c r="L74" s="28"/>
      <c r="M74" s="30"/>
      <c r="N74" s="30"/>
      <c r="O74" s="30"/>
      <c r="P74" s="30"/>
    </row>
    <row r="75">
      <c r="A75" s="1" t="s">
        <v>57</v>
      </c>
      <c r="B75" s="1" t="s">
        <v>939</v>
      </c>
      <c r="C75" s="27" t="s">
        <v>106</v>
      </c>
      <c r="D75" s="28"/>
      <c r="E75" s="28"/>
      <c r="F75" s="28"/>
      <c r="G75" s="28"/>
      <c r="H75" s="28"/>
      <c r="L75" s="28"/>
      <c r="M75" s="30"/>
      <c r="N75" s="30"/>
      <c r="O75" s="30"/>
      <c r="P75" s="30"/>
    </row>
    <row r="76">
      <c r="A76" s="1" t="s">
        <v>58</v>
      </c>
      <c r="B76" s="1" t="s">
        <v>940</v>
      </c>
      <c r="C76" s="27" t="s">
        <v>107</v>
      </c>
      <c r="D76" s="28"/>
      <c r="E76" s="28"/>
      <c r="F76" s="28"/>
      <c r="G76" s="28"/>
      <c r="H76" s="28"/>
      <c r="L76" s="28"/>
      <c r="M76" s="30"/>
      <c r="N76" s="30"/>
      <c r="O76" s="30"/>
      <c r="P76" s="30"/>
    </row>
    <row r="77">
      <c r="A77" s="1" t="s">
        <v>59</v>
      </c>
      <c r="B77" s="1" t="s">
        <v>941</v>
      </c>
      <c r="C77" s="27" t="s">
        <v>108</v>
      </c>
      <c r="D77" s="28"/>
      <c r="E77" s="28"/>
      <c r="F77" s="28"/>
      <c r="G77" s="28"/>
      <c r="H77" s="28"/>
      <c r="L77" s="28"/>
      <c r="M77" s="30"/>
      <c r="N77" s="30"/>
      <c r="O77" s="30"/>
      <c r="P77" s="30"/>
    </row>
    <row r="78">
      <c r="A78" s="1" t="s">
        <v>60</v>
      </c>
      <c r="B78" s="1" t="s">
        <v>942</v>
      </c>
      <c r="C78" s="27" t="s">
        <v>109</v>
      </c>
      <c r="D78" s="28"/>
      <c r="E78" s="28"/>
      <c r="F78" s="28"/>
      <c r="G78" s="28"/>
      <c r="H78" s="28"/>
      <c r="L78" s="28"/>
      <c r="M78" s="30"/>
      <c r="N78" s="30"/>
      <c r="O78" s="30"/>
      <c r="P78" s="30"/>
    </row>
    <row r="79">
      <c r="A79" s="27" t="s">
        <v>774</v>
      </c>
      <c r="B79" s="19" t="s">
        <v>774</v>
      </c>
      <c r="C79" s="27" t="s">
        <v>774</v>
      </c>
      <c r="D79" s="28"/>
      <c r="E79" s="28"/>
      <c r="F79" s="28"/>
      <c r="G79" s="28"/>
      <c r="H79" s="28"/>
      <c r="L79" s="28"/>
      <c r="M79" s="30"/>
      <c r="N79" s="30"/>
      <c r="O79" s="30"/>
      <c r="P79" s="30"/>
    </row>
    <row r="80">
      <c r="A80" s="27" t="s">
        <v>61</v>
      </c>
      <c r="B80" s="19" t="s">
        <v>731</v>
      </c>
      <c r="C80" s="27" t="s">
        <v>110</v>
      </c>
      <c r="D80" s="28"/>
      <c r="E80" s="28"/>
      <c r="F80" s="28"/>
      <c r="G80" s="29" t="s">
        <v>943</v>
      </c>
      <c r="H80" s="28"/>
      <c r="I80" s="1" t="s">
        <v>943</v>
      </c>
      <c r="L80" s="28"/>
      <c r="M80" s="30"/>
      <c r="N80" s="30"/>
      <c r="O80" s="30"/>
      <c r="P80" s="30"/>
    </row>
    <row r="81">
      <c r="A81" s="1" t="s">
        <v>775</v>
      </c>
      <c r="B81" s="1" t="s">
        <v>904</v>
      </c>
      <c r="C81" s="27" t="s">
        <v>784</v>
      </c>
      <c r="D81" s="28"/>
      <c r="E81" s="28"/>
      <c r="F81" s="29" t="s">
        <v>943</v>
      </c>
      <c r="G81" s="28"/>
      <c r="H81" s="28"/>
      <c r="I81" s="1" t="s">
        <v>943</v>
      </c>
      <c r="L81" s="28"/>
      <c r="M81" s="30"/>
      <c r="N81" s="30"/>
      <c r="O81" s="30"/>
      <c r="P81" s="30"/>
    </row>
    <row r="82">
      <c r="A82" s="1" t="s">
        <v>776</v>
      </c>
      <c r="B82" s="1" t="s">
        <v>905</v>
      </c>
      <c r="C82" s="27" t="s">
        <v>785</v>
      </c>
      <c r="D82" s="28"/>
      <c r="E82" s="28"/>
      <c r="F82" s="28"/>
      <c r="G82" s="29" t="s">
        <v>943</v>
      </c>
      <c r="H82" s="28"/>
      <c r="I82" s="1" t="s">
        <v>943</v>
      </c>
      <c r="L82" s="28"/>
      <c r="M82" s="30"/>
      <c r="N82" s="30"/>
      <c r="O82" s="30"/>
      <c r="P82" s="30"/>
    </row>
    <row r="83">
      <c r="A83" s="1" t="s">
        <v>777</v>
      </c>
      <c r="B83" s="1" t="s">
        <v>955</v>
      </c>
      <c r="C83" s="27" t="s">
        <v>786</v>
      </c>
      <c r="D83" s="28"/>
      <c r="E83" s="28"/>
      <c r="F83" s="28"/>
      <c r="G83" s="28"/>
      <c r="H83" s="29" t="s">
        <v>943</v>
      </c>
      <c r="L83" s="28"/>
      <c r="M83" s="30"/>
      <c r="N83" s="30"/>
      <c r="O83" s="30"/>
      <c r="P83" s="30"/>
    </row>
    <row r="84">
      <c r="A84" s="1" t="s">
        <v>778</v>
      </c>
      <c r="B84" s="1" t="s">
        <v>906</v>
      </c>
      <c r="C84" s="27" t="s">
        <v>787</v>
      </c>
      <c r="D84" s="28"/>
      <c r="E84" s="28"/>
      <c r="F84" s="28"/>
      <c r="G84" s="29" t="s">
        <v>943</v>
      </c>
      <c r="H84" s="28"/>
      <c r="I84" s="1" t="s">
        <v>943</v>
      </c>
      <c r="L84" s="28"/>
      <c r="M84" s="30"/>
      <c r="N84" s="30"/>
      <c r="O84" s="30"/>
      <c r="P84" s="30"/>
    </row>
    <row r="85">
      <c r="A85" s="1" t="s">
        <v>779</v>
      </c>
      <c r="B85" s="1" t="s">
        <v>907</v>
      </c>
      <c r="C85" s="27" t="s">
        <v>788</v>
      </c>
      <c r="D85" s="28"/>
      <c r="E85" s="28"/>
      <c r="F85" s="28"/>
      <c r="G85" s="29" t="s">
        <v>943</v>
      </c>
      <c r="H85" s="28"/>
      <c r="I85" s="1" t="s">
        <v>943</v>
      </c>
      <c r="L85" s="28"/>
      <c r="M85" s="30"/>
      <c r="N85" s="30"/>
      <c r="O85" s="30"/>
      <c r="P85" s="30"/>
    </row>
    <row r="86">
      <c r="A86" s="1" t="s">
        <v>780</v>
      </c>
      <c r="B86" s="1" t="s">
        <v>908</v>
      </c>
      <c r="C86" s="27" t="s">
        <v>789</v>
      </c>
      <c r="D86" s="28"/>
      <c r="E86" s="28"/>
      <c r="F86" s="28"/>
      <c r="G86" s="28"/>
      <c r="H86" s="29" t="s">
        <v>943</v>
      </c>
      <c r="I86" s="1" t="s">
        <v>943</v>
      </c>
      <c r="L86" s="28"/>
      <c r="M86" s="30"/>
      <c r="N86" s="30"/>
      <c r="O86" s="30"/>
      <c r="P86" s="30"/>
    </row>
    <row r="87">
      <c r="A87" s="1" t="s">
        <v>781</v>
      </c>
      <c r="B87" s="1" t="s">
        <v>909</v>
      </c>
      <c r="C87" s="27" t="s">
        <v>790</v>
      </c>
      <c r="D87" s="28"/>
      <c r="E87" s="28"/>
      <c r="F87" s="28"/>
      <c r="G87" s="28"/>
      <c r="H87" s="29" t="s">
        <v>943</v>
      </c>
      <c r="I87" s="1" t="s">
        <v>943</v>
      </c>
      <c r="L87" s="28"/>
      <c r="M87" s="30"/>
      <c r="N87" s="30"/>
      <c r="O87" s="30"/>
      <c r="P87" s="30"/>
    </row>
    <row r="88">
      <c r="A88" s="1" t="s">
        <v>782</v>
      </c>
      <c r="B88" s="1" t="s">
        <v>911</v>
      </c>
      <c r="C88" s="27" t="s">
        <v>791</v>
      </c>
      <c r="D88" s="28"/>
      <c r="E88" s="28"/>
      <c r="F88" s="29" t="s">
        <v>943</v>
      </c>
      <c r="G88" s="28"/>
      <c r="H88" s="28"/>
      <c r="I88" s="1" t="s">
        <v>943</v>
      </c>
      <c r="L88" s="28"/>
      <c r="M88" s="30"/>
      <c r="N88" s="30"/>
      <c r="O88" s="30"/>
      <c r="P88" s="30"/>
    </row>
    <row r="89">
      <c r="A89" s="1" t="s">
        <v>783</v>
      </c>
      <c r="B89" s="1" t="s">
        <v>912</v>
      </c>
      <c r="C89" s="27" t="s">
        <v>792</v>
      </c>
      <c r="D89" s="28"/>
      <c r="E89" s="28"/>
      <c r="F89" s="29" t="s">
        <v>943</v>
      </c>
      <c r="G89" s="28"/>
      <c r="H89" s="28"/>
      <c r="I89" s="1" t="s">
        <v>943</v>
      </c>
      <c r="L89" s="28"/>
      <c r="M89" s="30"/>
      <c r="N89" s="30"/>
      <c r="O89" s="30"/>
      <c r="P89" s="30"/>
    </row>
    <row r="90">
      <c r="A90" s="34"/>
      <c r="B90" s="34"/>
      <c r="C90" s="34"/>
      <c r="D90" s="34"/>
      <c r="E90" s="34"/>
      <c r="F90" s="34"/>
      <c r="G90" s="34"/>
      <c r="H90" s="34"/>
      <c r="L90" s="34"/>
      <c r="M90" s="35"/>
      <c r="N90" s="35"/>
      <c r="O90" s="35"/>
      <c r="P90" s="35"/>
    </row>
    <row r="91">
      <c r="A91" s="34"/>
      <c r="B91" s="34"/>
      <c r="C91" s="34"/>
      <c r="D91" s="34"/>
      <c r="E91" s="34"/>
      <c r="F91" s="34"/>
      <c r="G91" s="34"/>
      <c r="H91" s="34"/>
      <c r="L91" s="34"/>
      <c r="M91" s="35"/>
      <c r="N91" s="35"/>
      <c r="O91" s="35"/>
      <c r="P91" s="35"/>
    </row>
    <row r="92">
      <c r="A92" s="34"/>
      <c r="B92" s="34"/>
      <c r="C92" s="34"/>
      <c r="D92" s="34"/>
      <c r="E92" s="34"/>
      <c r="F92" s="34"/>
      <c r="G92" s="34"/>
      <c r="H92" s="34"/>
      <c r="L92" s="34"/>
      <c r="M92" s="35"/>
      <c r="N92" s="35"/>
      <c r="O92" s="35"/>
      <c r="P92" s="35"/>
    </row>
    <row r="93">
      <c r="A93" s="34"/>
      <c r="B93" s="34"/>
      <c r="C93" s="34"/>
      <c r="D93" s="34"/>
      <c r="E93" s="34"/>
      <c r="F93" s="34"/>
      <c r="G93" s="34"/>
      <c r="H93" s="34"/>
      <c r="L93" s="34"/>
      <c r="M93" s="35"/>
      <c r="N93" s="35"/>
      <c r="O93" s="35"/>
      <c r="P93" s="35"/>
    </row>
    <row r="94">
      <c r="A94" s="34"/>
      <c r="B94" s="34"/>
      <c r="C94" s="34"/>
      <c r="D94" s="34"/>
      <c r="E94" s="34"/>
      <c r="F94" s="34"/>
      <c r="G94" s="34"/>
      <c r="H94" s="34"/>
      <c r="L94" s="34"/>
      <c r="M94" s="35"/>
      <c r="N94" s="35"/>
      <c r="O94" s="35"/>
      <c r="P94" s="35"/>
    </row>
    <row r="95">
      <c r="A95" s="34"/>
      <c r="B95" s="34"/>
      <c r="C95" s="34"/>
      <c r="D95" s="34"/>
      <c r="E95" s="34"/>
      <c r="F95" s="34"/>
      <c r="G95" s="34"/>
      <c r="H95" s="34"/>
      <c r="L95" s="34"/>
      <c r="M95" s="35"/>
      <c r="N95" s="35"/>
      <c r="O95" s="35"/>
      <c r="P95" s="35"/>
    </row>
    <row r="96">
      <c r="A96" s="34"/>
      <c r="B96" s="34"/>
      <c r="C96" s="34"/>
      <c r="D96" s="34"/>
      <c r="E96" s="34"/>
      <c r="F96" s="34"/>
      <c r="G96" s="34"/>
      <c r="H96" s="34"/>
      <c r="L96" s="34"/>
      <c r="M96" s="35"/>
      <c r="N96" s="35"/>
      <c r="O96" s="35"/>
      <c r="P96" s="35"/>
    </row>
    <row r="97">
      <c r="A97" s="34"/>
      <c r="B97" s="34"/>
      <c r="C97" s="34"/>
      <c r="D97" s="34"/>
      <c r="E97" s="34"/>
      <c r="F97" s="34"/>
      <c r="G97" s="34"/>
      <c r="H97" s="34"/>
      <c r="L97" s="34"/>
      <c r="M97" s="35"/>
      <c r="N97" s="35"/>
      <c r="O97" s="35"/>
      <c r="P97" s="35"/>
    </row>
    <row r="98">
      <c r="A98" s="34"/>
      <c r="B98" s="34"/>
      <c r="C98" s="34"/>
      <c r="D98" s="34"/>
      <c r="E98" s="34"/>
      <c r="F98" s="34"/>
      <c r="G98" s="34"/>
      <c r="H98" s="34"/>
      <c r="L98" s="34"/>
      <c r="M98" s="35"/>
      <c r="N98" s="35"/>
      <c r="O98" s="35"/>
      <c r="P98" s="35"/>
    </row>
    <row r="99">
      <c r="A99" s="34"/>
      <c r="B99" s="34"/>
      <c r="C99" s="34"/>
      <c r="D99" s="34"/>
      <c r="E99" s="34"/>
      <c r="F99" s="34"/>
      <c r="G99" s="34"/>
      <c r="H99" s="34"/>
      <c r="L99" s="34"/>
      <c r="M99" s="35"/>
      <c r="N99" s="35"/>
      <c r="O99" s="35"/>
      <c r="P99" s="35"/>
    </row>
    <row r="100">
      <c r="A100" s="34"/>
      <c r="B100" s="34"/>
      <c r="C100" s="34"/>
      <c r="D100" s="34"/>
      <c r="E100" s="34"/>
      <c r="F100" s="34"/>
      <c r="G100" s="34"/>
      <c r="H100" s="34"/>
      <c r="L100" s="34"/>
      <c r="M100" s="35"/>
      <c r="N100" s="35"/>
      <c r="O100" s="35"/>
      <c r="P100" s="35"/>
    </row>
    <row r="101">
      <c r="A101" s="34"/>
      <c r="B101" s="34"/>
      <c r="C101" s="34"/>
      <c r="D101" s="34"/>
      <c r="E101" s="34"/>
      <c r="F101" s="34"/>
      <c r="G101" s="34"/>
      <c r="H101" s="34"/>
      <c r="L101" s="34"/>
      <c r="M101" s="35"/>
      <c r="N101" s="35"/>
      <c r="O101" s="35"/>
      <c r="P101" s="35"/>
    </row>
    <row r="102">
      <c r="A102" s="34"/>
      <c r="B102" s="34"/>
      <c r="C102" s="34"/>
      <c r="D102" s="34"/>
      <c r="E102" s="34"/>
      <c r="F102" s="34"/>
      <c r="G102" s="34"/>
      <c r="H102" s="34"/>
      <c r="L102" s="34"/>
      <c r="M102" s="35"/>
      <c r="N102" s="35"/>
      <c r="O102" s="35"/>
      <c r="P102" s="35"/>
    </row>
    <row r="103">
      <c r="A103" s="34"/>
      <c r="B103" s="34"/>
      <c r="C103" s="34"/>
      <c r="D103" s="34"/>
      <c r="E103" s="34"/>
      <c r="F103" s="34"/>
      <c r="G103" s="34"/>
      <c r="H103" s="34"/>
      <c r="L103" s="34"/>
      <c r="M103" s="35"/>
      <c r="N103" s="35"/>
      <c r="O103" s="35"/>
      <c r="P103" s="35"/>
    </row>
    <row r="104">
      <c r="A104" s="34"/>
      <c r="B104" s="34"/>
      <c r="C104" s="34"/>
      <c r="D104" s="34"/>
      <c r="E104" s="34"/>
      <c r="F104" s="34"/>
      <c r="G104" s="34"/>
      <c r="H104" s="34"/>
      <c r="L104" s="34"/>
      <c r="M104" s="35"/>
      <c r="N104" s="35"/>
      <c r="O104" s="35"/>
      <c r="P104" s="35"/>
    </row>
    <row r="105">
      <c r="A105" s="34"/>
      <c r="B105" s="34"/>
      <c r="C105" s="34"/>
      <c r="D105" s="34"/>
      <c r="E105" s="34"/>
      <c r="F105" s="34"/>
      <c r="G105" s="34"/>
      <c r="H105" s="34"/>
      <c r="L105" s="34"/>
      <c r="M105" s="35"/>
      <c r="N105" s="35"/>
      <c r="O105" s="35"/>
      <c r="P105" s="35"/>
    </row>
    <row r="106">
      <c r="A106" s="34"/>
      <c r="B106" s="34"/>
      <c r="C106" s="34"/>
      <c r="D106" s="34"/>
      <c r="E106" s="34"/>
      <c r="F106" s="34"/>
      <c r="G106" s="34"/>
      <c r="H106" s="34"/>
      <c r="L106" s="34"/>
      <c r="M106" s="35"/>
      <c r="N106" s="35"/>
      <c r="O106" s="35"/>
      <c r="P106" s="35"/>
    </row>
    <row r="107">
      <c r="A107" s="34"/>
      <c r="B107" s="34"/>
      <c r="C107" s="34"/>
      <c r="D107" s="34"/>
      <c r="E107" s="34"/>
      <c r="F107" s="34"/>
      <c r="G107" s="34"/>
      <c r="H107" s="34"/>
      <c r="L107" s="34"/>
      <c r="M107" s="35"/>
      <c r="N107" s="35"/>
      <c r="O107" s="35"/>
      <c r="P107" s="35"/>
    </row>
    <row r="108">
      <c r="A108" s="34"/>
      <c r="B108" s="34"/>
      <c r="C108" s="34"/>
      <c r="D108" s="34"/>
      <c r="E108" s="34"/>
      <c r="F108" s="34"/>
      <c r="G108" s="34"/>
      <c r="H108" s="34"/>
      <c r="L108" s="34"/>
      <c r="M108" s="35"/>
      <c r="N108" s="35"/>
      <c r="O108" s="35"/>
      <c r="P108" s="35"/>
    </row>
    <row r="109">
      <c r="A109" s="34"/>
      <c r="B109" s="34"/>
      <c r="C109" s="34"/>
      <c r="D109" s="34"/>
      <c r="E109" s="34"/>
      <c r="F109" s="34"/>
      <c r="G109" s="34"/>
      <c r="H109" s="34"/>
      <c r="L109" s="34"/>
      <c r="M109" s="35"/>
      <c r="N109" s="35"/>
      <c r="O109" s="35"/>
      <c r="P109" s="35"/>
    </row>
    <row r="110">
      <c r="A110" s="34"/>
      <c r="B110" s="34"/>
      <c r="C110" s="34"/>
      <c r="D110" s="34"/>
      <c r="E110" s="34"/>
      <c r="F110" s="34"/>
      <c r="G110" s="34"/>
      <c r="H110" s="34"/>
      <c r="L110" s="34"/>
      <c r="M110" s="35"/>
      <c r="N110" s="35"/>
      <c r="O110" s="35"/>
      <c r="P110" s="35"/>
    </row>
    <row r="111">
      <c r="A111" s="34"/>
      <c r="B111" s="34"/>
      <c r="C111" s="34"/>
      <c r="D111" s="34"/>
      <c r="E111" s="34"/>
      <c r="F111" s="34"/>
      <c r="G111" s="34"/>
      <c r="H111" s="34"/>
      <c r="L111" s="34"/>
      <c r="M111" s="35"/>
      <c r="N111" s="35"/>
      <c r="O111" s="35"/>
      <c r="P111" s="35"/>
    </row>
    <row r="112">
      <c r="A112" s="34"/>
      <c r="B112" s="34"/>
      <c r="C112" s="34"/>
      <c r="D112" s="34"/>
      <c r="E112" s="34"/>
      <c r="F112" s="34"/>
      <c r="G112" s="34"/>
      <c r="H112" s="34"/>
      <c r="L112" s="34"/>
      <c r="M112" s="35"/>
      <c r="N112" s="35"/>
      <c r="O112" s="35"/>
      <c r="P112" s="35"/>
    </row>
    <row r="113">
      <c r="A113" s="34"/>
      <c r="B113" s="34"/>
      <c r="C113" s="34"/>
      <c r="D113" s="34"/>
      <c r="E113" s="34"/>
      <c r="F113" s="34"/>
      <c r="G113" s="34"/>
      <c r="H113" s="34"/>
      <c r="L113" s="34"/>
      <c r="M113" s="35"/>
      <c r="N113" s="35"/>
      <c r="O113" s="35"/>
      <c r="P113" s="35"/>
    </row>
    <row r="114">
      <c r="A114" s="34"/>
      <c r="B114" s="34"/>
      <c r="C114" s="34"/>
      <c r="D114" s="34"/>
      <c r="E114" s="34"/>
      <c r="F114" s="34"/>
      <c r="G114" s="34"/>
      <c r="H114" s="34"/>
      <c r="L114" s="34"/>
      <c r="M114" s="35"/>
      <c r="N114" s="35"/>
      <c r="O114" s="35"/>
      <c r="P114" s="35"/>
    </row>
    <row r="115">
      <c r="A115" s="34"/>
      <c r="B115" s="34"/>
      <c r="C115" s="34"/>
      <c r="D115" s="34"/>
      <c r="E115" s="34"/>
      <c r="F115" s="34"/>
      <c r="G115" s="34"/>
      <c r="H115" s="34"/>
      <c r="L115" s="34"/>
      <c r="M115" s="35"/>
      <c r="N115" s="35"/>
      <c r="O115" s="35"/>
      <c r="P115" s="35"/>
    </row>
    <row r="116">
      <c r="A116" s="34"/>
      <c r="B116" s="34"/>
      <c r="C116" s="34"/>
      <c r="D116" s="34"/>
      <c r="E116" s="34"/>
      <c r="F116" s="34"/>
      <c r="G116" s="34"/>
      <c r="H116" s="34"/>
      <c r="L116" s="34"/>
      <c r="M116" s="35"/>
      <c r="N116" s="35"/>
      <c r="O116" s="35"/>
      <c r="P116" s="35"/>
    </row>
    <row r="117">
      <c r="A117" s="34"/>
      <c r="B117" s="34"/>
      <c r="C117" s="34"/>
      <c r="D117" s="34"/>
      <c r="E117" s="34"/>
      <c r="F117" s="34"/>
      <c r="G117" s="34"/>
      <c r="H117" s="34"/>
      <c r="L117" s="34"/>
      <c r="M117" s="35"/>
      <c r="N117" s="35"/>
      <c r="O117" s="35"/>
      <c r="P117" s="35"/>
    </row>
    <row r="118">
      <c r="A118" s="34"/>
      <c r="B118" s="34"/>
      <c r="C118" s="34"/>
      <c r="D118" s="34"/>
      <c r="E118" s="34"/>
      <c r="F118" s="34"/>
      <c r="G118" s="34"/>
      <c r="H118" s="34"/>
      <c r="L118" s="34"/>
      <c r="M118" s="35"/>
      <c r="N118" s="35"/>
      <c r="O118" s="35"/>
      <c r="P118" s="35"/>
    </row>
    <row r="119">
      <c r="A119" s="34"/>
      <c r="B119" s="34"/>
      <c r="C119" s="34"/>
      <c r="D119" s="34"/>
      <c r="E119" s="34"/>
      <c r="F119" s="34"/>
      <c r="G119" s="34"/>
      <c r="H119" s="34"/>
      <c r="L119" s="34"/>
      <c r="M119" s="35"/>
      <c r="N119" s="35"/>
      <c r="O119" s="35"/>
      <c r="P119" s="35"/>
    </row>
    <row r="120">
      <c r="A120" s="34"/>
      <c r="B120" s="34"/>
      <c r="C120" s="34"/>
      <c r="D120" s="34"/>
      <c r="E120" s="34"/>
      <c r="F120" s="34"/>
      <c r="G120" s="34"/>
      <c r="H120" s="34"/>
      <c r="L120" s="34"/>
      <c r="M120" s="35"/>
      <c r="N120" s="35"/>
      <c r="O120" s="35"/>
      <c r="P120" s="35"/>
    </row>
    <row r="121">
      <c r="A121" s="34"/>
      <c r="B121" s="34"/>
      <c r="C121" s="34"/>
      <c r="D121" s="34"/>
      <c r="E121" s="34"/>
      <c r="F121" s="34"/>
      <c r="G121" s="34"/>
      <c r="H121" s="34"/>
      <c r="L121" s="34"/>
      <c r="M121" s="35"/>
      <c r="N121" s="35"/>
      <c r="O121" s="35"/>
      <c r="P121" s="35"/>
    </row>
    <row r="122">
      <c r="A122" s="34"/>
      <c r="B122" s="34"/>
      <c r="C122" s="34"/>
      <c r="D122" s="34"/>
      <c r="E122" s="34"/>
      <c r="F122" s="34"/>
      <c r="G122" s="34"/>
      <c r="H122" s="34"/>
      <c r="L122" s="34"/>
      <c r="M122" s="35"/>
      <c r="N122" s="35"/>
      <c r="O122" s="35"/>
      <c r="P122" s="35"/>
    </row>
    <row r="123">
      <c r="A123" s="34"/>
      <c r="B123" s="34"/>
      <c r="C123" s="34"/>
      <c r="D123" s="34"/>
      <c r="E123" s="34"/>
      <c r="F123" s="34"/>
      <c r="G123" s="34"/>
      <c r="H123" s="34"/>
      <c r="L123" s="34"/>
      <c r="M123" s="35"/>
      <c r="N123" s="35"/>
      <c r="O123" s="35"/>
      <c r="P123" s="35"/>
    </row>
    <row r="124">
      <c r="A124" s="34"/>
      <c r="B124" s="34"/>
      <c r="C124" s="34"/>
      <c r="D124" s="34"/>
      <c r="E124" s="34"/>
      <c r="F124" s="34"/>
      <c r="G124" s="34"/>
      <c r="H124" s="34"/>
      <c r="L124" s="34"/>
      <c r="M124" s="35"/>
      <c r="N124" s="35"/>
      <c r="O124" s="35"/>
      <c r="P124" s="35"/>
    </row>
    <row r="125">
      <c r="A125" s="34"/>
      <c r="B125" s="34"/>
      <c r="C125" s="34"/>
      <c r="D125" s="34"/>
      <c r="E125" s="34"/>
      <c r="F125" s="34"/>
      <c r="G125" s="34"/>
      <c r="H125" s="34"/>
      <c r="L125" s="34"/>
      <c r="M125" s="35"/>
      <c r="N125" s="35"/>
      <c r="O125" s="35"/>
      <c r="P125" s="35"/>
    </row>
    <row r="126">
      <c r="A126" s="34"/>
      <c r="B126" s="34"/>
      <c r="C126" s="34"/>
      <c r="D126" s="34"/>
      <c r="E126" s="34"/>
      <c r="F126" s="34"/>
      <c r="G126" s="34"/>
      <c r="H126" s="34"/>
      <c r="L126" s="34"/>
      <c r="M126" s="35"/>
      <c r="N126" s="35"/>
      <c r="O126" s="35"/>
      <c r="P126" s="35"/>
    </row>
    <row r="127">
      <c r="A127" s="34"/>
      <c r="B127" s="34"/>
      <c r="C127" s="34"/>
      <c r="D127" s="34"/>
      <c r="E127" s="34"/>
      <c r="F127" s="34"/>
      <c r="G127" s="34"/>
      <c r="H127" s="34"/>
      <c r="L127" s="34"/>
      <c r="M127" s="35"/>
      <c r="N127" s="35"/>
      <c r="O127" s="35"/>
      <c r="P127" s="35"/>
    </row>
    <row r="128">
      <c r="A128" s="34"/>
      <c r="B128" s="34"/>
      <c r="C128" s="34"/>
      <c r="D128" s="34"/>
      <c r="E128" s="34"/>
      <c r="F128" s="34"/>
      <c r="G128" s="34"/>
      <c r="H128" s="34"/>
      <c r="L128" s="34"/>
      <c r="M128" s="35"/>
      <c r="N128" s="35"/>
      <c r="O128" s="35"/>
      <c r="P128" s="35"/>
    </row>
    <row r="129">
      <c r="A129" s="34"/>
      <c r="B129" s="34"/>
      <c r="C129" s="34"/>
      <c r="D129" s="34"/>
      <c r="E129" s="34"/>
      <c r="F129" s="34"/>
      <c r="G129" s="34"/>
      <c r="H129" s="34"/>
      <c r="L129" s="34"/>
      <c r="M129" s="35"/>
      <c r="N129" s="35"/>
      <c r="O129" s="35"/>
      <c r="P129" s="35"/>
    </row>
    <row r="130">
      <c r="A130" s="34"/>
      <c r="B130" s="34"/>
      <c r="C130" s="34"/>
      <c r="D130" s="34"/>
      <c r="E130" s="34"/>
      <c r="F130" s="34"/>
      <c r="G130" s="34"/>
      <c r="H130" s="34"/>
      <c r="L130" s="34"/>
      <c r="M130" s="35"/>
      <c r="N130" s="35"/>
      <c r="O130" s="35"/>
      <c r="P130" s="35"/>
    </row>
    <row r="131">
      <c r="A131" s="34"/>
      <c r="B131" s="34"/>
      <c r="C131" s="34"/>
      <c r="D131" s="34"/>
      <c r="E131" s="34"/>
      <c r="F131" s="34"/>
      <c r="G131" s="34"/>
      <c r="H131" s="34"/>
      <c r="L131" s="34"/>
      <c r="M131" s="35"/>
      <c r="N131" s="35"/>
      <c r="O131" s="35"/>
      <c r="P131" s="35"/>
    </row>
    <row r="132">
      <c r="A132" s="34"/>
      <c r="B132" s="34"/>
      <c r="C132" s="34"/>
      <c r="D132" s="34"/>
      <c r="E132" s="34"/>
      <c r="F132" s="34"/>
      <c r="G132" s="34"/>
      <c r="H132" s="34"/>
      <c r="L132" s="34"/>
      <c r="M132" s="35"/>
      <c r="N132" s="35"/>
      <c r="O132" s="35"/>
      <c r="P132" s="35"/>
    </row>
    <row r="133">
      <c r="A133" s="34"/>
      <c r="B133" s="34"/>
      <c r="C133" s="34"/>
      <c r="D133" s="34"/>
      <c r="E133" s="34"/>
      <c r="F133" s="34"/>
      <c r="G133" s="34"/>
      <c r="H133" s="34"/>
      <c r="L133" s="34"/>
      <c r="M133" s="35"/>
      <c r="N133" s="35"/>
      <c r="O133" s="35"/>
      <c r="P133" s="35"/>
    </row>
    <row r="134">
      <c r="A134" s="34"/>
      <c r="B134" s="34"/>
      <c r="C134" s="34"/>
      <c r="D134" s="34"/>
      <c r="E134" s="34"/>
      <c r="F134" s="34"/>
      <c r="G134" s="34"/>
      <c r="H134" s="34"/>
      <c r="L134" s="34"/>
      <c r="M134" s="35"/>
      <c r="N134" s="35"/>
      <c r="O134" s="35"/>
      <c r="P134" s="35"/>
    </row>
    <row r="135">
      <c r="A135" s="34"/>
      <c r="B135" s="34"/>
      <c r="C135" s="34"/>
      <c r="D135" s="34"/>
      <c r="E135" s="34"/>
      <c r="F135" s="34"/>
      <c r="G135" s="34"/>
      <c r="H135" s="34"/>
      <c r="L135" s="34"/>
      <c r="M135" s="35"/>
      <c r="N135" s="35"/>
      <c r="O135" s="35"/>
      <c r="P135" s="35"/>
    </row>
    <row r="136">
      <c r="A136" s="34"/>
      <c r="B136" s="34"/>
      <c r="C136" s="34"/>
      <c r="D136" s="34"/>
      <c r="E136" s="34"/>
      <c r="F136" s="34"/>
      <c r="G136" s="34"/>
      <c r="H136" s="34"/>
      <c r="L136" s="34"/>
      <c r="M136" s="35"/>
      <c r="N136" s="35"/>
      <c r="O136" s="35"/>
      <c r="P136" s="35"/>
    </row>
    <row r="137">
      <c r="A137" s="34"/>
      <c r="B137" s="34"/>
      <c r="C137" s="34"/>
      <c r="D137" s="34"/>
      <c r="E137" s="34"/>
      <c r="F137" s="34"/>
      <c r="G137" s="34"/>
      <c r="H137" s="34"/>
      <c r="L137" s="34"/>
      <c r="M137" s="35"/>
      <c r="N137" s="35"/>
      <c r="O137" s="35"/>
      <c r="P137" s="35"/>
    </row>
    <row r="138">
      <c r="A138" s="34"/>
      <c r="B138" s="34"/>
      <c r="C138" s="34"/>
      <c r="D138" s="34"/>
      <c r="E138" s="34"/>
      <c r="F138" s="34"/>
      <c r="G138" s="34"/>
      <c r="H138" s="34"/>
      <c r="L138" s="34"/>
      <c r="M138" s="35"/>
      <c r="N138" s="35"/>
      <c r="O138" s="35"/>
      <c r="P138" s="35"/>
    </row>
    <row r="139">
      <c r="A139" s="34"/>
      <c r="B139" s="34"/>
      <c r="C139" s="34"/>
      <c r="D139" s="34"/>
      <c r="E139" s="34"/>
      <c r="F139" s="34"/>
      <c r="G139" s="34"/>
      <c r="H139" s="34"/>
      <c r="L139" s="34"/>
      <c r="M139" s="35"/>
      <c r="N139" s="35"/>
      <c r="O139" s="35"/>
      <c r="P139" s="35"/>
    </row>
    <row r="140">
      <c r="A140" s="34"/>
      <c r="B140" s="34"/>
      <c r="C140" s="34"/>
      <c r="D140" s="34"/>
      <c r="E140" s="34"/>
      <c r="F140" s="34"/>
      <c r="G140" s="34"/>
      <c r="H140" s="34"/>
      <c r="L140" s="34"/>
      <c r="M140" s="35"/>
      <c r="N140" s="35"/>
      <c r="O140" s="35"/>
      <c r="P140" s="35"/>
    </row>
    <row r="141">
      <c r="A141" s="34"/>
      <c r="B141" s="34"/>
      <c r="C141" s="34"/>
      <c r="D141" s="34"/>
      <c r="E141" s="34"/>
      <c r="F141" s="34"/>
      <c r="G141" s="34"/>
      <c r="H141" s="34"/>
      <c r="L141" s="34"/>
      <c r="M141" s="35"/>
      <c r="N141" s="35"/>
      <c r="O141" s="35"/>
      <c r="P141" s="35"/>
    </row>
    <row r="142">
      <c r="A142" s="34"/>
      <c r="B142" s="34"/>
      <c r="C142" s="34"/>
      <c r="D142" s="34"/>
      <c r="E142" s="34"/>
      <c r="F142" s="34"/>
      <c r="G142" s="34"/>
      <c r="H142" s="34"/>
      <c r="L142" s="34"/>
      <c r="M142" s="35"/>
      <c r="N142" s="35"/>
      <c r="O142" s="35"/>
      <c r="P142" s="35"/>
    </row>
    <row r="143">
      <c r="A143" s="34"/>
      <c r="B143" s="34"/>
      <c r="C143" s="34"/>
      <c r="D143" s="34"/>
      <c r="E143" s="34"/>
      <c r="F143" s="34"/>
      <c r="G143" s="34"/>
      <c r="H143" s="34"/>
      <c r="L143" s="34"/>
      <c r="M143" s="35"/>
      <c r="N143" s="35"/>
      <c r="O143" s="35"/>
      <c r="P143" s="35"/>
    </row>
    <row r="144">
      <c r="A144" s="34"/>
      <c r="B144" s="34"/>
      <c r="C144" s="34"/>
      <c r="D144" s="34"/>
      <c r="E144" s="34"/>
      <c r="F144" s="34"/>
      <c r="G144" s="34"/>
      <c r="H144" s="34"/>
      <c r="L144" s="34"/>
      <c r="M144" s="35"/>
      <c r="N144" s="35"/>
      <c r="O144" s="35"/>
      <c r="P144" s="35"/>
    </row>
    <row r="145">
      <c r="A145" s="34"/>
      <c r="B145" s="34"/>
      <c r="C145" s="36" t="s">
        <v>956</v>
      </c>
      <c r="D145" s="36" t="s">
        <v>957</v>
      </c>
      <c r="E145" s="34"/>
      <c r="F145" s="34"/>
      <c r="G145" s="34"/>
      <c r="H145" s="34"/>
      <c r="L145" s="34"/>
      <c r="M145" s="35"/>
      <c r="N145" s="35"/>
      <c r="O145" s="35"/>
      <c r="P145" s="35"/>
    </row>
    <row r="146">
      <c r="A146" s="34"/>
      <c r="B146" s="34"/>
      <c r="C146" s="1" t="s">
        <v>44</v>
      </c>
      <c r="D146" s="1" t="s">
        <v>929</v>
      </c>
      <c r="E146" s="34"/>
      <c r="F146" s="34"/>
      <c r="G146" s="34"/>
      <c r="H146" s="34"/>
      <c r="L146" s="34"/>
      <c r="M146" s="35"/>
      <c r="N146" s="35"/>
      <c r="O146" s="35"/>
      <c r="P146" s="35"/>
    </row>
    <row r="147">
      <c r="A147" s="34"/>
      <c r="B147" s="34"/>
      <c r="C147" s="1" t="s">
        <v>45</v>
      </c>
      <c r="D147" s="1" t="s">
        <v>930</v>
      </c>
      <c r="E147" s="34"/>
      <c r="F147" s="34"/>
      <c r="G147" s="34"/>
      <c r="H147" s="34"/>
      <c r="L147" s="34"/>
      <c r="M147" s="35"/>
      <c r="N147" s="35"/>
      <c r="O147" s="35"/>
      <c r="P147" s="35"/>
    </row>
    <row r="148">
      <c r="A148" s="34"/>
      <c r="B148" s="34"/>
      <c r="C148" s="1" t="s">
        <v>46</v>
      </c>
      <c r="D148" s="1" t="s">
        <v>931</v>
      </c>
      <c r="E148" s="34"/>
      <c r="F148" s="34"/>
      <c r="G148" s="34"/>
      <c r="H148" s="34"/>
      <c r="L148" s="34"/>
      <c r="M148" s="35"/>
      <c r="N148" s="35"/>
      <c r="O148" s="35"/>
      <c r="P148" s="35"/>
    </row>
    <row r="149">
      <c r="A149" s="34"/>
      <c r="B149" s="34"/>
      <c r="C149" s="1" t="s">
        <v>47</v>
      </c>
      <c r="D149" s="1" t="s">
        <v>932</v>
      </c>
      <c r="E149" s="34"/>
      <c r="F149" s="34"/>
      <c r="G149" s="34"/>
      <c r="H149" s="34"/>
      <c r="L149" s="34"/>
      <c r="M149" s="35"/>
      <c r="N149" s="35"/>
      <c r="O149" s="35"/>
      <c r="P149" s="35"/>
    </row>
    <row r="150">
      <c r="A150" s="34"/>
      <c r="B150" s="34"/>
      <c r="C150" s="1" t="s">
        <v>48</v>
      </c>
      <c r="D150" s="1" t="s">
        <v>933</v>
      </c>
      <c r="E150" s="34"/>
      <c r="F150" s="34"/>
      <c r="G150" s="34"/>
      <c r="H150" s="34"/>
      <c r="L150" s="34"/>
      <c r="M150" s="35"/>
      <c r="N150" s="35"/>
      <c r="O150" s="35"/>
      <c r="P150" s="35"/>
    </row>
    <row r="151">
      <c r="A151" s="34"/>
      <c r="B151" s="34"/>
      <c r="C151" s="1" t="s">
        <v>49</v>
      </c>
      <c r="D151" s="1" t="s">
        <v>728</v>
      </c>
      <c r="E151" s="34"/>
      <c r="F151" s="34"/>
      <c r="G151" s="34"/>
      <c r="H151" s="34"/>
      <c r="L151" s="34"/>
      <c r="M151" s="35"/>
      <c r="N151" s="35"/>
      <c r="O151" s="35"/>
      <c r="P151" s="35"/>
    </row>
    <row r="152">
      <c r="A152" s="34"/>
      <c r="B152" s="34"/>
      <c r="C152" s="1" t="s">
        <v>50</v>
      </c>
      <c r="D152" s="1" t="s">
        <v>934</v>
      </c>
      <c r="E152" s="34"/>
      <c r="F152" s="34"/>
      <c r="G152" s="34"/>
      <c r="H152" s="34"/>
      <c r="L152" s="34"/>
      <c r="M152" s="35"/>
      <c r="N152" s="35"/>
      <c r="O152" s="35"/>
      <c r="P152" s="35"/>
    </row>
    <row r="153">
      <c r="A153" s="34"/>
      <c r="B153" s="34"/>
      <c r="C153" s="1" t="s">
        <v>51</v>
      </c>
      <c r="D153" s="1" t="s">
        <v>729</v>
      </c>
      <c r="E153" s="34"/>
      <c r="F153" s="34"/>
      <c r="G153" s="34"/>
      <c r="H153" s="34"/>
      <c r="L153" s="34"/>
      <c r="M153" s="35"/>
      <c r="N153" s="35"/>
      <c r="O153" s="35"/>
      <c r="P153" s="35"/>
    </row>
    <row r="154">
      <c r="A154" s="34"/>
      <c r="B154" s="34"/>
      <c r="C154" s="1" t="s">
        <v>52</v>
      </c>
      <c r="D154" s="1" t="s">
        <v>730</v>
      </c>
      <c r="E154" s="34"/>
      <c r="F154" s="34"/>
      <c r="G154" s="34"/>
      <c r="H154" s="34"/>
      <c r="L154" s="34"/>
      <c r="M154" s="35"/>
      <c r="N154" s="35"/>
      <c r="O154" s="35"/>
      <c r="P154" s="35"/>
    </row>
    <row r="155">
      <c r="A155" s="34"/>
      <c r="B155" s="34"/>
      <c r="C155" s="1" t="s">
        <v>53</v>
      </c>
      <c r="D155" s="1" t="s">
        <v>935</v>
      </c>
      <c r="E155" s="34"/>
      <c r="F155" s="34"/>
      <c r="G155" s="34"/>
      <c r="H155" s="34"/>
      <c r="L155" s="34"/>
      <c r="M155" s="35"/>
      <c r="N155" s="35"/>
      <c r="O155" s="35"/>
      <c r="P155" s="35"/>
    </row>
    <row r="156">
      <c r="A156" s="34"/>
      <c r="B156" s="34"/>
      <c r="C156" s="1" t="s">
        <v>54</v>
      </c>
      <c r="D156" s="1" t="s">
        <v>936</v>
      </c>
      <c r="E156" s="34"/>
      <c r="F156" s="34"/>
      <c r="G156" s="34"/>
      <c r="H156" s="34"/>
      <c r="L156" s="34"/>
      <c r="M156" s="35"/>
      <c r="N156" s="35"/>
      <c r="O156" s="35"/>
      <c r="P156" s="35"/>
    </row>
    <row r="157">
      <c r="A157" s="34"/>
      <c r="B157" s="34"/>
      <c r="C157" s="1" t="s">
        <v>55</v>
      </c>
      <c r="D157" s="1" t="s">
        <v>937</v>
      </c>
      <c r="E157" s="34"/>
      <c r="F157" s="34"/>
      <c r="G157" s="34"/>
      <c r="H157" s="34"/>
      <c r="L157" s="34"/>
      <c r="M157" s="35"/>
      <c r="N157" s="35"/>
      <c r="O157" s="35"/>
      <c r="P157" s="35"/>
    </row>
    <row r="158">
      <c r="A158" s="34"/>
      <c r="B158" s="34"/>
      <c r="C158" s="1" t="s">
        <v>56</v>
      </c>
      <c r="D158" s="1" t="s">
        <v>938</v>
      </c>
      <c r="E158" s="34"/>
      <c r="F158" s="34"/>
      <c r="G158" s="34"/>
      <c r="H158" s="34"/>
      <c r="L158" s="34"/>
      <c r="M158" s="35"/>
      <c r="N158" s="35"/>
      <c r="O158" s="35"/>
      <c r="P158" s="35"/>
    </row>
    <row r="159">
      <c r="A159" s="34"/>
      <c r="B159" s="34"/>
      <c r="C159" s="1" t="s">
        <v>57</v>
      </c>
      <c r="D159" s="1" t="s">
        <v>939</v>
      </c>
      <c r="E159" s="34"/>
      <c r="F159" s="34"/>
      <c r="G159" s="34"/>
      <c r="H159" s="34"/>
      <c r="L159" s="34"/>
      <c r="M159" s="35"/>
      <c r="N159" s="35"/>
      <c r="O159" s="35"/>
      <c r="P159" s="35"/>
    </row>
    <row r="160">
      <c r="A160" s="34"/>
      <c r="B160" s="34"/>
      <c r="C160" s="1" t="s">
        <v>58</v>
      </c>
      <c r="D160" s="1" t="s">
        <v>940</v>
      </c>
      <c r="E160" s="34"/>
      <c r="F160" s="34"/>
      <c r="G160" s="34"/>
      <c r="H160" s="34"/>
      <c r="L160" s="34"/>
      <c r="M160" s="35"/>
      <c r="N160" s="35"/>
      <c r="O160" s="35"/>
      <c r="P160" s="35"/>
    </row>
    <row r="161">
      <c r="A161" s="34"/>
      <c r="B161" s="34"/>
      <c r="C161" s="1" t="s">
        <v>59</v>
      </c>
      <c r="D161" s="1" t="s">
        <v>941</v>
      </c>
      <c r="E161" s="34"/>
      <c r="F161" s="34"/>
      <c r="G161" s="34"/>
      <c r="H161" s="34"/>
      <c r="L161" s="34"/>
      <c r="M161" s="35"/>
      <c r="N161" s="35"/>
      <c r="O161" s="35"/>
      <c r="P161" s="35"/>
    </row>
    <row r="162">
      <c r="A162" s="34"/>
      <c r="B162" s="34"/>
      <c r="C162" s="1" t="s">
        <v>60</v>
      </c>
      <c r="D162" s="1" t="s">
        <v>942</v>
      </c>
      <c r="E162" s="34"/>
      <c r="F162" s="34"/>
      <c r="G162" s="34"/>
      <c r="H162" s="34"/>
      <c r="L162" s="34"/>
      <c r="M162" s="35"/>
      <c r="N162" s="35"/>
      <c r="O162" s="35"/>
      <c r="P162" s="35"/>
    </row>
    <row r="163">
      <c r="A163" s="34"/>
      <c r="B163" s="34"/>
      <c r="C163" s="1" t="s">
        <v>61</v>
      </c>
      <c r="D163" s="1" t="s">
        <v>958</v>
      </c>
      <c r="E163" s="34"/>
      <c r="F163" s="34"/>
      <c r="G163" s="34"/>
      <c r="H163" s="34"/>
      <c r="L163" s="34"/>
      <c r="M163" s="35"/>
      <c r="N163" s="35"/>
      <c r="O163" s="35"/>
      <c r="P163" s="35"/>
    </row>
    <row r="164">
      <c r="A164" s="34"/>
      <c r="B164" s="34"/>
      <c r="C164" s="1" t="s">
        <v>62</v>
      </c>
      <c r="D164" s="1" t="s">
        <v>959</v>
      </c>
      <c r="E164" s="34"/>
      <c r="F164" s="34"/>
      <c r="G164" s="34"/>
      <c r="H164" s="34"/>
      <c r="L164" s="34"/>
      <c r="M164" s="35"/>
      <c r="N164" s="35"/>
      <c r="O164" s="35"/>
      <c r="P164" s="35"/>
    </row>
    <row r="165">
      <c r="A165" s="34"/>
      <c r="B165" s="34"/>
      <c r="C165" s="1" t="s">
        <v>63</v>
      </c>
      <c r="D165" s="1" t="s">
        <v>736</v>
      </c>
      <c r="E165" s="34"/>
      <c r="F165" s="34"/>
      <c r="G165" s="34"/>
      <c r="H165" s="34"/>
      <c r="L165" s="34"/>
      <c r="M165" s="35"/>
      <c r="N165" s="35"/>
      <c r="O165" s="35"/>
      <c r="P165" s="35"/>
    </row>
    <row r="166">
      <c r="A166" s="34"/>
      <c r="B166" s="34"/>
      <c r="C166" s="1" t="s">
        <v>64</v>
      </c>
      <c r="D166" s="1" t="s">
        <v>737</v>
      </c>
      <c r="E166" s="34"/>
      <c r="F166" s="34"/>
      <c r="G166" s="34"/>
      <c r="H166" s="34"/>
      <c r="L166" s="34"/>
      <c r="M166" s="35"/>
      <c r="N166" s="35"/>
      <c r="O166" s="35"/>
      <c r="P166" s="35"/>
    </row>
    <row r="167">
      <c r="A167" s="34"/>
      <c r="B167" s="34"/>
      <c r="C167" s="1" t="s">
        <v>65</v>
      </c>
      <c r="D167" s="1" t="s">
        <v>738</v>
      </c>
      <c r="E167" s="34"/>
      <c r="F167" s="34"/>
      <c r="G167" s="34"/>
      <c r="H167" s="34"/>
      <c r="L167" s="34"/>
      <c r="M167" s="35"/>
      <c r="N167" s="35"/>
      <c r="O167" s="35"/>
      <c r="P167" s="35"/>
    </row>
    <row r="168">
      <c r="A168" s="34"/>
      <c r="B168" s="34"/>
      <c r="C168" s="1" t="s">
        <v>66</v>
      </c>
      <c r="D168" s="1" t="s">
        <v>739</v>
      </c>
      <c r="E168" s="34"/>
      <c r="F168" s="34"/>
      <c r="G168" s="34"/>
      <c r="H168" s="34"/>
      <c r="L168" s="34"/>
      <c r="M168" s="35"/>
      <c r="N168" s="35"/>
      <c r="O168" s="35"/>
      <c r="P168" s="35"/>
    </row>
    <row r="169">
      <c r="A169" s="34"/>
      <c r="B169" s="34"/>
      <c r="C169" s="1" t="s">
        <v>67</v>
      </c>
      <c r="D169" s="1" t="s">
        <v>740</v>
      </c>
      <c r="E169" s="34"/>
      <c r="F169" s="34"/>
      <c r="G169" s="34"/>
      <c r="H169" s="34"/>
      <c r="L169" s="34"/>
      <c r="M169" s="35"/>
      <c r="N169" s="35"/>
      <c r="O169" s="35"/>
      <c r="P169" s="35"/>
    </row>
    <row r="170">
      <c r="A170" s="34"/>
      <c r="B170" s="34"/>
      <c r="C170" s="1" t="s">
        <v>68</v>
      </c>
      <c r="D170" s="1" t="s">
        <v>741</v>
      </c>
      <c r="E170" s="34"/>
      <c r="F170" s="34"/>
      <c r="G170" s="34"/>
      <c r="H170" s="34"/>
      <c r="L170" s="34"/>
      <c r="M170" s="35"/>
      <c r="N170" s="35"/>
      <c r="O170" s="35"/>
      <c r="P170" s="35"/>
    </row>
    <row r="171">
      <c r="A171" s="34"/>
      <c r="B171" s="34"/>
      <c r="C171" s="1" t="s">
        <v>69</v>
      </c>
      <c r="D171" s="1" t="s">
        <v>742</v>
      </c>
      <c r="E171" s="34"/>
      <c r="F171" s="34"/>
      <c r="G171" s="34"/>
      <c r="H171" s="34"/>
      <c r="L171" s="34"/>
      <c r="M171" s="35"/>
      <c r="N171" s="35"/>
      <c r="O171" s="35"/>
      <c r="P171" s="35"/>
    </row>
    <row r="172">
      <c r="A172" s="34"/>
      <c r="B172" s="34"/>
      <c r="C172" s="1" t="s">
        <v>70</v>
      </c>
      <c r="D172" s="1" t="s">
        <v>743</v>
      </c>
      <c r="E172" s="34"/>
      <c r="F172" s="34"/>
      <c r="G172" s="34"/>
      <c r="H172" s="34"/>
      <c r="L172" s="34"/>
      <c r="M172" s="35"/>
      <c r="N172" s="35"/>
      <c r="O172" s="35"/>
      <c r="P172" s="35"/>
    </row>
    <row r="173">
      <c r="A173" s="34"/>
      <c r="B173" s="34"/>
      <c r="C173" s="1" t="s">
        <v>71</v>
      </c>
      <c r="D173" s="1" t="s">
        <v>744</v>
      </c>
      <c r="E173" s="34"/>
      <c r="F173" s="34"/>
      <c r="G173" s="34"/>
      <c r="H173" s="34"/>
      <c r="L173" s="34"/>
      <c r="M173" s="35"/>
      <c r="N173" s="35"/>
      <c r="O173" s="35"/>
      <c r="P173" s="35"/>
    </row>
    <row r="174">
      <c r="A174" s="34"/>
      <c r="B174" s="34"/>
      <c r="C174" s="1" t="s">
        <v>72</v>
      </c>
      <c r="D174" s="1" t="s">
        <v>745</v>
      </c>
      <c r="E174" s="34"/>
      <c r="F174" s="34"/>
      <c r="G174" s="34"/>
      <c r="H174" s="34"/>
      <c r="L174" s="34"/>
      <c r="M174" s="35"/>
      <c r="N174" s="35"/>
      <c r="O174" s="35"/>
      <c r="P174" s="35"/>
    </row>
    <row r="175">
      <c r="A175" s="34"/>
      <c r="B175" s="34"/>
      <c r="C175" s="1" t="s">
        <v>73</v>
      </c>
      <c r="D175" s="1" t="s">
        <v>746</v>
      </c>
      <c r="E175" s="34"/>
      <c r="F175" s="34"/>
      <c r="G175" s="34"/>
      <c r="H175" s="34"/>
      <c r="L175" s="34"/>
      <c r="M175" s="35"/>
      <c r="N175" s="35"/>
      <c r="O175" s="35"/>
      <c r="P175" s="35"/>
    </row>
    <row r="176">
      <c r="A176" s="34"/>
      <c r="B176" s="34"/>
      <c r="C176" s="1" t="s">
        <v>74</v>
      </c>
      <c r="D176" s="1" t="s">
        <v>747</v>
      </c>
      <c r="E176" s="34"/>
      <c r="F176" s="34"/>
      <c r="G176" s="34"/>
      <c r="H176" s="34"/>
      <c r="L176" s="34"/>
      <c r="M176" s="35"/>
      <c r="N176" s="35"/>
      <c r="O176" s="35"/>
      <c r="P176" s="35"/>
    </row>
    <row r="177">
      <c r="A177" s="34"/>
      <c r="B177" s="34"/>
      <c r="C177" s="1" t="s">
        <v>75</v>
      </c>
      <c r="D177" s="1" t="s">
        <v>748</v>
      </c>
      <c r="E177" s="34"/>
      <c r="F177" s="34"/>
      <c r="G177" s="34"/>
      <c r="H177" s="34"/>
      <c r="L177" s="34"/>
      <c r="M177" s="35"/>
      <c r="N177" s="35"/>
      <c r="O177" s="35"/>
      <c r="P177" s="35"/>
    </row>
    <row r="178">
      <c r="A178" s="34"/>
      <c r="B178" s="34"/>
      <c r="C178" s="1" t="s">
        <v>76</v>
      </c>
      <c r="D178" s="1" t="s">
        <v>749</v>
      </c>
      <c r="E178" s="34"/>
      <c r="F178" s="34"/>
      <c r="G178" s="34"/>
      <c r="H178" s="34"/>
      <c r="L178" s="34"/>
      <c r="M178" s="35"/>
      <c r="N178" s="35"/>
      <c r="O178" s="35"/>
      <c r="P178" s="35"/>
    </row>
    <row r="179">
      <c r="A179" s="34"/>
      <c r="B179" s="34"/>
      <c r="C179" s="1" t="s">
        <v>77</v>
      </c>
      <c r="D179" s="1" t="s">
        <v>751</v>
      </c>
      <c r="E179" s="34"/>
      <c r="F179" s="34"/>
      <c r="G179" s="34"/>
      <c r="H179" s="34"/>
      <c r="L179" s="34"/>
      <c r="M179" s="35"/>
      <c r="N179" s="35"/>
      <c r="O179" s="35"/>
      <c r="P179" s="35"/>
    </row>
    <row r="180">
      <c r="A180" s="34"/>
      <c r="B180" s="34"/>
      <c r="C180" s="1" t="s">
        <v>78</v>
      </c>
      <c r="D180" s="1" t="s">
        <v>752</v>
      </c>
      <c r="E180" s="34"/>
      <c r="F180" s="34"/>
      <c r="G180" s="34"/>
      <c r="H180" s="34"/>
      <c r="L180" s="34"/>
      <c r="M180" s="35"/>
      <c r="N180" s="35"/>
      <c r="O180" s="35"/>
      <c r="P180" s="35"/>
    </row>
    <row r="181">
      <c r="A181" s="34"/>
      <c r="B181" s="34"/>
      <c r="C181" s="1" t="s">
        <v>79</v>
      </c>
      <c r="D181" s="1" t="s">
        <v>753</v>
      </c>
      <c r="E181" s="34"/>
      <c r="F181" s="34"/>
      <c r="G181" s="34"/>
      <c r="H181" s="34"/>
      <c r="L181" s="34"/>
      <c r="M181" s="35"/>
      <c r="N181" s="35"/>
      <c r="O181" s="35"/>
      <c r="P181" s="35"/>
    </row>
    <row r="182">
      <c r="A182" s="34"/>
      <c r="B182" s="34"/>
      <c r="C182" s="1" t="s">
        <v>80</v>
      </c>
      <c r="D182" s="1" t="s">
        <v>754</v>
      </c>
      <c r="E182" s="34"/>
      <c r="F182" s="34"/>
      <c r="G182" s="34"/>
      <c r="H182" s="34"/>
      <c r="L182" s="34"/>
      <c r="M182" s="35"/>
      <c r="N182" s="35"/>
      <c r="O182" s="35"/>
      <c r="P182" s="35"/>
    </row>
    <row r="183">
      <c r="A183" s="34"/>
      <c r="B183" s="34"/>
      <c r="C183" s="1" t="s">
        <v>81</v>
      </c>
      <c r="D183" s="1" t="s">
        <v>755</v>
      </c>
      <c r="E183" s="34"/>
      <c r="F183" s="34"/>
      <c r="G183" s="34"/>
      <c r="H183" s="34"/>
      <c r="L183" s="34"/>
      <c r="M183" s="35"/>
      <c r="N183" s="35"/>
      <c r="O183" s="35"/>
      <c r="P183" s="35"/>
    </row>
    <row r="184">
      <c r="A184" s="34"/>
      <c r="B184" s="34"/>
      <c r="C184" s="1" t="s">
        <v>82</v>
      </c>
      <c r="D184" s="1" t="s">
        <v>756</v>
      </c>
      <c r="E184" s="34"/>
      <c r="F184" s="34"/>
      <c r="G184" s="34"/>
      <c r="H184" s="34"/>
      <c r="L184" s="34"/>
      <c r="M184" s="35"/>
      <c r="N184" s="35"/>
      <c r="O184" s="35"/>
      <c r="P184" s="35"/>
    </row>
    <row r="185">
      <c r="A185" s="34"/>
      <c r="B185" s="34"/>
      <c r="C185" s="1" t="s">
        <v>83</v>
      </c>
      <c r="D185" s="1" t="s">
        <v>757</v>
      </c>
      <c r="E185" s="34"/>
      <c r="F185" s="34"/>
      <c r="G185" s="34"/>
      <c r="H185" s="34"/>
      <c r="L185" s="34"/>
      <c r="M185" s="35"/>
      <c r="N185" s="35"/>
      <c r="O185" s="35"/>
      <c r="P185" s="35"/>
    </row>
    <row r="186">
      <c r="A186" s="34"/>
      <c r="B186" s="34"/>
      <c r="C186" s="1" t="s">
        <v>84</v>
      </c>
      <c r="D186" s="1" t="s">
        <v>758</v>
      </c>
      <c r="E186" s="34"/>
      <c r="F186" s="34"/>
      <c r="G186" s="34"/>
      <c r="H186" s="34"/>
      <c r="L186" s="34"/>
      <c r="M186" s="35"/>
      <c r="N186" s="35"/>
      <c r="O186" s="35"/>
      <c r="P186" s="35"/>
    </row>
    <row r="187">
      <c r="A187" s="34"/>
      <c r="B187" s="34"/>
      <c r="C187" s="1" t="s">
        <v>85</v>
      </c>
      <c r="D187" s="1" t="s">
        <v>759</v>
      </c>
      <c r="E187" s="34"/>
      <c r="F187" s="34"/>
      <c r="G187" s="34"/>
      <c r="H187" s="34"/>
      <c r="L187" s="34"/>
      <c r="M187" s="35"/>
      <c r="N187" s="35"/>
      <c r="O187" s="35"/>
      <c r="P187" s="35"/>
    </row>
    <row r="188">
      <c r="A188" s="34"/>
      <c r="B188" s="34"/>
      <c r="C188" s="1" t="s">
        <v>86</v>
      </c>
      <c r="D188" s="1" t="s">
        <v>760</v>
      </c>
      <c r="E188" s="34"/>
      <c r="F188" s="34"/>
      <c r="G188" s="34"/>
      <c r="H188" s="34"/>
      <c r="L188" s="34"/>
      <c r="M188" s="35"/>
      <c r="N188" s="35"/>
      <c r="O188" s="35"/>
      <c r="P188" s="35"/>
    </row>
    <row r="189">
      <c r="A189" s="34"/>
      <c r="B189" s="34"/>
      <c r="C189" s="1" t="s">
        <v>87</v>
      </c>
      <c r="D189" s="1" t="s">
        <v>761</v>
      </c>
      <c r="E189" s="34"/>
      <c r="F189" s="34"/>
      <c r="G189" s="34"/>
      <c r="H189" s="34"/>
      <c r="L189" s="34"/>
      <c r="M189" s="35"/>
      <c r="N189" s="35"/>
      <c r="O189" s="35"/>
      <c r="P189" s="35"/>
    </row>
    <row r="190">
      <c r="A190" s="34"/>
      <c r="B190" s="34"/>
      <c r="C190" s="1" t="s">
        <v>88</v>
      </c>
      <c r="D190" s="1" t="s">
        <v>762</v>
      </c>
      <c r="E190" s="34"/>
      <c r="F190" s="34"/>
      <c r="G190" s="34"/>
      <c r="H190" s="34"/>
      <c r="L190" s="34"/>
      <c r="M190" s="35"/>
      <c r="N190" s="35"/>
      <c r="O190" s="35"/>
      <c r="P190" s="35"/>
    </row>
    <row r="191">
      <c r="A191" s="34"/>
      <c r="B191" s="34"/>
      <c r="C191" s="1" t="s">
        <v>89</v>
      </c>
      <c r="D191" s="1" t="s">
        <v>763</v>
      </c>
      <c r="E191" s="34"/>
      <c r="F191" s="34"/>
      <c r="G191" s="34"/>
      <c r="H191" s="34"/>
      <c r="L191" s="34"/>
      <c r="M191" s="35"/>
      <c r="N191" s="35"/>
      <c r="O191" s="35"/>
      <c r="P191" s="35"/>
    </row>
    <row r="192">
      <c r="A192" s="34"/>
      <c r="B192" s="34"/>
      <c r="C192" s="1" t="s">
        <v>90</v>
      </c>
      <c r="D192" s="1" t="s">
        <v>764</v>
      </c>
      <c r="E192" s="34"/>
      <c r="F192" s="34"/>
      <c r="G192" s="34"/>
      <c r="H192" s="34"/>
      <c r="L192" s="34"/>
      <c r="M192" s="35"/>
      <c r="N192" s="35"/>
      <c r="O192" s="35"/>
      <c r="P192" s="35"/>
    </row>
    <row r="193">
      <c r="A193" s="34"/>
      <c r="B193" s="34"/>
      <c r="C193" s="1" t="s">
        <v>91</v>
      </c>
      <c r="D193" s="1" t="s">
        <v>766</v>
      </c>
      <c r="E193" s="34"/>
      <c r="F193" s="34"/>
      <c r="G193" s="34"/>
      <c r="H193" s="34"/>
      <c r="L193" s="34"/>
      <c r="M193" s="35"/>
      <c r="N193" s="35"/>
      <c r="O193" s="35"/>
      <c r="P193" s="35"/>
    </row>
    <row r="194">
      <c r="A194" s="34"/>
      <c r="B194" s="34"/>
      <c r="C194" s="1" t="s">
        <v>92</v>
      </c>
      <c r="D194" s="1" t="s">
        <v>768</v>
      </c>
      <c r="E194" s="34"/>
      <c r="F194" s="34"/>
      <c r="G194" s="34"/>
      <c r="H194" s="34"/>
      <c r="L194" s="34"/>
      <c r="M194" s="35"/>
      <c r="N194" s="35"/>
      <c r="O194" s="35"/>
      <c r="P194" s="35"/>
    </row>
    <row r="195">
      <c r="A195" s="34"/>
      <c r="B195" s="34"/>
      <c r="C195" s="1" t="s">
        <v>93</v>
      </c>
      <c r="D195" s="1" t="s">
        <v>770</v>
      </c>
      <c r="E195" s="34"/>
      <c r="F195" s="34"/>
      <c r="G195" s="34"/>
      <c r="H195" s="34"/>
      <c r="L195" s="34"/>
      <c r="M195" s="35"/>
      <c r="N195" s="35"/>
      <c r="O195" s="35"/>
      <c r="P195" s="35"/>
    </row>
    <row r="196">
      <c r="A196" s="34"/>
      <c r="B196" s="34"/>
      <c r="C196" s="1" t="s">
        <v>94</v>
      </c>
      <c r="D196" s="1" t="s">
        <v>771</v>
      </c>
      <c r="E196" s="34"/>
      <c r="F196" s="34"/>
      <c r="G196" s="34"/>
      <c r="H196" s="34"/>
      <c r="L196" s="34"/>
      <c r="M196" s="35"/>
      <c r="N196" s="35"/>
      <c r="O196" s="35"/>
      <c r="P196" s="35"/>
    </row>
    <row r="197">
      <c r="A197" s="34"/>
      <c r="B197" s="34"/>
      <c r="C197" s="1" t="s">
        <v>95</v>
      </c>
      <c r="D197" s="1" t="s">
        <v>773</v>
      </c>
      <c r="E197" s="34"/>
      <c r="F197" s="34"/>
      <c r="G197" s="34"/>
      <c r="H197" s="34"/>
      <c r="L197" s="34"/>
      <c r="M197" s="35"/>
      <c r="N197" s="35"/>
      <c r="O197" s="35"/>
      <c r="P197" s="35"/>
    </row>
    <row r="198">
      <c r="A198" s="34"/>
      <c r="B198" s="34"/>
      <c r="C198" s="1" t="s">
        <v>774</v>
      </c>
      <c r="D198" s="1" t="s">
        <v>960</v>
      </c>
      <c r="E198" s="34"/>
      <c r="F198" s="34"/>
      <c r="G198" s="34"/>
      <c r="H198" s="34"/>
      <c r="L198" s="34"/>
      <c r="M198" s="35"/>
      <c r="N198" s="35"/>
      <c r="O198" s="35"/>
      <c r="P198" s="35"/>
    </row>
    <row r="199">
      <c r="A199" s="34"/>
      <c r="B199" s="34"/>
      <c r="C199" s="1" t="s">
        <v>775</v>
      </c>
      <c r="D199" s="1" t="s">
        <v>904</v>
      </c>
      <c r="E199" s="34"/>
      <c r="F199" s="34"/>
      <c r="G199" s="34"/>
      <c r="H199" s="34"/>
      <c r="L199" s="34"/>
      <c r="M199" s="35"/>
      <c r="N199" s="35"/>
      <c r="O199" s="35"/>
      <c r="P199" s="35"/>
    </row>
    <row r="200">
      <c r="A200" s="34"/>
      <c r="B200" s="34"/>
      <c r="C200" s="1" t="s">
        <v>776</v>
      </c>
      <c r="D200" s="1" t="s">
        <v>905</v>
      </c>
      <c r="E200" s="34"/>
      <c r="F200" s="34"/>
      <c r="G200" s="34"/>
      <c r="H200" s="34"/>
      <c r="L200" s="34"/>
      <c r="M200" s="35"/>
      <c r="N200" s="35"/>
      <c r="O200" s="35"/>
      <c r="P200" s="35"/>
    </row>
    <row r="201">
      <c r="A201" s="34"/>
      <c r="B201" s="34"/>
      <c r="C201" s="1" t="s">
        <v>777</v>
      </c>
      <c r="D201" s="1" t="s">
        <v>955</v>
      </c>
      <c r="E201" s="34"/>
      <c r="F201" s="34"/>
      <c r="G201" s="34"/>
      <c r="H201" s="34"/>
      <c r="L201" s="34"/>
      <c r="M201" s="35"/>
      <c r="N201" s="35"/>
      <c r="O201" s="35"/>
      <c r="P201" s="35"/>
    </row>
    <row r="202">
      <c r="A202" s="34"/>
      <c r="B202" s="34"/>
      <c r="C202" s="1" t="s">
        <v>778</v>
      </c>
      <c r="D202" s="1" t="s">
        <v>906</v>
      </c>
      <c r="E202" s="34"/>
      <c r="F202" s="34"/>
      <c r="G202" s="34"/>
      <c r="H202" s="34"/>
      <c r="L202" s="34"/>
      <c r="M202" s="35"/>
      <c r="N202" s="35"/>
      <c r="O202" s="35"/>
      <c r="P202" s="35"/>
    </row>
    <row r="203">
      <c r="A203" s="34"/>
      <c r="B203" s="34"/>
      <c r="C203" s="1" t="s">
        <v>779</v>
      </c>
      <c r="D203" s="1" t="s">
        <v>907</v>
      </c>
      <c r="E203" s="34"/>
      <c r="F203" s="34"/>
      <c r="G203" s="34"/>
      <c r="H203" s="34"/>
      <c r="L203" s="34"/>
      <c r="M203" s="35"/>
      <c r="N203" s="35"/>
      <c r="O203" s="35"/>
      <c r="P203" s="35"/>
    </row>
    <row r="204">
      <c r="A204" s="34"/>
      <c r="B204" s="34"/>
      <c r="C204" s="1" t="s">
        <v>780</v>
      </c>
      <c r="D204" s="1" t="s">
        <v>908</v>
      </c>
      <c r="E204" s="34"/>
      <c r="F204" s="34"/>
      <c r="G204" s="34"/>
      <c r="H204" s="34"/>
      <c r="L204" s="34"/>
      <c r="M204" s="35"/>
      <c r="N204" s="35"/>
      <c r="O204" s="35"/>
      <c r="P204" s="35"/>
    </row>
    <row r="205">
      <c r="A205" s="34"/>
      <c r="B205" s="34"/>
      <c r="C205" s="1" t="s">
        <v>781</v>
      </c>
      <c r="D205" s="1" t="s">
        <v>909</v>
      </c>
      <c r="E205" s="34"/>
      <c r="F205" s="34"/>
      <c r="G205" s="34"/>
      <c r="H205" s="34"/>
      <c r="L205" s="34"/>
      <c r="M205" s="35"/>
      <c r="N205" s="35"/>
      <c r="O205" s="35"/>
      <c r="P205" s="35"/>
    </row>
    <row r="206">
      <c r="A206" s="34"/>
      <c r="B206" s="34"/>
      <c r="C206" s="1" t="s">
        <v>782</v>
      </c>
      <c r="D206" s="1" t="s">
        <v>911</v>
      </c>
      <c r="E206" s="34"/>
      <c r="F206" s="34"/>
      <c r="G206" s="34"/>
      <c r="H206" s="34"/>
      <c r="L206" s="34"/>
      <c r="M206" s="35"/>
      <c r="N206" s="35"/>
      <c r="O206" s="35"/>
      <c r="P206" s="35"/>
    </row>
    <row r="207">
      <c r="A207" s="34"/>
      <c r="B207" s="34"/>
      <c r="C207" s="1" t="s">
        <v>783</v>
      </c>
      <c r="D207" s="1" t="s">
        <v>912</v>
      </c>
      <c r="E207" s="34"/>
      <c r="F207" s="34"/>
      <c r="G207" s="34"/>
      <c r="H207" s="34"/>
      <c r="L207" s="34"/>
      <c r="M207" s="35"/>
      <c r="N207" s="35"/>
      <c r="O207" s="35"/>
      <c r="P207" s="35"/>
    </row>
    <row r="208">
      <c r="A208" s="34"/>
      <c r="B208" s="34"/>
      <c r="C208" s="34"/>
      <c r="D208" s="34"/>
      <c r="E208" s="34"/>
      <c r="F208" s="34"/>
      <c r="G208" s="34"/>
      <c r="H208" s="34"/>
      <c r="L208" s="34"/>
      <c r="M208" s="35"/>
      <c r="N208" s="35"/>
      <c r="O208" s="35"/>
      <c r="P208" s="35"/>
    </row>
    <row r="209">
      <c r="A209" s="34"/>
      <c r="B209" s="34"/>
      <c r="C209" s="34"/>
      <c r="D209" s="34"/>
      <c r="E209" s="34"/>
      <c r="F209" s="34"/>
      <c r="G209" s="34"/>
      <c r="H209" s="34"/>
      <c r="L209" s="34"/>
      <c r="M209" s="35"/>
      <c r="N209" s="35"/>
      <c r="O209" s="35"/>
      <c r="P209" s="35"/>
    </row>
    <row r="210">
      <c r="A210" s="34"/>
      <c r="B210" s="34"/>
      <c r="C210" s="34"/>
      <c r="D210" s="34"/>
      <c r="E210" s="34"/>
      <c r="F210" s="34"/>
      <c r="G210" s="34"/>
      <c r="H210" s="34"/>
      <c r="L210" s="34"/>
      <c r="M210" s="35"/>
      <c r="N210" s="35"/>
      <c r="O210" s="35"/>
      <c r="P210" s="35"/>
    </row>
    <row r="211">
      <c r="A211" s="34"/>
      <c r="B211" s="34"/>
      <c r="C211" s="34"/>
      <c r="D211" s="34"/>
      <c r="E211" s="34"/>
      <c r="F211" s="34"/>
      <c r="G211" s="34"/>
      <c r="H211" s="34"/>
      <c r="L211" s="34"/>
      <c r="M211" s="35"/>
      <c r="N211" s="35"/>
      <c r="O211" s="35"/>
      <c r="P211" s="35"/>
    </row>
    <row r="212">
      <c r="A212" s="34"/>
      <c r="B212" s="34"/>
      <c r="C212" s="34"/>
      <c r="D212" s="34"/>
      <c r="E212" s="34"/>
      <c r="F212" s="34"/>
      <c r="G212" s="34"/>
      <c r="H212" s="34"/>
      <c r="L212" s="34"/>
      <c r="M212" s="35"/>
      <c r="N212" s="35"/>
      <c r="O212" s="35"/>
      <c r="P212" s="35"/>
    </row>
    <row r="213">
      <c r="A213" s="34"/>
      <c r="B213" s="34"/>
      <c r="C213" s="34"/>
      <c r="D213" s="34"/>
      <c r="E213" s="34"/>
      <c r="F213" s="34"/>
      <c r="G213" s="34"/>
      <c r="H213" s="34"/>
      <c r="L213" s="34"/>
      <c r="M213" s="35"/>
      <c r="N213" s="35"/>
      <c r="O213" s="35"/>
      <c r="P213" s="35"/>
    </row>
    <row r="214">
      <c r="A214" s="34"/>
      <c r="B214" s="34"/>
      <c r="C214" s="34"/>
      <c r="D214" s="34"/>
      <c r="E214" s="34"/>
      <c r="F214" s="34"/>
      <c r="G214" s="34"/>
      <c r="H214" s="34"/>
      <c r="L214" s="34"/>
      <c r="M214" s="35"/>
      <c r="N214" s="35"/>
      <c r="O214" s="35"/>
      <c r="P214" s="35"/>
    </row>
    <row r="215">
      <c r="A215" s="34"/>
      <c r="B215" s="34"/>
      <c r="C215" s="34"/>
      <c r="D215" s="34"/>
      <c r="E215" s="34"/>
      <c r="F215" s="34"/>
      <c r="G215" s="34"/>
      <c r="H215" s="34"/>
      <c r="L215" s="34"/>
      <c r="M215" s="35"/>
      <c r="N215" s="35"/>
      <c r="O215" s="35"/>
      <c r="P215" s="35"/>
    </row>
    <row r="216">
      <c r="A216" s="34"/>
      <c r="B216" s="34"/>
      <c r="C216" s="34"/>
      <c r="D216" s="34"/>
      <c r="E216" s="34"/>
      <c r="F216" s="34"/>
      <c r="G216" s="34"/>
      <c r="H216" s="34"/>
      <c r="L216" s="34"/>
      <c r="M216" s="35"/>
      <c r="N216" s="35"/>
      <c r="O216" s="35"/>
      <c r="P216" s="35"/>
    </row>
    <row r="217">
      <c r="A217" s="34"/>
      <c r="B217" s="34"/>
      <c r="C217" s="34"/>
      <c r="D217" s="34"/>
      <c r="E217" s="34"/>
      <c r="F217" s="34"/>
      <c r="G217" s="34"/>
      <c r="H217" s="34"/>
      <c r="L217" s="34"/>
      <c r="M217" s="35"/>
      <c r="N217" s="35"/>
      <c r="O217" s="35"/>
      <c r="P217" s="35"/>
    </row>
    <row r="218">
      <c r="A218" s="34"/>
      <c r="B218" s="34"/>
      <c r="C218" s="34"/>
      <c r="D218" s="34"/>
      <c r="E218" s="34"/>
      <c r="F218" s="34"/>
      <c r="G218" s="34"/>
      <c r="H218" s="34"/>
      <c r="L218" s="34"/>
      <c r="M218" s="35"/>
      <c r="N218" s="35"/>
      <c r="O218" s="35"/>
      <c r="P218" s="35"/>
    </row>
    <row r="219">
      <c r="A219" s="34"/>
      <c r="B219" s="34"/>
      <c r="C219" s="34"/>
      <c r="D219" s="34"/>
      <c r="E219" s="34"/>
      <c r="F219" s="34"/>
      <c r="G219" s="34"/>
      <c r="H219" s="34"/>
      <c r="L219" s="34"/>
      <c r="M219" s="35"/>
      <c r="N219" s="35"/>
      <c r="O219" s="35"/>
      <c r="P219" s="35"/>
    </row>
    <row r="220">
      <c r="A220" s="34"/>
      <c r="B220" s="34"/>
      <c r="C220" s="34"/>
      <c r="D220" s="34"/>
      <c r="E220" s="34"/>
      <c r="F220" s="34"/>
      <c r="G220" s="34"/>
      <c r="H220" s="34"/>
      <c r="L220" s="34"/>
      <c r="M220" s="35"/>
      <c r="N220" s="35"/>
      <c r="O220" s="35"/>
      <c r="P220" s="35"/>
    </row>
    <row r="221">
      <c r="A221" s="34"/>
      <c r="B221" s="34"/>
      <c r="C221" s="34"/>
      <c r="D221" s="34"/>
      <c r="E221" s="34"/>
      <c r="F221" s="34"/>
      <c r="G221" s="34"/>
      <c r="H221" s="34"/>
      <c r="L221" s="34"/>
      <c r="M221" s="35"/>
      <c r="N221" s="35"/>
      <c r="O221" s="35"/>
      <c r="P221" s="35"/>
    </row>
    <row r="222">
      <c r="A222" s="34"/>
      <c r="B222" s="34"/>
      <c r="C222" s="34"/>
      <c r="D222" s="34"/>
      <c r="E222" s="34"/>
      <c r="F222" s="34"/>
      <c r="G222" s="34"/>
      <c r="H222" s="34"/>
      <c r="L222" s="34"/>
      <c r="M222" s="35"/>
      <c r="N222" s="35"/>
      <c r="O222" s="35"/>
      <c r="P222" s="35"/>
    </row>
    <row r="223">
      <c r="A223" s="34"/>
      <c r="B223" s="34"/>
      <c r="C223" s="34"/>
      <c r="D223" s="34"/>
      <c r="E223" s="34"/>
      <c r="F223" s="34"/>
      <c r="G223" s="34"/>
      <c r="H223" s="34"/>
      <c r="L223" s="34"/>
      <c r="M223" s="35"/>
      <c r="N223" s="35"/>
      <c r="O223" s="35"/>
      <c r="P223" s="35"/>
    </row>
    <row r="224">
      <c r="A224" s="34"/>
      <c r="B224" s="34"/>
      <c r="C224" s="34"/>
      <c r="D224" s="34"/>
      <c r="E224" s="34"/>
      <c r="F224" s="34"/>
      <c r="G224" s="34"/>
      <c r="H224" s="34"/>
      <c r="L224" s="34"/>
      <c r="M224" s="35"/>
      <c r="N224" s="35"/>
      <c r="O224" s="35"/>
      <c r="P224" s="35"/>
    </row>
    <row r="225">
      <c r="A225" s="34"/>
      <c r="B225" s="34"/>
      <c r="C225" s="34"/>
      <c r="D225" s="34"/>
      <c r="E225" s="34"/>
      <c r="F225" s="34"/>
      <c r="G225" s="34"/>
      <c r="H225" s="34"/>
      <c r="L225" s="34"/>
      <c r="M225" s="35"/>
      <c r="N225" s="35"/>
      <c r="O225" s="35"/>
      <c r="P225" s="35"/>
    </row>
    <row r="226">
      <c r="A226" s="34"/>
      <c r="B226" s="34"/>
      <c r="C226" s="34"/>
      <c r="D226" s="34"/>
      <c r="E226" s="34"/>
      <c r="F226" s="34"/>
      <c r="G226" s="34"/>
      <c r="H226" s="34"/>
      <c r="L226" s="34"/>
      <c r="M226" s="35"/>
      <c r="N226" s="35"/>
      <c r="O226" s="35"/>
      <c r="P226" s="35"/>
    </row>
    <row r="227">
      <c r="A227" s="34"/>
      <c r="B227" s="34"/>
      <c r="C227" s="34"/>
      <c r="D227" s="34"/>
      <c r="E227" s="34"/>
      <c r="F227" s="34"/>
      <c r="G227" s="34"/>
      <c r="H227" s="34"/>
      <c r="L227" s="34"/>
      <c r="M227" s="35"/>
      <c r="N227" s="35"/>
      <c r="O227" s="35"/>
      <c r="P227" s="35"/>
    </row>
    <row r="228">
      <c r="A228" s="34"/>
      <c r="B228" s="34"/>
      <c r="C228" s="34"/>
      <c r="D228" s="34"/>
      <c r="E228" s="34"/>
      <c r="F228" s="34"/>
      <c r="G228" s="34"/>
      <c r="H228" s="34"/>
      <c r="L228" s="34"/>
      <c r="M228" s="35"/>
      <c r="N228" s="35"/>
      <c r="O228" s="35"/>
      <c r="P228" s="35"/>
    </row>
    <row r="229">
      <c r="A229" s="34"/>
      <c r="B229" s="34"/>
      <c r="C229" s="34"/>
      <c r="D229" s="34"/>
      <c r="E229" s="34"/>
      <c r="F229" s="34"/>
      <c r="G229" s="34"/>
      <c r="H229" s="34"/>
      <c r="L229" s="34"/>
      <c r="M229" s="35"/>
      <c r="N229" s="35"/>
      <c r="O229" s="35"/>
      <c r="P229" s="35"/>
    </row>
    <row r="230">
      <c r="A230" s="34"/>
      <c r="B230" s="34"/>
      <c r="C230" s="34"/>
      <c r="D230" s="34"/>
      <c r="E230" s="34"/>
      <c r="F230" s="34"/>
      <c r="G230" s="34"/>
      <c r="H230" s="34"/>
      <c r="L230" s="34"/>
      <c r="M230" s="35"/>
      <c r="N230" s="35"/>
      <c r="O230" s="35"/>
      <c r="P230" s="35"/>
    </row>
    <row r="231">
      <c r="A231" s="34"/>
      <c r="B231" s="34"/>
      <c r="C231" s="34"/>
      <c r="D231" s="34"/>
      <c r="E231" s="34"/>
      <c r="F231" s="34"/>
      <c r="G231" s="34"/>
      <c r="H231" s="34"/>
      <c r="L231" s="34"/>
      <c r="M231" s="35"/>
      <c r="N231" s="35"/>
      <c r="O231" s="35"/>
      <c r="P231" s="35"/>
    </row>
    <row r="232">
      <c r="A232" s="34"/>
      <c r="B232" s="34"/>
      <c r="C232" s="34"/>
      <c r="D232" s="34"/>
      <c r="E232" s="34"/>
      <c r="F232" s="34"/>
      <c r="G232" s="34"/>
      <c r="H232" s="34"/>
      <c r="L232" s="34"/>
      <c r="M232" s="35"/>
      <c r="N232" s="35"/>
      <c r="O232" s="35"/>
      <c r="P232" s="35"/>
    </row>
    <row r="233">
      <c r="A233" s="34"/>
      <c r="B233" s="34"/>
      <c r="C233" s="34"/>
      <c r="D233" s="34"/>
      <c r="E233" s="34"/>
      <c r="F233" s="34"/>
      <c r="G233" s="34"/>
      <c r="H233" s="34"/>
      <c r="L233" s="34"/>
      <c r="M233" s="35"/>
      <c r="N233" s="35"/>
      <c r="O233" s="35"/>
      <c r="P233" s="35"/>
    </row>
    <row r="234">
      <c r="A234" s="34"/>
      <c r="B234" s="34"/>
      <c r="C234" s="34"/>
      <c r="D234" s="34"/>
      <c r="E234" s="34"/>
      <c r="F234" s="34"/>
      <c r="G234" s="34"/>
      <c r="H234" s="34"/>
      <c r="L234" s="34"/>
      <c r="M234" s="35"/>
      <c r="N234" s="35"/>
      <c r="O234" s="35"/>
      <c r="P234" s="35"/>
    </row>
    <row r="235">
      <c r="A235" s="34"/>
      <c r="B235" s="34"/>
      <c r="C235" s="34"/>
      <c r="D235" s="34"/>
      <c r="E235" s="34"/>
      <c r="F235" s="34"/>
      <c r="G235" s="34"/>
      <c r="H235" s="34"/>
      <c r="L235" s="34"/>
      <c r="M235" s="35"/>
      <c r="N235" s="35"/>
      <c r="O235" s="35"/>
      <c r="P235" s="35"/>
    </row>
    <row r="236">
      <c r="A236" s="34"/>
      <c r="B236" s="34"/>
      <c r="C236" s="34"/>
      <c r="D236" s="34"/>
      <c r="E236" s="34"/>
      <c r="F236" s="34"/>
      <c r="G236" s="34"/>
      <c r="H236" s="34"/>
      <c r="L236" s="34"/>
      <c r="M236" s="35"/>
      <c r="N236" s="35"/>
      <c r="O236" s="35"/>
      <c r="P236" s="35"/>
    </row>
    <row r="237">
      <c r="A237" s="34"/>
      <c r="B237" s="34"/>
      <c r="C237" s="34"/>
      <c r="D237" s="34"/>
      <c r="E237" s="34"/>
      <c r="F237" s="34"/>
      <c r="G237" s="34"/>
      <c r="H237" s="34"/>
      <c r="L237" s="34"/>
      <c r="M237" s="35"/>
      <c r="N237" s="35"/>
      <c r="O237" s="35"/>
      <c r="P237" s="35"/>
    </row>
    <row r="238">
      <c r="A238" s="34"/>
      <c r="B238" s="34"/>
      <c r="C238" s="34"/>
      <c r="D238" s="34"/>
      <c r="E238" s="34"/>
      <c r="F238" s="34"/>
      <c r="G238" s="34"/>
      <c r="H238" s="34"/>
      <c r="L238" s="34"/>
      <c r="M238" s="35"/>
      <c r="N238" s="35"/>
      <c r="O238" s="35"/>
      <c r="P238" s="35"/>
    </row>
    <row r="239">
      <c r="A239" s="34"/>
      <c r="B239" s="34"/>
      <c r="C239" s="34"/>
      <c r="D239" s="34"/>
      <c r="E239" s="34"/>
      <c r="F239" s="34"/>
      <c r="G239" s="34"/>
      <c r="H239" s="34"/>
      <c r="L239" s="34"/>
      <c r="M239" s="35"/>
      <c r="N239" s="35"/>
      <c r="O239" s="35"/>
      <c r="P239" s="35"/>
    </row>
    <row r="240">
      <c r="A240" s="34"/>
      <c r="B240" s="34"/>
      <c r="C240" s="34"/>
      <c r="D240" s="34"/>
      <c r="E240" s="34"/>
      <c r="F240" s="34"/>
      <c r="G240" s="34"/>
      <c r="H240" s="34"/>
      <c r="L240" s="34"/>
      <c r="M240" s="35"/>
      <c r="N240" s="35"/>
      <c r="O240" s="35"/>
      <c r="P240" s="35"/>
    </row>
    <row r="241">
      <c r="A241" s="34"/>
      <c r="B241" s="34"/>
      <c r="C241" s="34"/>
      <c r="D241" s="34"/>
      <c r="E241" s="34"/>
      <c r="F241" s="34"/>
      <c r="G241" s="34"/>
      <c r="H241" s="34"/>
      <c r="L241" s="34"/>
      <c r="M241" s="35"/>
      <c r="N241" s="35"/>
      <c r="O241" s="35"/>
      <c r="P241" s="35"/>
    </row>
    <row r="242">
      <c r="A242" s="34"/>
      <c r="B242" s="34"/>
      <c r="C242" s="34"/>
      <c r="D242" s="34"/>
      <c r="E242" s="34"/>
      <c r="F242" s="34"/>
      <c r="G242" s="34"/>
      <c r="H242" s="34"/>
      <c r="L242" s="34"/>
      <c r="M242" s="35"/>
      <c r="N242" s="35"/>
      <c r="O242" s="35"/>
      <c r="P242" s="35"/>
    </row>
    <row r="243">
      <c r="A243" s="34"/>
      <c r="B243" s="34"/>
      <c r="C243" s="34"/>
      <c r="D243" s="34"/>
      <c r="E243" s="34"/>
      <c r="F243" s="34"/>
      <c r="G243" s="34"/>
      <c r="H243" s="34"/>
      <c r="L243" s="34"/>
      <c r="M243" s="35"/>
      <c r="N243" s="35"/>
      <c r="O243" s="35"/>
      <c r="P243" s="35"/>
    </row>
    <row r="244">
      <c r="A244" s="34"/>
      <c r="B244" s="34"/>
      <c r="C244" s="34"/>
      <c r="D244" s="34"/>
      <c r="E244" s="34"/>
      <c r="F244" s="34"/>
      <c r="G244" s="34"/>
      <c r="H244" s="34"/>
      <c r="L244" s="34"/>
      <c r="M244" s="35"/>
      <c r="N244" s="35"/>
      <c r="O244" s="35"/>
      <c r="P244" s="35"/>
    </row>
    <row r="245">
      <c r="A245" s="34"/>
      <c r="B245" s="34"/>
      <c r="C245" s="34"/>
      <c r="D245" s="34"/>
      <c r="E245" s="34"/>
      <c r="F245" s="34"/>
      <c r="G245" s="34"/>
      <c r="H245" s="34"/>
      <c r="L245" s="34"/>
      <c r="M245" s="35"/>
      <c r="N245" s="35"/>
      <c r="O245" s="35"/>
      <c r="P245" s="35"/>
    </row>
    <row r="246">
      <c r="A246" s="34"/>
      <c r="B246" s="34"/>
      <c r="C246" s="34"/>
      <c r="D246" s="34"/>
      <c r="E246" s="34"/>
      <c r="F246" s="34"/>
      <c r="G246" s="34"/>
      <c r="H246" s="34"/>
      <c r="L246" s="34"/>
      <c r="M246" s="35"/>
      <c r="N246" s="35"/>
      <c r="O246" s="35"/>
      <c r="P246" s="35"/>
    </row>
    <row r="247">
      <c r="A247" s="34"/>
      <c r="B247" s="34"/>
      <c r="C247" s="34"/>
      <c r="D247" s="34"/>
      <c r="E247" s="34"/>
      <c r="F247" s="34"/>
      <c r="G247" s="34"/>
      <c r="H247" s="34"/>
      <c r="L247" s="34"/>
      <c r="M247" s="35"/>
      <c r="N247" s="35"/>
      <c r="O247" s="35"/>
      <c r="P247" s="35"/>
    </row>
    <row r="248">
      <c r="A248" s="34"/>
      <c r="B248" s="34"/>
      <c r="C248" s="34"/>
      <c r="D248" s="34"/>
      <c r="E248" s="34"/>
      <c r="F248" s="34"/>
      <c r="G248" s="34"/>
      <c r="H248" s="34"/>
      <c r="L248" s="34"/>
      <c r="M248" s="35"/>
      <c r="N248" s="35"/>
      <c r="O248" s="35"/>
      <c r="P248" s="35"/>
    </row>
    <row r="249">
      <c r="A249" s="34"/>
      <c r="B249" s="34"/>
      <c r="C249" s="34"/>
      <c r="D249" s="34"/>
      <c r="E249" s="34"/>
      <c r="F249" s="34"/>
      <c r="G249" s="34"/>
      <c r="H249" s="34"/>
      <c r="L249" s="34"/>
      <c r="M249" s="35"/>
      <c r="N249" s="35"/>
      <c r="O249" s="35"/>
      <c r="P249" s="35"/>
    </row>
    <row r="250">
      <c r="A250" s="34"/>
      <c r="B250" s="34"/>
      <c r="C250" s="34"/>
      <c r="D250" s="34"/>
      <c r="E250" s="34"/>
      <c r="F250" s="34"/>
      <c r="G250" s="34"/>
      <c r="H250" s="34"/>
      <c r="L250" s="34"/>
      <c r="M250" s="35"/>
      <c r="N250" s="35"/>
      <c r="O250" s="35"/>
      <c r="P250" s="35"/>
    </row>
    <row r="251">
      <c r="A251" s="34"/>
      <c r="B251" s="34"/>
      <c r="C251" s="34"/>
      <c r="D251" s="34"/>
      <c r="E251" s="34"/>
      <c r="F251" s="34"/>
      <c r="G251" s="34"/>
      <c r="H251" s="34"/>
      <c r="L251" s="34"/>
      <c r="M251" s="35"/>
      <c r="N251" s="35"/>
      <c r="O251" s="35"/>
      <c r="P251" s="35"/>
    </row>
    <row r="252">
      <c r="A252" s="34"/>
      <c r="B252" s="34"/>
      <c r="C252" s="34"/>
      <c r="D252" s="34"/>
      <c r="E252" s="34"/>
      <c r="F252" s="34"/>
      <c r="G252" s="34"/>
      <c r="H252" s="34"/>
      <c r="L252" s="34"/>
      <c r="M252" s="35"/>
      <c r="N252" s="35"/>
      <c r="O252" s="35"/>
      <c r="P252" s="35"/>
    </row>
    <row r="253">
      <c r="A253" s="34"/>
      <c r="B253" s="34"/>
      <c r="C253" s="34"/>
      <c r="D253" s="34"/>
      <c r="E253" s="34"/>
      <c r="F253" s="34"/>
      <c r="G253" s="34"/>
      <c r="H253" s="34"/>
      <c r="L253" s="34"/>
      <c r="M253" s="35"/>
      <c r="N253" s="35"/>
      <c r="O253" s="35"/>
      <c r="P253" s="35"/>
    </row>
    <row r="254">
      <c r="A254" s="34"/>
      <c r="B254" s="34"/>
      <c r="C254" s="34"/>
      <c r="D254" s="34"/>
      <c r="E254" s="34"/>
      <c r="F254" s="34"/>
      <c r="G254" s="34"/>
      <c r="H254" s="34"/>
      <c r="L254" s="34"/>
      <c r="M254" s="35"/>
      <c r="N254" s="35"/>
      <c r="O254" s="35"/>
      <c r="P254" s="35"/>
    </row>
    <row r="255">
      <c r="A255" s="34"/>
      <c r="B255" s="34"/>
      <c r="C255" s="34"/>
      <c r="D255" s="34"/>
      <c r="E255" s="34"/>
      <c r="F255" s="34"/>
      <c r="G255" s="34"/>
      <c r="H255" s="34"/>
      <c r="L255" s="34"/>
      <c r="M255" s="35"/>
      <c r="N255" s="35"/>
      <c r="O255" s="35"/>
      <c r="P255" s="35"/>
    </row>
    <row r="256">
      <c r="A256" s="34"/>
      <c r="B256" s="34"/>
      <c r="C256" s="34"/>
      <c r="D256" s="34"/>
      <c r="E256" s="34"/>
      <c r="F256" s="34"/>
      <c r="G256" s="34"/>
      <c r="H256" s="34"/>
      <c r="L256" s="34"/>
      <c r="M256" s="35"/>
      <c r="N256" s="35"/>
      <c r="O256" s="35"/>
      <c r="P256" s="35"/>
    </row>
    <row r="257">
      <c r="A257" s="34"/>
      <c r="B257" s="34"/>
      <c r="C257" s="34"/>
      <c r="D257" s="34"/>
      <c r="E257" s="34"/>
      <c r="F257" s="34"/>
      <c r="G257" s="34"/>
      <c r="H257" s="34"/>
      <c r="L257" s="34"/>
      <c r="M257" s="35"/>
      <c r="N257" s="35"/>
      <c r="O257" s="35"/>
      <c r="P257" s="35"/>
    </row>
    <row r="258">
      <c r="A258" s="34"/>
      <c r="B258" s="34"/>
      <c r="C258" s="34"/>
      <c r="D258" s="34"/>
      <c r="E258" s="34"/>
      <c r="F258" s="34"/>
      <c r="G258" s="34"/>
      <c r="H258" s="34"/>
      <c r="L258" s="34"/>
      <c r="M258" s="35"/>
      <c r="N258" s="35"/>
      <c r="O258" s="35"/>
      <c r="P258" s="35"/>
    </row>
    <row r="259">
      <c r="A259" s="34"/>
      <c r="B259" s="34"/>
      <c r="C259" s="34"/>
      <c r="D259" s="34"/>
      <c r="E259" s="34"/>
      <c r="F259" s="34"/>
      <c r="G259" s="34"/>
      <c r="H259" s="34"/>
      <c r="L259" s="34"/>
      <c r="M259" s="35"/>
      <c r="N259" s="35"/>
      <c r="O259" s="35"/>
      <c r="P259" s="35"/>
    </row>
    <row r="260">
      <c r="A260" s="34"/>
      <c r="B260" s="34"/>
      <c r="C260" s="34"/>
      <c r="D260" s="34"/>
      <c r="E260" s="34"/>
      <c r="F260" s="34"/>
      <c r="G260" s="34"/>
      <c r="H260" s="34"/>
      <c r="L260" s="34"/>
      <c r="M260" s="35"/>
      <c r="N260" s="35"/>
      <c r="O260" s="35"/>
      <c r="P260" s="35"/>
    </row>
    <row r="261">
      <c r="A261" s="34"/>
      <c r="B261" s="34"/>
      <c r="C261" s="34"/>
      <c r="D261" s="34"/>
      <c r="E261" s="34"/>
      <c r="F261" s="34"/>
      <c r="G261" s="34"/>
      <c r="H261" s="34"/>
      <c r="L261" s="34"/>
      <c r="M261" s="35"/>
      <c r="N261" s="35"/>
      <c r="O261" s="35"/>
      <c r="P261" s="35"/>
    </row>
    <row r="262">
      <c r="A262" s="34"/>
      <c r="B262" s="34"/>
      <c r="C262" s="34"/>
      <c r="D262" s="34"/>
      <c r="E262" s="34"/>
      <c r="F262" s="34"/>
      <c r="G262" s="34"/>
      <c r="H262" s="34"/>
      <c r="L262" s="34"/>
      <c r="M262" s="35"/>
      <c r="N262" s="35"/>
      <c r="O262" s="35"/>
      <c r="P262" s="35"/>
    </row>
    <row r="263">
      <c r="A263" s="34"/>
      <c r="B263" s="34"/>
      <c r="C263" s="34"/>
      <c r="D263" s="34"/>
      <c r="E263" s="34"/>
      <c r="F263" s="34"/>
      <c r="G263" s="34"/>
      <c r="H263" s="34"/>
      <c r="L263" s="34"/>
      <c r="M263" s="35"/>
      <c r="N263" s="35"/>
      <c r="O263" s="35"/>
      <c r="P263" s="35"/>
    </row>
    <row r="264">
      <c r="A264" s="34"/>
      <c r="B264" s="34"/>
      <c r="C264" s="34"/>
      <c r="D264" s="34"/>
      <c r="E264" s="34"/>
      <c r="F264" s="34"/>
      <c r="G264" s="34"/>
      <c r="H264" s="34"/>
      <c r="L264" s="34"/>
      <c r="M264" s="35"/>
      <c r="N264" s="35"/>
      <c r="O264" s="35"/>
      <c r="P264" s="35"/>
    </row>
    <row r="265">
      <c r="A265" s="34"/>
      <c r="B265" s="34"/>
      <c r="C265" s="34"/>
      <c r="D265" s="34"/>
      <c r="E265" s="34"/>
      <c r="F265" s="34"/>
      <c r="G265" s="34"/>
      <c r="H265" s="34"/>
      <c r="L265" s="34"/>
      <c r="M265" s="35"/>
      <c r="N265" s="35"/>
      <c r="O265" s="35"/>
      <c r="P265" s="35"/>
    </row>
    <row r="266">
      <c r="A266" s="34"/>
      <c r="B266" s="34"/>
      <c r="C266" s="34"/>
      <c r="D266" s="34"/>
      <c r="E266" s="34"/>
      <c r="F266" s="34"/>
      <c r="G266" s="34"/>
      <c r="H266" s="34"/>
      <c r="L266" s="34"/>
      <c r="M266" s="35"/>
      <c r="N266" s="35"/>
      <c r="O266" s="35"/>
      <c r="P266" s="35"/>
    </row>
    <row r="267">
      <c r="A267" s="34"/>
      <c r="B267" s="34"/>
      <c r="C267" s="34"/>
      <c r="D267" s="34"/>
      <c r="E267" s="34"/>
      <c r="F267" s="34"/>
      <c r="G267" s="34"/>
      <c r="H267" s="34"/>
      <c r="L267" s="34"/>
      <c r="M267" s="35"/>
      <c r="N267" s="35"/>
      <c r="O267" s="35"/>
      <c r="P267" s="35"/>
    </row>
    <row r="268">
      <c r="A268" s="34"/>
      <c r="B268" s="34"/>
      <c r="C268" s="34"/>
      <c r="D268" s="34"/>
      <c r="E268" s="34"/>
      <c r="F268" s="34"/>
      <c r="G268" s="34"/>
      <c r="H268" s="34"/>
      <c r="L268" s="34"/>
      <c r="M268" s="35"/>
      <c r="N268" s="35"/>
      <c r="O268" s="35"/>
      <c r="P268" s="35"/>
    </row>
    <row r="269">
      <c r="A269" s="34"/>
      <c r="B269" s="34"/>
      <c r="C269" s="34"/>
      <c r="D269" s="34"/>
      <c r="E269" s="34"/>
      <c r="F269" s="34"/>
      <c r="G269" s="34"/>
      <c r="H269" s="34"/>
      <c r="L269" s="34"/>
      <c r="M269" s="35"/>
      <c r="N269" s="35"/>
      <c r="O269" s="35"/>
      <c r="P269" s="35"/>
    </row>
    <row r="270">
      <c r="A270" s="34"/>
      <c r="B270" s="34"/>
      <c r="C270" s="34"/>
      <c r="D270" s="34"/>
      <c r="E270" s="34"/>
      <c r="F270" s="34"/>
      <c r="G270" s="34"/>
      <c r="H270" s="34"/>
      <c r="L270" s="34"/>
      <c r="M270" s="35"/>
      <c r="N270" s="35"/>
      <c r="O270" s="35"/>
      <c r="P270" s="35"/>
    </row>
    <row r="271">
      <c r="A271" s="34"/>
      <c r="B271" s="34"/>
      <c r="C271" s="34"/>
      <c r="D271" s="34"/>
      <c r="E271" s="34"/>
      <c r="F271" s="34"/>
      <c r="G271" s="34"/>
      <c r="H271" s="34"/>
      <c r="L271" s="34"/>
      <c r="M271" s="35"/>
      <c r="N271" s="35"/>
      <c r="O271" s="35"/>
      <c r="P271" s="35"/>
    </row>
    <row r="272">
      <c r="A272" s="34"/>
      <c r="B272" s="34"/>
      <c r="C272" s="34"/>
      <c r="D272" s="34"/>
      <c r="E272" s="34"/>
      <c r="F272" s="34"/>
      <c r="G272" s="34"/>
      <c r="H272" s="34"/>
      <c r="L272" s="34"/>
      <c r="M272" s="35"/>
      <c r="N272" s="35"/>
      <c r="O272" s="35"/>
      <c r="P272" s="35"/>
    </row>
    <row r="273">
      <c r="A273" s="34"/>
      <c r="B273" s="34"/>
      <c r="C273" s="34"/>
      <c r="D273" s="34"/>
      <c r="E273" s="34"/>
      <c r="F273" s="34"/>
      <c r="G273" s="34"/>
      <c r="H273" s="34"/>
      <c r="L273" s="34"/>
      <c r="M273" s="35"/>
      <c r="N273" s="35"/>
      <c r="O273" s="35"/>
      <c r="P273" s="35"/>
    </row>
    <row r="274">
      <c r="A274" s="34"/>
      <c r="B274" s="34"/>
      <c r="C274" s="34"/>
      <c r="D274" s="34"/>
      <c r="E274" s="34"/>
      <c r="F274" s="34"/>
      <c r="G274" s="34"/>
      <c r="H274" s="34"/>
      <c r="L274" s="34"/>
      <c r="M274" s="35"/>
      <c r="N274" s="35"/>
      <c r="O274" s="35"/>
      <c r="P274" s="35"/>
    </row>
    <row r="275">
      <c r="A275" s="34"/>
      <c r="B275" s="34"/>
      <c r="C275" s="34"/>
      <c r="D275" s="34"/>
      <c r="E275" s="34"/>
      <c r="F275" s="34"/>
      <c r="G275" s="34"/>
      <c r="H275" s="34"/>
      <c r="L275" s="34"/>
      <c r="M275" s="35"/>
      <c r="N275" s="35"/>
      <c r="O275" s="35"/>
      <c r="P275" s="35"/>
    </row>
    <row r="276">
      <c r="A276" s="34"/>
      <c r="B276" s="34"/>
      <c r="C276" s="34"/>
      <c r="D276" s="34"/>
      <c r="E276" s="34"/>
      <c r="F276" s="34"/>
      <c r="G276" s="34"/>
      <c r="H276" s="34"/>
      <c r="L276" s="34"/>
      <c r="M276" s="35"/>
      <c r="N276" s="35"/>
      <c r="O276" s="35"/>
      <c r="P276" s="35"/>
    </row>
    <row r="277">
      <c r="A277" s="34"/>
      <c r="B277" s="34"/>
      <c r="C277" s="34"/>
      <c r="D277" s="34"/>
      <c r="E277" s="34"/>
      <c r="F277" s="34"/>
      <c r="G277" s="34"/>
      <c r="H277" s="34"/>
      <c r="L277" s="34"/>
      <c r="M277" s="35"/>
      <c r="N277" s="35"/>
      <c r="O277" s="35"/>
      <c r="P277" s="35"/>
    </row>
    <row r="278">
      <c r="A278" s="34"/>
      <c r="B278" s="34"/>
      <c r="C278" s="34"/>
      <c r="D278" s="34"/>
      <c r="E278" s="34"/>
      <c r="F278" s="34"/>
      <c r="G278" s="34"/>
      <c r="H278" s="34"/>
      <c r="L278" s="34"/>
      <c r="M278" s="35"/>
      <c r="N278" s="35"/>
      <c r="O278" s="35"/>
      <c r="P278" s="35"/>
    </row>
    <row r="279">
      <c r="A279" s="34"/>
      <c r="B279" s="34"/>
      <c r="C279" s="34"/>
      <c r="D279" s="34"/>
      <c r="E279" s="34"/>
      <c r="F279" s="34"/>
      <c r="G279" s="34"/>
      <c r="H279" s="34"/>
      <c r="L279" s="34"/>
      <c r="M279" s="35"/>
      <c r="N279" s="35"/>
      <c r="O279" s="35"/>
      <c r="P279" s="35"/>
    </row>
    <row r="280">
      <c r="A280" s="34"/>
      <c r="B280" s="34"/>
      <c r="C280" s="34"/>
      <c r="D280" s="34"/>
      <c r="E280" s="34"/>
      <c r="F280" s="34"/>
      <c r="G280" s="34"/>
      <c r="H280" s="34"/>
      <c r="L280" s="34"/>
      <c r="M280" s="35"/>
      <c r="N280" s="35"/>
      <c r="O280" s="35"/>
      <c r="P280" s="35"/>
    </row>
    <row r="281">
      <c r="A281" s="34"/>
      <c r="B281" s="34"/>
      <c r="C281" s="34"/>
      <c r="D281" s="34"/>
      <c r="E281" s="34"/>
      <c r="F281" s="34"/>
      <c r="G281" s="34"/>
      <c r="H281" s="34"/>
      <c r="L281" s="34"/>
      <c r="M281" s="35"/>
      <c r="N281" s="35"/>
      <c r="O281" s="35"/>
      <c r="P281" s="35"/>
    </row>
    <row r="282">
      <c r="A282" s="34"/>
      <c r="B282" s="34"/>
      <c r="C282" s="34"/>
      <c r="D282" s="34"/>
      <c r="E282" s="34"/>
      <c r="F282" s="34"/>
      <c r="G282" s="34"/>
      <c r="H282" s="34"/>
      <c r="L282" s="34"/>
      <c r="M282" s="35"/>
      <c r="N282" s="35"/>
      <c r="O282" s="35"/>
      <c r="P282" s="35"/>
    </row>
    <row r="283">
      <c r="A283" s="34"/>
      <c r="B283" s="34"/>
      <c r="C283" s="34"/>
      <c r="D283" s="34"/>
      <c r="E283" s="34"/>
      <c r="F283" s="34"/>
      <c r="G283" s="34"/>
      <c r="H283" s="34"/>
      <c r="L283" s="34"/>
      <c r="M283" s="35"/>
      <c r="N283" s="35"/>
      <c r="O283" s="35"/>
      <c r="P283" s="35"/>
    </row>
    <row r="284">
      <c r="A284" s="34"/>
      <c r="B284" s="34"/>
      <c r="C284" s="34"/>
      <c r="D284" s="34"/>
      <c r="E284" s="34"/>
      <c r="F284" s="34"/>
      <c r="G284" s="34"/>
      <c r="H284" s="34"/>
      <c r="L284" s="34"/>
      <c r="M284" s="35"/>
      <c r="N284" s="35"/>
      <c r="O284" s="35"/>
      <c r="P284" s="35"/>
    </row>
    <row r="285">
      <c r="A285" s="34"/>
      <c r="B285" s="34"/>
      <c r="C285" s="34"/>
      <c r="D285" s="34"/>
      <c r="E285" s="34"/>
      <c r="F285" s="34"/>
      <c r="G285" s="34"/>
      <c r="H285" s="34"/>
      <c r="L285" s="34"/>
      <c r="M285" s="35"/>
      <c r="N285" s="35"/>
      <c r="O285" s="35"/>
      <c r="P285" s="35"/>
    </row>
    <row r="286">
      <c r="A286" s="34"/>
      <c r="B286" s="34"/>
      <c r="C286" s="34"/>
      <c r="D286" s="34"/>
      <c r="E286" s="34"/>
      <c r="F286" s="34"/>
      <c r="G286" s="34"/>
      <c r="H286" s="34"/>
      <c r="L286" s="34"/>
      <c r="M286" s="35"/>
      <c r="N286" s="35"/>
      <c r="O286" s="35"/>
      <c r="P286" s="35"/>
    </row>
    <row r="287">
      <c r="A287" s="34"/>
      <c r="B287" s="34"/>
      <c r="C287" s="34"/>
      <c r="D287" s="34"/>
      <c r="E287" s="34"/>
      <c r="F287" s="34"/>
      <c r="G287" s="34"/>
      <c r="H287" s="34"/>
      <c r="L287" s="34"/>
      <c r="M287" s="35"/>
      <c r="N287" s="35"/>
      <c r="O287" s="35"/>
      <c r="P287" s="35"/>
    </row>
    <row r="288">
      <c r="A288" s="34"/>
      <c r="B288" s="34"/>
      <c r="C288" s="34"/>
      <c r="D288" s="34"/>
      <c r="E288" s="34"/>
      <c r="F288" s="34"/>
      <c r="G288" s="34"/>
      <c r="H288" s="34"/>
      <c r="L288" s="34"/>
      <c r="M288" s="35"/>
      <c r="N288" s="35"/>
      <c r="O288" s="35"/>
      <c r="P288" s="35"/>
    </row>
    <row r="289">
      <c r="A289" s="34"/>
      <c r="B289" s="34"/>
      <c r="C289" s="34"/>
      <c r="D289" s="34"/>
      <c r="E289" s="34"/>
      <c r="F289" s="34"/>
      <c r="G289" s="34"/>
      <c r="H289" s="34"/>
      <c r="L289" s="34"/>
      <c r="M289" s="35"/>
      <c r="N289" s="35"/>
      <c r="O289" s="35"/>
      <c r="P289" s="35"/>
    </row>
    <row r="290">
      <c r="A290" s="34"/>
      <c r="B290" s="34"/>
      <c r="C290" s="34"/>
      <c r="D290" s="34"/>
      <c r="E290" s="34"/>
      <c r="F290" s="34"/>
      <c r="G290" s="34"/>
      <c r="H290" s="34"/>
      <c r="L290" s="34"/>
      <c r="M290" s="35"/>
      <c r="N290" s="35"/>
      <c r="O290" s="35"/>
      <c r="P290" s="35"/>
    </row>
    <row r="291">
      <c r="A291" s="34"/>
      <c r="B291" s="34"/>
      <c r="C291" s="34"/>
      <c r="D291" s="34"/>
      <c r="E291" s="34"/>
      <c r="F291" s="34"/>
      <c r="G291" s="34"/>
      <c r="H291" s="34"/>
      <c r="L291" s="34"/>
      <c r="M291" s="35"/>
      <c r="N291" s="35"/>
      <c r="O291" s="35"/>
      <c r="P291" s="35"/>
    </row>
    <row r="292">
      <c r="A292" s="34"/>
      <c r="B292" s="34"/>
      <c r="C292" s="34"/>
      <c r="D292" s="34"/>
      <c r="E292" s="34"/>
      <c r="F292" s="34"/>
      <c r="G292" s="34"/>
      <c r="H292" s="34"/>
      <c r="L292" s="34"/>
      <c r="M292" s="35"/>
      <c r="N292" s="35"/>
      <c r="O292" s="35"/>
      <c r="P292" s="35"/>
    </row>
    <row r="293">
      <c r="A293" s="34"/>
      <c r="B293" s="34"/>
      <c r="C293" s="34"/>
      <c r="D293" s="34"/>
      <c r="E293" s="34"/>
      <c r="F293" s="34"/>
      <c r="G293" s="34"/>
      <c r="H293" s="34"/>
      <c r="L293" s="34"/>
      <c r="M293" s="35"/>
      <c r="N293" s="35"/>
      <c r="O293" s="35"/>
      <c r="P293" s="35"/>
    </row>
    <row r="294">
      <c r="A294" s="34"/>
      <c r="B294" s="34"/>
      <c r="C294" s="34"/>
      <c r="D294" s="34"/>
      <c r="E294" s="34"/>
      <c r="F294" s="34"/>
      <c r="G294" s="34"/>
      <c r="H294" s="34"/>
      <c r="L294" s="34"/>
      <c r="M294" s="35"/>
      <c r="N294" s="35"/>
      <c r="O294" s="35"/>
      <c r="P294" s="35"/>
    </row>
    <row r="295">
      <c r="A295" s="34"/>
      <c r="B295" s="34"/>
      <c r="C295" s="34"/>
      <c r="D295" s="34"/>
      <c r="E295" s="34"/>
      <c r="F295" s="34"/>
      <c r="G295" s="34"/>
      <c r="H295" s="34"/>
      <c r="L295" s="34"/>
      <c r="M295" s="35"/>
      <c r="N295" s="35"/>
      <c r="O295" s="35"/>
      <c r="P295" s="35"/>
    </row>
    <row r="296">
      <c r="A296" s="34"/>
      <c r="B296" s="34"/>
      <c r="C296" s="34"/>
      <c r="D296" s="34"/>
      <c r="E296" s="34"/>
      <c r="F296" s="34"/>
      <c r="G296" s="34"/>
      <c r="H296" s="34"/>
      <c r="L296" s="34"/>
      <c r="M296" s="35"/>
      <c r="N296" s="35"/>
      <c r="O296" s="35"/>
      <c r="P296" s="35"/>
    </row>
    <row r="297">
      <c r="A297" s="34"/>
      <c r="B297" s="34"/>
      <c r="C297" s="34"/>
      <c r="D297" s="34"/>
      <c r="E297" s="34"/>
      <c r="F297" s="34"/>
      <c r="G297" s="34"/>
      <c r="H297" s="34"/>
      <c r="L297" s="34"/>
      <c r="M297" s="35"/>
      <c r="N297" s="35"/>
      <c r="O297" s="35"/>
      <c r="P297" s="35"/>
    </row>
    <row r="298">
      <c r="A298" s="34"/>
      <c r="B298" s="34"/>
      <c r="C298" s="34"/>
      <c r="D298" s="34"/>
      <c r="E298" s="34"/>
      <c r="F298" s="34"/>
      <c r="G298" s="34"/>
      <c r="H298" s="34"/>
      <c r="L298" s="34"/>
      <c r="M298" s="35"/>
      <c r="N298" s="35"/>
      <c r="O298" s="35"/>
      <c r="P298" s="35"/>
    </row>
    <row r="299">
      <c r="A299" s="34"/>
      <c r="B299" s="34"/>
      <c r="C299" s="34"/>
      <c r="D299" s="34"/>
      <c r="E299" s="34"/>
      <c r="F299" s="34"/>
      <c r="G299" s="34"/>
      <c r="H299" s="34"/>
      <c r="L299" s="34"/>
      <c r="M299" s="35"/>
      <c r="N299" s="35"/>
      <c r="O299" s="35"/>
      <c r="P299" s="35"/>
    </row>
    <row r="300">
      <c r="A300" s="34"/>
      <c r="B300" s="34"/>
      <c r="C300" s="34"/>
      <c r="D300" s="34"/>
      <c r="E300" s="34"/>
      <c r="F300" s="34"/>
      <c r="G300" s="34"/>
      <c r="H300" s="34"/>
      <c r="L300" s="34"/>
      <c r="M300" s="35"/>
      <c r="N300" s="35"/>
      <c r="O300" s="35"/>
      <c r="P300" s="35"/>
    </row>
    <row r="301">
      <c r="A301" s="34"/>
      <c r="B301" s="34"/>
      <c r="C301" s="34"/>
      <c r="D301" s="34"/>
      <c r="E301" s="34"/>
      <c r="F301" s="34"/>
      <c r="G301" s="34"/>
      <c r="H301" s="34"/>
      <c r="L301" s="34"/>
      <c r="M301" s="35"/>
      <c r="N301" s="35"/>
      <c r="O301" s="35"/>
      <c r="P301" s="35"/>
    </row>
    <row r="302">
      <c r="A302" s="34"/>
      <c r="B302" s="34"/>
      <c r="C302" s="34"/>
      <c r="D302" s="34"/>
      <c r="E302" s="34"/>
      <c r="F302" s="34"/>
      <c r="G302" s="34"/>
      <c r="H302" s="34"/>
      <c r="L302" s="34"/>
      <c r="M302" s="35"/>
      <c r="N302" s="35"/>
      <c r="O302" s="35"/>
      <c r="P302" s="35"/>
    </row>
    <row r="303">
      <c r="A303" s="34"/>
      <c r="B303" s="34"/>
      <c r="C303" s="34"/>
      <c r="D303" s="34"/>
      <c r="E303" s="34"/>
      <c r="F303" s="34"/>
      <c r="G303" s="34"/>
      <c r="H303" s="34"/>
      <c r="L303" s="34"/>
      <c r="M303" s="35"/>
      <c r="N303" s="35"/>
      <c r="O303" s="35"/>
      <c r="P303" s="35"/>
    </row>
    <row r="304">
      <c r="A304" s="34"/>
      <c r="B304" s="34"/>
      <c r="C304" s="34"/>
      <c r="D304" s="34"/>
      <c r="E304" s="34"/>
      <c r="F304" s="34"/>
      <c r="G304" s="34"/>
      <c r="H304" s="34"/>
      <c r="L304" s="34"/>
      <c r="M304" s="35"/>
      <c r="N304" s="35"/>
      <c r="O304" s="35"/>
      <c r="P304" s="35"/>
    </row>
    <row r="305">
      <c r="A305" s="34"/>
      <c r="B305" s="34"/>
      <c r="C305" s="34"/>
      <c r="D305" s="34"/>
      <c r="E305" s="34"/>
      <c r="F305" s="34"/>
      <c r="G305" s="34"/>
      <c r="H305" s="34"/>
      <c r="L305" s="34"/>
      <c r="M305" s="35"/>
      <c r="N305" s="35"/>
      <c r="O305" s="35"/>
      <c r="P305" s="35"/>
    </row>
    <row r="306">
      <c r="A306" s="34"/>
      <c r="B306" s="34"/>
      <c r="C306" s="34"/>
      <c r="D306" s="34"/>
      <c r="E306" s="34"/>
      <c r="F306" s="34"/>
      <c r="G306" s="34"/>
      <c r="H306" s="34"/>
      <c r="L306" s="34"/>
      <c r="M306" s="35"/>
      <c r="N306" s="35"/>
      <c r="O306" s="35"/>
      <c r="P306" s="35"/>
    </row>
    <row r="307">
      <c r="A307" s="34"/>
      <c r="B307" s="34"/>
      <c r="C307" s="34"/>
      <c r="D307" s="34"/>
      <c r="E307" s="34"/>
      <c r="F307" s="34"/>
      <c r="G307" s="34"/>
      <c r="H307" s="34"/>
      <c r="L307" s="34"/>
      <c r="M307" s="35"/>
      <c r="N307" s="35"/>
      <c r="O307" s="35"/>
      <c r="P307" s="35"/>
    </row>
    <row r="308">
      <c r="A308" s="34"/>
      <c r="B308" s="34"/>
      <c r="C308" s="34"/>
      <c r="D308" s="34"/>
      <c r="E308" s="34"/>
      <c r="F308" s="34"/>
      <c r="G308" s="34"/>
      <c r="H308" s="34"/>
      <c r="L308" s="34"/>
      <c r="M308" s="35"/>
      <c r="N308" s="35"/>
      <c r="O308" s="35"/>
      <c r="P308" s="35"/>
    </row>
    <row r="309">
      <c r="A309" s="34"/>
      <c r="B309" s="34"/>
      <c r="C309" s="34"/>
      <c r="D309" s="34"/>
      <c r="E309" s="34"/>
      <c r="F309" s="34"/>
      <c r="G309" s="34"/>
      <c r="H309" s="34"/>
      <c r="L309" s="34"/>
      <c r="M309" s="35"/>
      <c r="N309" s="35"/>
      <c r="O309" s="35"/>
      <c r="P309" s="35"/>
    </row>
    <row r="310">
      <c r="A310" s="34"/>
      <c r="B310" s="34"/>
      <c r="C310" s="34"/>
      <c r="D310" s="34"/>
      <c r="E310" s="34"/>
      <c r="F310" s="34"/>
      <c r="G310" s="34"/>
      <c r="H310" s="34"/>
      <c r="L310" s="34"/>
      <c r="M310" s="35"/>
      <c r="N310" s="35"/>
      <c r="O310" s="35"/>
      <c r="P310" s="35"/>
    </row>
    <row r="311">
      <c r="A311" s="34"/>
      <c r="B311" s="34"/>
      <c r="C311" s="34"/>
      <c r="D311" s="34"/>
      <c r="E311" s="34"/>
      <c r="F311" s="34"/>
      <c r="G311" s="34"/>
      <c r="H311" s="34"/>
      <c r="L311" s="34"/>
      <c r="M311" s="35"/>
      <c r="N311" s="35"/>
      <c r="O311" s="35"/>
      <c r="P311" s="35"/>
    </row>
    <row r="312">
      <c r="A312" s="34"/>
      <c r="B312" s="34"/>
      <c r="C312" s="34"/>
      <c r="D312" s="34"/>
      <c r="E312" s="34"/>
      <c r="F312" s="34"/>
      <c r="G312" s="34"/>
      <c r="H312" s="34"/>
      <c r="L312" s="34"/>
      <c r="M312" s="35"/>
      <c r="N312" s="35"/>
      <c r="O312" s="35"/>
      <c r="P312" s="35"/>
    </row>
    <row r="313">
      <c r="A313" s="34"/>
      <c r="B313" s="34"/>
      <c r="C313" s="34"/>
      <c r="D313" s="34"/>
      <c r="E313" s="34"/>
      <c r="F313" s="34"/>
      <c r="G313" s="34"/>
      <c r="H313" s="34"/>
      <c r="L313" s="34"/>
      <c r="M313" s="35"/>
      <c r="N313" s="35"/>
      <c r="O313" s="35"/>
      <c r="P313" s="35"/>
    </row>
    <row r="314">
      <c r="A314" s="34"/>
      <c r="B314" s="34"/>
      <c r="C314" s="34"/>
      <c r="D314" s="34"/>
      <c r="E314" s="34"/>
      <c r="F314" s="34"/>
      <c r="G314" s="34"/>
      <c r="H314" s="34"/>
      <c r="L314" s="34"/>
      <c r="M314" s="35"/>
      <c r="N314" s="35"/>
      <c r="O314" s="35"/>
      <c r="P314" s="35"/>
    </row>
    <row r="315">
      <c r="A315" s="34"/>
      <c r="B315" s="34"/>
      <c r="C315" s="34"/>
      <c r="D315" s="34"/>
      <c r="E315" s="34"/>
      <c r="F315" s="34"/>
      <c r="G315" s="34"/>
      <c r="H315" s="34"/>
      <c r="L315" s="34"/>
      <c r="M315" s="35"/>
      <c r="N315" s="35"/>
      <c r="O315" s="35"/>
      <c r="P315" s="35"/>
    </row>
    <row r="316">
      <c r="A316" s="34"/>
      <c r="B316" s="34"/>
      <c r="C316" s="34"/>
      <c r="D316" s="34"/>
      <c r="E316" s="34"/>
      <c r="F316" s="34"/>
      <c r="G316" s="34"/>
      <c r="H316" s="34"/>
      <c r="L316" s="34"/>
      <c r="M316" s="35"/>
      <c r="N316" s="35"/>
      <c r="O316" s="35"/>
      <c r="P316" s="35"/>
    </row>
    <row r="317">
      <c r="A317" s="34"/>
      <c r="B317" s="34"/>
      <c r="C317" s="34"/>
      <c r="D317" s="34"/>
      <c r="E317" s="34"/>
      <c r="F317" s="34"/>
      <c r="G317" s="34"/>
      <c r="H317" s="34"/>
      <c r="L317" s="34"/>
      <c r="M317" s="35"/>
      <c r="N317" s="35"/>
      <c r="O317" s="35"/>
      <c r="P317" s="35"/>
    </row>
    <row r="318">
      <c r="A318" s="34"/>
      <c r="B318" s="34"/>
      <c r="C318" s="34"/>
      <c r="D318" s="34"/>
      <c r="E318" s="34"/>
      <c r="F318" s="34"/>
      <c r="G318" s="34"/>
      <c r="H318" s="34"/>
      <c r="L318" s="34"/>
      <c r="M318" s="35"/>
      <c r="N318" s="35"/>
      <c r="O318" s="35"/>
      <c r="P318" s="35"/>
    </row>
    <row r="319">
      <c r="A319" s="34"/>
      <c r="B319" s="34"/>
      <c r="C319" s="34"/>
      <c r="D319" s="34"/>
      <c r="E319" s="34"/>
      <c r="F319" s="34"/>
      <c r="G319" s="34"/>
      <c r="H319" s="34"/>
      <c r="L319" s="34"/>
      <c r="M319" s="35"/>
      <c r="N319" s="35"/>
      <c r="O319" s="35"/>
      <c r="P319" s="35"/>
    </row>
    <row r="320">
      <c r="A320" s="34"/>
      <c r="B320" s="34"/>
      <c r="C320" s="34"/>
      <c r="D320" s="34"/>
      <c r="E320" s="34"/>
      <c r="F320" s="34"/>
      <c r="G320" s="34"/>
      <c r="H320" s="34"/>
      <c r="L320" s="34"/>
      <c r="M320" s="35"/>
      <c r="N320" s="35"/>
      <c r="O320" s="35"/>
      <c r="P320" s="35"/>
    </row>
    <row r="321">
      <c r="A321" s="34"/>
      <c r="B321" s="34"/>
      <c r="C321" s="34"/>
      <c r="D321" s="34"/>
      <c r="E321" s="34"/>
      <c r="F321" s="34"/>
      <c r="G321" s="34"/>
      <c r="H321" s="34"/>
      <c r="L321" s="34"/>
      <c r="M321" s="35"/>
      <c r="N321" s="35"/>
      <c r="O321" s="35"/>
      <c r="P321" s="35"/>
    </row>
    <row r="322">
      <c r="A322" s="34"/>
      <c r="B322" s="34"/>
      <c r="C322" s="34"/>
      <c r="D322" s="34"/>
      <c r="E322" s="34"/>
      <c r="F322" s="34"/>
      <c r="G322" s="34"/>
      <c r="H322" s="34"/>
      <c r="L322" s="34"/>
      <c r="M322" s="35"/>
      <c r="N322" s="35"/>
      <c r="O322" s="35"/>
      <c r="P322" s="35"/>
    </row>
    <row r="323">
      <c r="A323" s="34"/>
      <c r="B323" s="34"/>
      <c r="C323" s="34"/>
      <c r="D323" s="34"/>
      <c r="E323" s="34"/>
      <c r="F323" s="34"/>
      <c r="G323" s="34"/>
      <c r="H323" s="34"/>
      <c r="L323" s="34"/>
      <c r="M323" s="35"/>
      <c r="N323" s="35"/>
      <c r="O323" s="35"/>
      <c r="P323" s="35"/>
    </row>
    <row r="324">
      <c r="A324" s="34"/>
      <c r="B324" s="34"/>
      <c r="C324" s="34"/>
      <c r="D324" s="34"/>
      <c r="E324" s="34"/>
      <c r="F324" s="34"/>
      <c r="G324" s="34"/>
      <c r="H324" s="34"/>
      <c r="L324" s="34"/>
      <c r="M324" s="35"/>
      <c r="N324" s="35"/>
      <c r="O324" s="35"/>
      <c r="P324" s="35"/>
    </row>
    <row r="325">
      <c r="A325" s="34"/>
      <c r="B325" s="34"/>
      <c r="C325" s="34"/>
      <c r="D325" s="34"/>
      <c r="E325" s="34"/>
      <c r="F325" s="34"/>
      <c r="G325" s="34"/>
      <c r="H325" s="34"/>
      <c r="L325" s="34"/>
      <c r="M325" s="35"/>
      <c r="N325" s="35"/>
      <c r="O325" s="35"/>
      <c r="P325" s="35"/>
    </row>
    <row r="326">
      <c r="A326" s="34"/>
      <c r="B326" s="34"/>
      <c r="C326" s="34"/>
      <c r="D326" s="34"/>
      <c r="E326" s="34"/>
      <c r="F326" s="34"/>
      <c r="G326" s="34"/>
      <c r="H326" s="34"/>
      <c r="L326" s="34"/>
      <c r="M326" s="35"/>
      <c r="N326" s="35"/>
      <c r="O326" s="35"/>
      <c r="P326" s="35"/>
    </row>
    <row r="327">
      <c r="A327" s="34"/>
      <c r="B327" s="34"/>
      <c r="C327" s="34"/>
      <c r="D327" s="34"/>
      <c r="E327" s="34"/>
      <c r="F327" s="34"/>
      <c r="G327" s="34"/>
      <c r="H327" s="34"/>
      <c r="L327" s="34"/>
      <c r="M327" s="35"/>
      <c r="N327" s="35"/>
      <c r="O327" s="35"/>
      <c r="P327" s="35"/>
    </row>
    <row r="328">
      <c r="A328" s="34"/>
      <c r="B328" s="34"/>
      <c r="C328" s="34"/>
      <c r="D328" s="34"/>
      <c r="E328" s="34"/>
      <c r="F328" s="34"/>
      <c r="G328" s="34"/>
      <c r="H328" s="34"/>
      <c r="L328" s="34"/>
      <c r="M328" s="35"/>
      <c r="N328" s="35"/>
      <c r="O328" s="35"/>
      <c r="P328" s="35"/>
    </row>
    <row r="329">
      <c r="A329" s="34"/>
      <c r="B329" s="34"/>
      <c r="C329" s="34"/>
      <c r="D329" s="34"/>
      <c r="E329" s="34"/>
      <c r="F329" s="34"/>
      <c r="G329" s="34"/>
      <c r="H329" s="34"/>
      <c r="L329" s="34"/>
      <c r="M329" s="35"/>
      <c r="N329" s="35"/>
      <c r="O329" s="35"/>
      <c r="P329" s="35"/>
    </row>
    <row r="330">
      <c r="A330" s="34"/>
      <c r="B330" s="34"/>
      <c r="C330" s="34"/>
      <c r="D330" s="34"/>
      <c r="E330" s="34"/>
      <c r="F330" s="34"/>
      <c r="G330" s="34"/>
      <c r="H330" s="34"/>
      <c r="L330" s="34"/>
      <c r="M330" s="35"/>
      <c r="N330" s="35"/>
      <c r="O330" s="35"/>
      <c r="P330" s="35"/>
    </row>
    <row r="331">
      <c r="A331" s="34"/>
      <c r="B331" s="34"/>
      <c r="C331" s="34"/>
      <c r="D331" s="34"/>
      <c r="E331" s="34"/>
      <c r="F331" s="34"/>
      <c r="G331" s="34"/>
      <c r="H331" s="34"/>
      <c r="L331" s="34"/>
      <c r="M331" s="35"/>
      <c r="N331" s="35"/>
      <c r="O331" s="35"/>
      <c r="P331" s="35"/>
    </row>
    <row r="332">
      <c r="A332" s="34"/>
      <c r="B332" s="34"/>
      <c r="C332" s="34"/>
      <c r="D332" s="34"/>
      <c r="E332" s="34"/>
      <c r="F332" s="34"/>
      <c r="G332" s="34"/>
      <c r="H332" s="34"/>
      <c r="L332" s="34"/>
      <c r="M332" s="35"/>
      <c r="N332" s="35"/>
      <c r="O332" s="35"/>
      <c r="P332" s="35"/>
    </row>
    <row r="333">
      <c r="A333" s="34"/>
      <c r="B333" s="34"/>
      <c r="C333" s="34"/>
      <c r="D333" s="34"/>
      <c r="E333" s="34"/>
      <c r="F333" s="34"/>
      <c r="G333" s="34"/>
      <c r="H333" s="34"/>
      <c r="L333" s="34"/>
      <c r="M333" s="35"/>
      <c r="N333" s="35"/>
      <c r="O333" s="35"/>
      <c r="P333" s="35"/>
    </row>
    <row r="334">
      <c r="A334" s="34"/>
      <c r="B334" s="34"/>
      <c r="C334" s="34"/>
      <c r="D334" s="34"/>
      <c r="E334" s="34"/>
      <c r="F334" s="34"/>
      <c r="G334" s="34"/>
      <c r="H334" s="34"/>
      <c r="L334" s="34"/>
      <c r="M334" s="35"/>
      <c r="N334" s="35"/>
      <c r="O334" s="35"/>
      <c r="P334" s="35"/>
    </row>
    <row r="335">
      <c r="A335" s="34"/>
      <c r="B335" s="34"/>
      <c r="C335" s="34"/>
      <c r="D335" s="34"/>
      <c r="E335" s="34"/>
      <c r="F335" s="34"/>
      <c r="G335" s="34"/>
      <c r="H335" s="34"/>
      <c r="L335" s="34"/>
      <c r="M335" s="35"/>
      <c r="N335" s="35"/>
      <c r="O335" s="35"/>
      <c r="P335" s="35"/>
    </row>
    <row r="336">
      <c r="A336" s="34"/>
      <c r="B336" s="34"/>
      <c r="C336" s="34"/>
      <c r="D336" s="34"/>
      <c r="E336" s="34"/>
      <c r="F336" s="34"/>
      <c r="G336" s="34"/>
      <c r="H336" s="34"/>
      <c r="L336" s="34"/>
      <c r="M336" s="35"/>
      <c r="N336" s="35"/>
      <c r="O336" s="35"/>
      <c r="P336" s="35"/>
    </row>
    <row r="337">
      <c r="A337" s="34"/>
      <c r="B337" s="34"/>
      <c r="C337" s="34"/>
      <c r="D337" s="34"/>
      <c r="E337" s="34"/>
      <c r="F337" s="34"/>
      <c r="G337" s="34"/>
      <c r="H337" s="34"/>
      <c r="L337" s="34"/>
      <c r="M337" s="35"/>
      <c r="N337" s="35"/>
      <c r="O337" s="35"/>
      <c r="P337" s="35"/>
    </row>
    <row r="338">
      <c r="A338" s="34"/>
      <c r="B338" s="34"/>
      <c r="C338" s="34"/>
      <c r="D338" s="34"/>
      <c r="E338" s="34"/>
      <c r="F338" s="34"/>
      <c r="G338" s="34"/>
      <c r="H338" s="34"/>
      <c r="L338" s="34"/>
      <c r="M338" s="35"/>
      <c r="N338" s="35"/>
      <c r="O338" s="35"/>
      <c r="P338" s="35"/>
    </row>
    <row r="339">
      <c r="A339" s="34"/>
      <c r="B339" s="34"/>
      <c r="C339" s="34"/>
      <c r="D339" s="34"/>
      <c r="E339" s="34"/>
      <c r="F339" s="34"/>
      <c r="G339" s="34"/>
      <c r="H339" s="34"/>
      <c r="L339" s="34"/>
      <c r="M339" s="35"/>
      <c r="N339" s="35"/>
      <c r="O339" s="35"/>
      <c r="P339" s="35"/>
    </row>
    <row r="340">
      <c r="A340" s="34"/>
      <c r="B340" s="34"/>
      <c r="C340" s="34"/>
      <c r="D340" s="34"/>
      <c r="E340" s="34"/>
      <c r="F340" s="34"/>
      <c r="G340" s="34"/>
      <c r="H340" s="34"/>
      <c r="L340" s="34"/>
      <c r="M340" s="35"/>
      <c r="N340" s="35"/>
      <c r="O340" s="35"/>
      <c r="P340" s="35"/>
    </row>
    <row r="341">
      <c r="A341" s="34"/>
      <c r="B341" s="34"/>
      <c r="C341" s="34"/>
      <c r="D341" s="34"/>
      <c r="E341" s="34"/>
      <c r="F341" s="34"/>
      <c r="G341" s="34"/>
      <c r="H341" s="34"/>
      <c r="L341" s="34"/>
      <c r="M341" s="35"/>
      <c r="N341" s="35"/>
      <c r="O341" s="35"/>
      <c r="P341" s="35"/>
    </row>
    <row r="342">
      <c r="A342" s="34"/>
      <c r="B342" s="34"/>
      <c r="C342" s="34"/>
      <c r="D342" s="34"/>
      <c r="E342" s="34"/>
      <c r="F342" s="34"/>
      <c r="G342" s="34"/>
      <c r="H342" s="34"/>
      <c r="L342" s="34"/>
      <c r="M342" s="35"/>
      <c r="N342" s="35"/>
      <c r="O342" s="35"/>
      <c r="P342" s="35"/>
    </row>
    <row r="343">
      <c r="A343" s="34"/>
      <c r="B343" s="34"/>
      <c r="C343" s="34"/>
      <c r="D343" s="34"/>
      <c r="E343" s="34"/>
      <c r="F343" s="34"/>
      <c r="G343" s="34"/>
      <c r="H343" s="34"/>
      <c r="L343" s="34"/>
      <c r="M343" s="35"/>
      <c r="N343" s="35"/>
      <c r="O343" s="35"/>
      <c r="P343" s="35"/>
    </row>
    <row r="344">
      <c r="A344" s="34"/>
      <c r="B344" s="34"/>
      <c r="C344" s="34"/>
      <c r="D344" s="34"/>
      <c r="E344" s="34"/>
      <c r="F344" s="34"/>
      <c r="G344" s="34"/>
      <c r="H344" s="34"/>
      <c r="L344" s="34"/>
      <c r="M344" s="35"/>
      <c r="N344" s="35"/>
      <c r="O344" s="35"/>
      <c r="P344" s="35"/>
    </row>
    <row r="345">
      <c r="A345" s="34"/>
      <c r="B345" s="34"/>
      <c r="C345" s="34"/>
      <c r="D345" s="34"/>
      <c r="E345" s="34"/>
      <c r="F345" s="34"/>
      <c r="G345" s="34"/>
      <c r="H345" s="34"/>
      <c r="L345" s="34"/>
      <c r="M345" s="35"/>
      <c r="N345" s="35"/>
      <c r="O345" s="35"/>
      <c r="P345" s="35"/>
    </row>
    <row r="346">
      <c r="A346" s="34"/>
      <c r="B346" s="34"/>
      <c r="C346" s="34"/>
      <c r="D346" s="34"/>
      <c r="E346" s="34"/>
      <c r="F346" s="34"/>
      <c r="G346" s="34"/>
      <c r="H346" s="34"/>
      <c r="L346" s="34"/>
      <c r="M346" s="35"/>
      <c r="N346" s="35"/>
      <c r="O346" s="35"/>
      <c r="P346" s="35"/>
    </row>
    <row r="347">
      <c r="A347" s="34"/>
      <c r="B347" s="34"/>
      <c r="C347" s="34"/>
      <c r="D347" s="34"/>
      <c r="E347" s="34"/>
      <c r="F347" s="34"/>
      <c r="G347" s="34"/>
      <c r="H347" s="34"/>
      <c r="L347" s="34"/>
      <c r="M347" s="35"/>
      <c r="N347" s="35"/>
      <c r="O347" s="35"/>
      <c r="P347" s="35"/>
    </row>
    <row r="348">
      <c r="A348" s="34"/>
      <c r="B348" s="34"/>
      <c r="C348" s="34"/>
      <c r="D348" s="34"/>
      <c r="E348" s="34"/>
      <c r="F348" s="34"/>
      <c r="G348" s="34"/>
      <c r="H348" s="34"/>
      <c r="L348" s="34"/>
      <c r="M348" s="35"/>
      <c r="N348" s="35"/>
      <c r="O348" s="35"/>
      <c r="P348" s="35"/>
    </row>
    <row r="349">
      <c r="A349" s="34"/>
      <c r="B349" s="34"/>
      <c r="C349" s="34"/>
      <c r="D349" s="34"/>
      <c r="E349" s="34"/>
      <c r="F349" s="34"/>
      <c r="G349" s="34"/>
      <c r="H349" s="34"/>
      <c r="L349" s="34"/>
      <c r="M349" s="35"/>
      <c r="N349" s="35"/>
      <c r="O349" s="35"/>
      <c r="P349" s="35"/>
    </row>
    <row r="350">
      <c r="A350" s="34"/>
      <c r="B350" s="34"/>
      <c r="C350" s="34"/>
      <c r="D350" s="34"/>
      <c r="E350" s="34"/>
      <c r="F350" s="34"/>
      <c r="G350" s="34"/>
      <c r="H350" s="34"/>
      <c r="L350" s="34"/>
      <c r="M350" s="35"/>
      <c r="N350" s="35"/>
      <c r="O350" s="35"/>
      <c r="P350" s="35"/>
    </row>
    <row r="351">
      <c r="A351" s="34"/>
      <c r="B351" s="34"/>
      <c r="C351" s="34"/>
      <c r="D351" s="34"/>
      <c r="E351" s="34"/>
      <c r="F351" s="34"/>
      <c r="G351" s="34"/>
      <c r="H351" s="34"/>
      <c r="L351" s="34"/>
      <c r="M351" s="35"/>
      <c r="N351" s="35"/>
      <c r="O351" s="35"/>
      <c r="P351" s="35"/>
    </row>
    <row r="352">
      <c r="A352" s="34"/>
      <c r="B352" s="34"/>
      <c r="C352" s="34"/>
      <c r="D352" s="34"/>
      <c r="E352" s="34"/>
      <c r="F352" s="34"/>
      <c r="G352" s="34"/>
      <c r="H352" s="34"/>
      <c r="L352" s="34"/>
      <c r="M352" s="35"/>
      <c r="N352" s="35"/>
      <c r="O352" s="35"/>
      <c r="P352" s="35"/>
    </row>
    <row r="353">
      <c r="A353" s="34"/>
      <c r="B353" s="34"/>
      <c r="C353" s="34"/>
      <c r="D353" s="34"/>
      <c r="E353" s="34"/>
      <c r="F353" s="34"/>
      <c r="G353" s="34"/>
      <c r="H353" s="34"/>
      <c r="L353" s="34"/>
      <c r="M353" s="35"/>
      <c r="N353" s="35"/>
      <c r="O353" s="35"/>
      <c r="P353" s="35"/>
    </row>
    <row r="354">
      <c r="A354" s="34"/>
      <c r="B354" s="34"/>
      <c r="C354" s="34"/>
      <c r="D354" s="34"/>
      <c r="E354" s="34"/>
      <c r="F354" s="34"/>
      <c r="G354" s="34"/>
      <c r="H354" s="34"/>
      <c r="L354" s="34"/>
      <c r="M354" s="35"/>
      <c r="N354" s="35"/>
      <c r="O354" s="35"/>
      <c r="P354" s="35"/>
    </row>
    <row r="355">
      <c r="A355" s="34"/>
      <c r="B355" s="34"/>
      <c r="C355" s="34"/>
      <c r="D355" s="34"/>
      <c r="E355" s="34"/>
      <c r="F355" s="34"/>
      <c r="G355" s="34"/>
      <c r="H355" s="34"/>
      <c r="L355" s="34"/>
      <c r="M355" s="35"/>
      <c r="N355" s="35"/>
      <c r="O355" s="35"/>
      <c r="P355" s="35"/>
    </row>
    <row r="356">
      <c r="A356" s="34"/>
      <c r="B356" s="34"/>
      <c r="C356" s="34"/>
      <c r="D356" s="34"/>
      <c r="E356" s="34"/>
      <c r="F356" s="34"/>
      <c r="G356" s="34"/>
      <c r="H356" s="34"/>
      <c r="L356" s="34"/>
      <c r="M356" s="35"/>
      <c r="N356" s="35"/>
      <c r="O356" s="35"/>
      <c r="P356" s="35"/>
    </row>
    <row r="357">
      <c r="A357" s="34"/>
      <c r="B357" s="34"/>
      <c r="C357" s="34"/>
      <c r="D357" s="34"/>
      <c r="E357" s="34"/>
      <c r="F357" s="34"/>
      <c r="G357" s="34"/>
      <c r="H357" s="34"/>
      <c r="L357" s="34"/>
      <c r="M357" s="35"/>
      <c r="N357" s="35"/>
      <c r="O357" s="35"/>
      <c r="P357" s="35"/>
    </row>
    <row r="358">
      <c r="A358" s="34"/>
      <c r="B358" s="34"/>
      <c r="C358" s="34"/>
      <c r="D358" s="34"/>
      <c r="E358" s="34"/>
      <c r="F358" s="34"/>
      <c r="G358" s="34"/>
      <c r="H358" s="34"/>
      <c r="L358" s="34"/>
      <c r="M358" s="35"/>
      <c r="N358" s="35"/>
      <c r="O358" s="35"/>
      <c r="P358" s="35"/>
    </row>
    <row r="359">
      <c r="A359" s="34"/>
      <c r="B359" s="34"/>
      <c r="C359" s="34"/>
      <c r="D359" s="34"/>
      <c r="E359" s="34"/>
      <c r="F359" s="34"/>
      <c r="G359" s="34"/>
      <c r="H359" s="34"/>
      <c r="L359" s="34"/>
      <c r="M359" s="35"/>
      <c r="N359" s="35"/>
      <c r="O359" s="35"/>
      <c r="P359" s="35"/>
    </row>
    <row r="360">
      <c r="A360" s="34"/>
      <c r="B360" s="34"/>
      <c r="C360" s="34"/>
      <c r="D360" s="34"/>
      <c r="E360" s="34"/>
      <c r="F360" s="34"/>
      <c r="G360" s="34"/>
      <c r="H360" s="34"/>
      <c r="L360" s="34"/>
      <c r="M360" s="35"/>
      <c r="N360" s="35"/>
      <c r="O360" s="35"/>
      <c r="P360" s="35"/>
    </row>
    <row r="361">
      <c r="A361" s="34"/>
      <c r="B361" s="34"/>
      <c r="C361" s="34"/>
      <c r="D361" s="34"/>
      <c r="E361" s="34"/>
      <c r="F361" s="34"/>
      <c r="G361" s="34"/>
      <c r="H361" s="34"/>
      <c r="L361" s="34"/>
      <c r="M361" s="35"/>
      <c r="N361" s="35"/>
      <c r="O361" s="35"/>
      <c r="P361" s="35"/>
    </row>
    <row r="362">
      <c r="A362" s="34"/>
      <c r="B362" s="34"/>
      <c r="C362" s="34"/>
      <c r="D362" s="34"/>
      <c r="E362" s="34"/>
      <c r="F362" s="34"/>
      <c r="G362" s="34"/>
      <c r="H362" s="34"/>
      <c r="L362" s="34"/>
      <c r="M362" s="35"/>
      <c r="N362" s="35"/>
      <c r="O362" s="35"/>
      <c r="P362" s="35"/>
    </row>
    <row r="363">
      <c r="A363" s="34"/>
      <c r="B363" s="34"/>
      <c r="C363" s="34"/>
      <c r="D363" s="34"/>
      <c r="E363" s="34"/>
      <c r="F363" s="34"/>
      <c r="G363" s="34"/>
      <c r="H363" s="34"/>
      <c r="L363" s="34"/>
      <c r="M363" s="35"/>
      <c r="N363" s="35"/>
      <c r="O363" s="35"/>
      <c r="P363" s="35"/>
    </row>
    <row r="364">
      <c r="A364" s="34"/>
      <c r="B364" s="34"/>
      <c r="C364" s="34"/>
      <c r="D364" s="34"/>
      <c r="E364" s="34"/>
      <c r="F364" s="34"/>
      <c r="G364" s="34"/>
      <c r="H364" s="34"/>
      <c r="L364" s="34"/>
      <c r="M364" s="35"/>
      <c r="N364" s="35"/>
      <c r="O364" s="35"/>
      <c r="P364" s="35"/>
    </row>
    <row r="365">
      <c r="A365" s="34"/>
      <c r="B365" s="34"/>
      <c r="C365" s="34"/>
      <c r="D365" s="34"/>
      <c r="E365" s="34"/>
      <c r="F365" s="34"/>
      <c r="G365" s="34"/>
      <c r="H365" s="34"/>
      <c r="L365" s="34"/>
      <c r="M365" s="35"/>
      <c r="N365" s="35"/>
      <c r="O365" s="35"/>
      <c r="P365" s="35"/>
    </row>
    <row r="366">
      <c r="A366" s="34"/>
      <c r="B366" s="34"/>
      <c r="C366" s="34"/>
      <c r="D366" s="34"/>
      <c r="E366" s="34"/>
      <c r="F366" s="34"/>
      <c r="G366" s="34"/>
      <c r="H366" s="34"/>
      <c r="L366" s="34"/>
      <c r="M366" s="35"/>
      <c r="N366" s="35"/>
      <c r="O366" s="35"/>
      <c r="P366" s="35"/>
    </row>
    <row r="367">
      <c r="A367" s="34"/>
      <c r="B367" s="34"/>
      <c r="C367" s="34"/>
      <c r="D367" s="34"/>
      <c r="E367" s="34"/>
      <c r="F367" s="34"/>
      <c r="G367" s="34"/>
      <c r="H367" s="34"/>
      <c r="L367" s="34"/>
      <c r="M367" s="35"/>
      <c r="N367" s="35"/>
      <c r="O367" s="35"/>
      <c r="P367" s="35"/>
    </row>
    <row r="368">
      <c r="A368" s="34"/>
      <c r="B368" s="34"/>
      <c r="C368" s="34"/>
      <c r="D368" s="34"/>
      <c r="E368" s="34"/>
      <c r="F368" s="34"/>
      <c r="G368" s="34"/>
      <c r="H368" s="34"/>
      <c r="L368" s="34"/>
      <c r="M368" s="35"/>
      <c r="N368" s="35"/>
      <c r="O368" s="35"/>
      <c r="P368" s="35"/>
    </row>
    <row r="369">
      <c r="A369" s="34"/>
      <c r="B369" s="34"/>
      <c r="C369" s="34"/>
      <c r="D369" s="34"/>
      <c r="E369" s="34"/>
      <c r="F369" s="34"/>
      <c r="G369" s="34"/>
      <c r="H369" s="34"/>
      <c r="L369" s="34"/>
      <c r="M369" s="35"/>
      <c r="N369" s="35"/>
      <c r="O369" s="35"/>
      <c r="P369" s="35"/>
    </row>
    <row r="370">
      <c r="A370" s="34"/>
      <c r="B370" s="34"/>
      <c r="C370" s="34"/>
      <c r="D370" s="34"/>
      <c r="E370" s="34"/>
      <c r="F370" s="34"/>
      <c r="G370" s="34"/>
      <c r="H370" s="34"/>
      <c r="L370" s="34"/>
      <c r="M370" s="35"/>
      <c r="N370" s="35"/>
      <c r="O370" s="35"/>
      <c r="P370" s="35"/>
    </row>
    <row r="371">
      <c r="A371" s="34"/>
      <c r="B371" s="34"/>
      <c r="C371" s="34"/>
      <c r="D371" s="34"/>
      <c r="E371" s="34"/>
      <c r="F371" s="34"/>
      <c r="G371" s="34"/>
      <c r="H371" s="34"/>
      <c r="L371" s="34"/>
      <c r="M371" s="35"/>
      <c r="N371" s="35"/>
      <c r="O371" s="35"/>
      <c r="P371" s="35"/>
    </row>
    <row r="372">
      <c r="A372" s="34"/>
      <c r="B372" s="34"/>
      <c r="C372" s="34"/>
      <c r="D372" s="34"/>
      <c r="E372" s="34"/>
      <c r="F372" s="34"/>
      <c r="G372" s="34"/>
      <c r="H372" s="34"/>
      <c r="L372" s="34"/>
      <c r="M372" s="35"/>
      <c r="N372" s="35"/>
      <c r="O372" s="35"/>
      <c r="P372" s="35"/>
    </row>
    <row r="373">
      <c r="A373" s="34"/>
      <c r="B373" s="34"/>
      <c r="C373" s="34"/>
      <c r="D373" s="34"/>
      <c r="E373" s="34"/>
      <c r="F373" s="34"/>
      <c r="G373" s="34"/>
      <c r="H373" s="34"/>
      <c r="L373" s="34"/>
      <c r="M373" s="35"/>
      <c r="N373" s="35"/>
      <c r="O373" s="35"/>
      <c r="P373" s="35"/>
    </row>
    <row r="374">
      <c r="A374" s="34"/>
      <c r="B374" s="34"/>
      <c r="C374" s="34"/>
      <c r="D374" s="34"/>
      <c r="E374" s="34"/>
      <c r="F374" s="34"/>
      <c r="G374" s="34"/>
      <c r="H374" s="34"/>
      <c r="L374" s="34"/>
      <c r="M374" s="35"/>
      <c r="N374" s="35"/>
      <c r="O374" s="35"/>
      <c r="P374" s="35"/>
    </row>
    <row r="375">
      <c r="A375" s="34"/>
      <c r="B375" s="34"/>
      <c r="C375" s="34"/>
      <c r="D375" s="34"/>
      <c r="E375" s="34"/>
      <c r="F375" s="34"/>
      <c r="G375" s="34"/>
      <c r="H375" s="34"/>
      <c r="L375" s="34"/>
      <c r="M375" s="35"/>
      <c r="N375" s="35"/>
      <c r="O375" s="35"/>
      <c r="P375" s="35"/>
    </row>
    <row r="376">
      <c r="A376" s="34"/>
      <c r="B376" s="34"/>
      <c r="C376" s="34"/>
      <c r="D376" s="34"/>
      <c r="E376" s="34"/>
      <c r="F376" s="34"/>
      <c r="G376" s="34"/>
      <c r="H376" s="34"/>
      <c r="L376" s="34"/>
      <c r="M376" s="35"/>
      <c r="N376" s="35"/>
      <c r="O376" s="35"/>
      <c r="P376" s="35"/>
    </row>
    <row r="377">
      <c r="A377" s="34"/>
      <c r="B377" s="34"/>
      <c r="C377" s="34"/>
      <c r="D377" s="34"/>
      <c r="E377" s="34"/>
      <c r="F377" s="34"/>
      <c r="G377" s="34"/>
      <c r="H377" s="34"/>
      <c r="L377" s="34"/>
      <c r="M377" s="35"/>
      <c r="N377" s="35"/>
      <c r="O377" s="35"/>
      <c r="P377" s="35"/>
    </row>
    <row r="378">
      <c r="A378" s="34"/>
      <c r="B378" s="34"/>
      <c r="C378" s="34"/>
      <c r="D378" s="34"/>
      <c r="E378" s="34"/>
      <c r="F378" s="34"/>
      <c r="G378" s="34"/>
      <c r="H378" s="34"/>
      <c r="L378" s="34"/>
      <c r="M378" s="35"/>
      <c r="N378" s="35"/>
      <c r="O378" s="35"/>
      <c r="P378" s="35"/>
    </row>
    <row r="379">
      <c r="A379" s="34"/>
      <c r="B379" s="34"/>
      <c r="C379" s="34"/>
      <c r="D379" s="34"/>
      <c r="E379" s="34"/>
      <c r="F379" s="34"/>
      <c r="G379" s="34"/>
      <c r="H379" s="34"/>
      <c r="L379" s="34"/>
      <c r="M379" s="35"/>
      <c r="N379" s="35"/>
      <c r="O379" s="35"/>
      <c r="P379" s="35"/>
    </row>
    <row r="380">
      <c r="A380" s="34"/>
      <c r="B380" s="34"/>
      <c r="C380" s="34"/>
      <c r="D380" s="34"/>
      <c r="E380" s="34"/>
      <c r="F380" s="34"/>
      <c r="G380" s="34"/>
      <c r="H380" s="34"/>
      <c r="L380" s="34"/>
      <c r="M380" s="35"/>
      <c r="N380" s="35"/>
      <c r="O380" s="35"/>
      <c r="P380" s="35"/>
    </row>
    <row r="381">
      <c r="A381" s="34"/>
      <c r="B381" s="34"/>
      <c r="C381" s="34"/>
      <c r="D381" s="34"/>
      <c r="E381" s="34"/>
      <c r="F381" s="34"/>
      <c r="G381" s="34"/>
      <c r="H381" s="34"/>
      <c r="L381" s="34"/>
      <c r="M381" s="35"/>
      <c r="N381" s="35"/>
      <c r="O381" s="35"/>
      <c r="P381" s="35"/>
    </row>
    <row r="382">
      <c r="A382" s="34"/>
      <c r="B382" s="34"/>
      <c r="C382" s="34"/>
      <c r="D382" s="34"/>
      <c r="E382" s="34"/>
      <c r="F382" s="34"/>
      <c r="G382" s="34"/>
      <c r="H382" s="34"/>
      <c r="L382" s="34"/>
      <c r="M382" s="35"/>
      <c r="N382" s="35"/>
      <c r="O382" s="35"/>
      <c r="P382" s="35"/>
    </row>
    <row r="383">
      <c r="A383" s="34"/>
      <c r="B383" s="34"/>
      <c r="C383" s="34"/>
      <c r="D383" s="34"/>
      <c r="E383" s="34"/>
      <c r="F383" s="34"/>
      <c r="G383" s="34"/>
      <c r="H383" s="34"/>
      <c r="L383" s="34"/>
      <c r="M383" s="35"/>
      <c r="N383" s="35"/>
      <c r="O383" s="35"/>
      <c r="P383" s="35"/>
    </row>
    <row r="384">
      <c r="A384" s="34"/>
      <c r="B384" s="34"/>
      <c r="C384" s="34"/>
      <c r="D384" s="34"/>
      <c r="E384" s="34"/>
      <c r="F384" s="34"/>
      <c r="G384" s="34"/>
      <c r="H384" s="34"/>
      <c r="L384" s="34"/>
      <c r="M384" s="35"/>
      <c r="N384" s="35"/>
      <c r="O384" s="35"/>
      <c r="P384" s="35"/>
    </row>
    <row r="385">
      <c r="A385" s="34"/>
      <c r="B385" s="34"/>
      <c r="C385" s="34"/>
      <c r="D385" s="34"/>
      <c r="E385" s="34"/>
      <c r="F385" s="34"/>
      <c r="G385" s="34"/>
      <c r="H385" s="34"/>
      <c r="L385" s="34"/>
      <c r="M385" s="35"/>
      <c r="N385" s="35"/>
      <c r="O385" s="35"/>
      <c r="P385" s="35"/>
    </row>
    <row r="386">
      <c r="A386" s="34"/>
      <c r="B386" s="34"/>
      <c r="C386" s="34"/>
      <c r="D386" s="34"/>
      <c r="E386" s="34"/>
      <c r="F386" s="34"/>
      <c r="G386" s="34"/>
      <c r="H386" s="34"/>
      <c r="L386" s="34"/>
      <c r="M386" s="35"/>
      <c r="N386" s="35"/>
      <c r="O386" s="35"/>
      <c r="P386" s="35"/>
    </row>
    <row r="387">
      <c r="A387" s="34"/>
      <c r="B387" s="34"/>
      <c r="C387" s="34"/>
      <c r="D387" s="34"/>
      <c r="E387" s="34"/>
      <c r="F387" s="34"/>
      <c r="G387" s="34"/>
      <c r="H387" s="34"/>
      <c r="L387" s="34"/>
      <c r="M387" s="35"/>
      <c r="N387" s="35"/>
      <c r="O387" s="35"/>
      <c r="P387" s="35"/>
    </row>
    <row r="388">
      <c r="A388" s="34"/>
      <c r="B388" s="34"/>
      <c r="C388" s="34"/>
      <c r="D388" s="34"/>
      <c r="E388" s="34"/>
      <c r="F388" s="34"/>
      <c r="G388" s="34"/>
      <c r="H388" s="34"/>
      <c r="L388" s="34"/>
      <c r="M388" s="35"/>
      <c r="N388" s="35"/>
      <c r="O388" s="35"/>
      <c r="P388" s="35"/>
    </row>
    <row r="389">
      <c r="A389" s="34"/>
      <c r="B389" s="34"/>
      <c r="C389" s="34"/>
      <c r="D389" s="34"/>
      <c r="E389" s="34"/>
      <c r="F389" s="34"/>
      <c r="G389" s="34"/>
      <c r="H389" s="34"/>
      <c r="L389" s="34"/>
      <c r="M389" s="35"/>
      <c r="N389" s="35"/>
      <c r="O389" s="35"/>
      <c r="P389" s="35"/>
    </row>
    <row r="390">
      <c r="A390" s="34"/>
      <c r="B390" s="34"/>
      <c r="C390" s="34"/>
      <c r="D390" s="34"/>
      <c r="E390" s="34"/>
      <c r="F390" s="34"/>
      <c r="G390" s="34"/>
      <c r="H390" s="34"/>
      <c r="L390" s="34"/>
      <c r="M390" s="35"/>
      <c r="N390" s="35"/>
      <c r="O390" s="35"/>
      <c r="P390" s="35"/>
    </row>
    <row r="391">
      <c r="A391" s="34"/>
      <c r="B391" s="34"/>
      <c r="C391" s="34"/>
      <c r="D391" s="34"/>
      <c r="E391" s="34"/>
      <c r="F391" s="34"/>
      <c r="G391" s="34"/>
      <c r="H391" s="34"/>
      <c r="L391" s="34"/>
      <c r="M391" s="35"/>
      <c r="N391" s="35"/>
      <c r="O391" s="35"/>
      <c r="P391" s="35"/>
    </row>
    <row r="392">
      <c r="A392" s="34"/>
      <c r="B392" s="34"/>
      <c r="C392" s="34"/>
      <c r="D392" s="34"/>
      <c r="E392" s="34"/>
      <c r="F392" s="34"/>
      <c r="G392" s="34"/>
      <c r="H392" s="34"/>
      <c r="L392" s="34"/>
      <c r="M392" s="35"/>
      <c r="N392" s="35"/>
      <c r="O392" s="35"/>
      <c r="P392" s="35"/>
    </row>
    <row r="393">
      <c r="A393" s="34"/>
      <c r="B393" s="34"/>
      <c r="C393" s="34"/>
      <c r="D393" s="34"/>
      <c r="E393" s="34"/>
      <c r="F393" s="34"/>
      <c r="G393" s="34"/>
      <c r="H393" s="34"/>
      <c r="L393" s="34"/>
      <c r="M393" s="35"/>
      <c r="N393" s="35"/>
      <c r="O393" s="35"/>
      <c r="P393" s="35"/>
    </row>
    <row r="394">
      <c r="A394" s="34"/>
      <c r="B394" s="34"/>
      <c r="C394" s="34"/>
      <c r="D394" s="34"/>
      <c r="E394" s="34"/>
      <c r="F394" s="34"/>
      <c r="G394" s="34"/>
      <c r="H394" s="34"/>
      <c r="L394" s="34"/>
      <c r="M394" s="35"/>
      <c r="N394" s="35"/>
      <c r="O394" s="35"/>
      <c r="P394" s="35"/>
    </row>
    <row r="395">
      <c r="A395" s="34"/>
      <c r="B395" s="34"/>
      <c r="C395" s="34"/>
      <c r="D395" s="34"/>
      <c r="E395" s="34"/>
      <c r="F395" s="34"/>
      <c r="G395" s="34"/>
      <c r="H395" s="34"/>
      <c r="L395" s="34"/>
      <c r="M395" s="35"/>
      <c r="N395" s="35"/>
      <c r="O395" s="35"/>
      <c r="P395" s="35"/>
    </row>
    <row r="396">
      <c r="A396" s="34"/>
      <c r="B396" s="34"/>
      <c r="C396" s="34"/>
      <c r="D396" s="34"/>
      <c r="E396" s="34"/>
      <c r="F396" s="34"/>
      <c r="G396" s="34"/>
      <c r="H396" s="34"/>
      <c r="L396" s="34"/>
      <c r="M396" s="35"/>
      <c r="N396" s="35"/>
      <c r="O396" s="35"/>
      <c r="P396" s="35"/>
    </row>
    <row r="397">
      <c r="A397" s="34"/>
      <c r="B397" s="34"/>
      <c r="C397" s="34"/>
      <c r="D397" s="34"/>
      <c r="E397" s="34"/>
      <c r="F397" s="34"/>
      <c r="G397" s="34"/>
      <c r="H397" s="34"/>
      <c r="L397" s="34"/>
      <c r="M397" s="35"/>
      <c r="N397" s="35"/>
      <c r="O397" s="35"/>
      <c r="P397" s="35"/>
    </row>
    <row r="398">
      <c r="A398" s="34"/>
      <c r="B398" s="34"/>
      <c r="C398" s="34"/>
      <c r="D398" s="34"/>
      <c r="E398" s="34"/>
      <c r="F398" s="34"/>
      <c r="G398" s="34"/>
      <c r="H398" s="34"/>
      <c r="L398" s="34"/>
      <c r="M398" s="35"/>
      <c r="N398" s="35"/>
      <c r="O398" s="35"/>
      <c r="P398" s="35"/>
    </row>
    <row r="399">
      <c r="A399" s="34"/>
      <c r="B399" s="34"/>
      <c r="C399" s="34"/>
      <c r="D399" s="34"/>
      <c r="E399" s="34"/>
      <c r="F399" s="34"/>
      <c r="G399" s="34"/>
      <c r="H399" s="34"/>
      <c r="L399" s="34"/>
      <c r="M399" s="35"/>
      <c r="N399" s="35"/>
      <c r="O399" s="35"/>
      <c r="P399" s="35"/>
    </row>
    <row r="400">
      <c r="A400" s="34"/>
      <c r="B400" s="34"/>
      <c r="C400" s="34"/>
      <c r="D400" s="34"/>
      <c r="E400" s="34"/>
      <c r="F400" s="34"/>
      <c r="G400" s="34"/>
      <c r="H400" s="34"/>
      <c r="L400" s="34"/>
      <c r="M400" s="35"/>
      <c r="N400" s="35"/>
      <c r="O400" s="35"/>
      <c r="P400" s="35"/>
    </row>
    <row r="401">
      <c r="A401" s="34"/>
      <c r="B401" s="34"/>
      <c r="C401" s="34"/>
      <c r="D401" s="34"/>
      <c r="E401" s="34"/>
      <c r="F401" s="34"/>
      <c r="G401" s="34"/>
      <c r="H401" s="34"/>
      <c r="L401" s="34"/>
      <c r="M401" s="35"/>
      <c r="N401" s="35"/>
      <c r="O401" s="35"/>
      <c r="P401" s="35"/>
    </row>
    <row r="402">
      <c r="A402" s="34"/>
      <c r="B402" s="34"/>
      <c r="C402" s="34"/>
      <c r="D402" s="34"/>
      <c r="E402" s="34"/>
      <c r="F402" s="34"/>
      <c r="G402" s="34"/>
      <c r="H402" s="34"/>
      <c r="L402" s="34"/>
      <c r="M402" s="35"/>
      <c r="N402" s="35"/>
      <c r="O402" s="35"/>
      <c r="P402" s="35"/>
    </row>
    <row r="403">
      <c r="A403" s="34"/>
      <c r="B403" s="34"/>
      <c r="C403" s="34"/>
      <c r="D403" s="34"/>
      <c r="E403" s="34"/>
      <c r="F403" s="34"/>
      <c r="G403" s="34"/>
      <c r="H403" s="34"/>
      <c r="L403" s="34"/>
      <c r="M403" s="35"/>
      <c r="N403" s="35"/>
      <c r="O403" s="35"/>
      <c r="P403" s="35"/>
    </row>
    <row r="404">
      <c r="A404" s="34"/>
      <c r="B404" s="34"/>
      <c r="C404" s="34"/>
      <c r="D404" s="34"/>
      <c r="E404" s="34"/>
      <c r="F404" s="34"/>
      <c r="G404" s="34"/>
      <c r="H404" s="34"/>
      <c r="L404" s="34"/>
      <c r="M404" s="35"/>
      <c r="N404" s="35"/>
      <c r="O404" s="35"/>
      <c r="P404" s="35"/>
    </row>
    <row r="405">
      <c r="A405" s="34"/>
      <c r="B405" s="34"/>
      <c r="C405" s="34"/>
      <c r="D405" s="34"/>
      <c r="E405" s="34"/>
      <c r="F405" s="34"/>
      <c r="G405" s="34"/>
      <c r="H405" s="34"/>
      <c r="L405" s="34"/>
      <c r="M405" s="35"/>
      <c r="N405" s="35"/>
      <c r="O405" s="35"/>
      <c r="P405" s="35"/>
    </row>
    <row r="406">
      <c r="A406" s="34"/>
      <c r="B406" s="34"/>
      <c r="C406" s="34"/>
      <c r="D406" s="34"/>
      <c r="E406" s="34"/>
      <c r="F406" s="34"/>
      <c r="G406" s="34"/>
      <c r="H406" s="34"/>
      <c r="L406" s="34"/>
      <c r="M406" s="35"/>
      <c r="N406" s="35"/>
      <c r="O406" s="35"/>
      <c r="P406" s="35"/>
    </row>
    <row r="407">
      <c r="A407" s="34"/>
      <c r="B407" s="34"/>
      <c r="C407" s="34"/>
      <c r="D407" s="34"/>
      <c r="E407" s="34"/>
      <c r="F407" s="34"/>
      <c r="G407" s="34"/>
      <c r="H407" s="34"/>
      <c r="L407" s="34"/>
      <c r="M407" s="35"/>
      <c r="N407" s="35"/>
      <c r="O407" s="35"/>
      <c r="P407" s="35"/>
    </row>
    <row r="408">
      <c r="A408" s="34"/>
      <c r="B408" s="34"/>
      <c r="C408" s="34"/>
      <c r="D408" s="34"/>
      <c r="E408" s="34"/>
      <c r="F408" s="34"/>
      <c r="G408" s="34"/>
      <c r="H408" s="34"/>
      <c r="L408" s="34"/>
      <c r="M408" s="35"/>
      <c r="N408" s="35"/>
      <c r="O408" s="35"/>
      <c r="P408" s="35"/>
    </row>
    <row r="409">
      <c r="A409" s="34"/>
      <c r="B409" s="34"/>
      <c r="C409" s="34"/>
      <c r="D409" s="34"/>
      <c r="E409" s="34"/>
      <c r="F409" s="34"/>
      <c r="G409" s="34"/>
      <c r="H409" s="34"/>
      <c r="L409" s="34"/>
      <c r="M409" s="35"/>
      <c r="N409" s="35"/>
      <c r="O409" s="35"/>
      <c r="P409" s="35"/>
    </row>
    <row r="410">
      <c r="A410" s="34"/>
      <c r="B410" s="34"/>
      <c r="C410" s="34"/>
      <c r="D410" s="34"/>
      <c r="E410" s="34"/>
      <c r="F410" s="34"/>
      <c r="G410" s="34"/>
      <c r="H410" s="34"/>
      <c r="L410" s="34"/>
      <c r="M410" s="35"/>
      <c r="N410" s="35"/>
      <c r="O410" s="35"/>
      <c r="P410" s="35"/>
    </row>
    <row r="411">
      <c r="A411" s="34"/>
      <c r="B411" s="34"/>
      <c r="C411" s="34"/>
      <c r="D411" s="34"/>
      <c r="E411" s="34"/>
      <c r="F411" s="34"/>
      <c r="G411" s="34"/>
      <c r="H411" s="34"/>
      <c r="L411" s="34"/>
      <c r="M411" s="35"/>
      <c r="N411" s="35"/>
      <c r="O411" s="35"/>
      <c r="P411" s="35"/>
    </row>
    <row r="412">
      <c r="A412" s="34"/>
      <c r="B412" s="34"/>
      <c r="C412" s="34"/>
      <c r="D412" s="34"/>
      <c r="E412" s="34"/>
      <c r="F412" s="34"/>
      <c r="G412" s="34"/>
      <c r="H412" s="34"/>
      <c r="L412" s="34"/>
      <c r="M412" s="35"/>
      <c r="N412" s="35"/>
      <c r="O412" s="35"/>
      <c r="P412" s="35"/>
    </row>
    <row r="413">
      <c r="A413" s="34"/>
      <c r="B413" s="34"/>
      <c r="C413" s="34"/>
      <c r="D413" s="34"/>
      <c r="E413" s="34"/>
      <c r="F413" s="34"/>
      <c r="G413" s="34"/>
      <c r="H413" s="34"/>
      <c r="L413" s="34"/>
      <c r="M413" s="35"/>
      <c r="N413" s="35"/>
      <c r="O413" s="35"/>
      <c r="P413" s="35"/>
    </row>
    <row r="414">
      <c r="A414" s="34"/>
      <c r="B414" s="34"/>
      <c r="C414" s="34"/>
      <c r="D414" s="34"/>
      <c r="E414" s="34"/>
      <c r="F414" s="34"/>
      <c r="G414" s="34"/>
      <c r="H414" s="34"/>
      <c r="L414" s="34"/>
      <c r="M414" s="35"/>
      <c r="N414" s="35"/>
      <c r="O414" s="35"/>
      <c r="P414" s="35"/>
    </row>
    <row r="415">
      <c r="A415" s="34"/>
      <c r="B415" s="34"/>
      <c r="C415" s="34"/>
      <c r="D415" s="34"/>
      <c r="E415" s="34"/>
      <c r="F415" s="34"/>
      <c r="G415" s="34"/>
      <c r="H415" s="34"/>
      <c r="L415" s="34"/>
      <c r="M415" s="35"/>
      <c r="N415" s="35"/>
      <c r="O415" s="35"/>
      <c r="P415" s="35"/>
    </row>
    <row r="416">
      <c r="A416" s="34"/>
      <c r="B416" s="34"/>
      <c r="C416" s="34"/>
      <c r="D416" s="34"/>
      <c r="E416" s="34"/>
      <c r="F416" s="34"/>
      <c r="G416" s="34"/>
      <c r="H416" s="34"/>
      <c r="L416" s="34"/>
      <c r="M416" s="35"/>
      <c r="N416" s="35"/>
      <c r="O416" s="35"/>
      <c r="P416" s="35"/>
    </row>
    <row r="417">
      <c r="A417" s="34"/>
      <c r="B417" s="34"/>
      <c r="C417" s="34"/>
      <c r="D417" s="34"/>
      <c r="E417" s="34"/>
      <c r="F417" s="34"/>
      <c r="G417" s="34"/>
      <c r="H417" s="34"/>
      <c r="L417" s="34"/>
      <c r="M417" s="35"/>
      <c r="N417" s="35"/>
      <c r="O417" s="35"/>
      <c r="P417" s="35"/>
    </row>
    <row r="418">
      <c r="A418" s="34"/>
      <c r="B418" s="34"/>
      <c r="C418" s="34"/>
      <c r="D418" s="34"/>
      <c r="E418" s="34"/>
      <c r="F418" s="34"/>
      <c r="G418" s="34"/>
      <c r="H418" s="34"/>
      <c r="L418" s="34"/>
      <c r="M418" s="35"/>
      <c r="N418" s="35"/>
      <c r="O418" s="35"/>
      <c r="P418" s="35"/>
    </row>
    <row r="419">
      <c r="A419" s="34"/>
      <c r="B419" s="34"/>
      <c r="C419" s="34"/>
      <c r="D419" s="34"/>
      <c r="E419" s="34"/>
      <c r="F419" s="34"/>
      <c r="G419" s="34"/>
      <c r="H419" s="34"/>
      <c r="L419" s="34"/>
      <c r="M419" s="35"/>
      <c r="N419" s="35"/>
      <c r="O419" s="35"/>
      <c r="P419" s="35"/>
    </row>
    <row r="420">
      <c r="A420" s="34"/>
      <c r="B420" s="34"/>
      <c r="C420" s="34"/>
      <c r="D420" s="34"/>
      <c r="E420" s="34"/>
      <c r="F420" s="34"/>
      <c r="G420" s="34"/>
      <c r="H420" s="34"/>
      <c r="L420" s="34"/>
      <c r="M420" s="35"/>
      <c r="N420" s="35"/>
      <c r="O420" s="35"/>
      <c r="P420" s="35"/>
    </row>
    <row r="421">
      <c r="A421" s="34"/>
      <c r="B421" s="34"/>
      <c r="C421" s="34"/>
      <c r="D421" s="34"/>
      <c r="E421" s="34"/>
      <c r="F421" s="34"/>
      <c r="G421" s="34"/>
      <c r="H421" s="34"/>
      <c r="L421" s="34"/>
      <c r="M421" s="35"/>
      <c r="N421" s="35"/>
      <c r="O421" s="35"/>
      <c r="P421" s="35"/>
    </row>
    <row r="422">
      <c r="A422" s="34"/>
      <c r="B422" s="34"/>
      <c r="C422" s="34"/>
      <c r="D422" s="34"/>
      <c r="E422" s="34"/>
      <c r="F422" s="34"/>
      <c r="G422" s="34"/>
      <c r="H422" s="34"/>
      <c r="L422" s="34"/>
      <c r="M422" s="35"/>
      <c r="N422" s="35"/>
      <c r="O422" s="35"/>
      <c r="P422" s="35"/>
    </row>
    <row r="423">
      <c r="A423" s="34"/>
      <c r="B423" s="34"/>
      <c r="C423" s="34"/>
      <c r="D423" s="34"/>
      <c r="E423" s="34"/>
      <c r="F423" s="34"/>
      <c r="G423" s="34"/>
      <c r="H423" s="34"/>
      <c r="L423" s="34"/>
      <c r="M423" s="35"/>
      <c r="N423" s="35"/>
      <c r="O423" s="35"/>
      <c r="P423" s="35"/>
    </row>
    <row r="424">
      <c r="A424" s="34"/>
      <c r="B424" s="34"/>
      <c r="C424" s="34"/>
      <c r="D424" s="34"/>
      <c r="E424" s="34"/>
      <c r="F424" s="34"/>
      <c r="G424" s="34"/>
      <c r="H424" s="34"/>
      <c r="L424" s="34"/>
      <c r="M424" s="35"/>
      <c r="N424" s="35"/>
      <c r="O424" s="35"/>
      <c r="P424" s="35"/>
    </row>
    <row r="425">
      <c r="A425" s="34"/>
      <c r="B425" s="34"/>
      <c r="C425" s="34"/>
      <c r="D425" s="34"/>
      <c r="E425" s="34"/>
      <c r="F425" s="34"/>
      <c r="G425" s="34"/>
      <c r="H425" s="34"/>
      <c r="L425" s="34"/>
      <c r="M425" s="35"/>
      <c r="N425" s="35"/>
      <c r="O425" s="35"/>
      <c r="P425" s="35"/>
    </row>
    <row r="426">
      <c r="A426" s="34"/>
      <c r="B426" s="34"/>
      <c r="C426" s="34"/>
      <c r="D426" s="34"/>
      <c r="E426" s="34"/>
      <c r="F426" s="34"/>
      <c r="G426" s="34"/>
      <c r="H426" s="34"/>
      <c r="L426" s="34"/>
      <c r="M426" s="35"/>
      <c r="N426" s="35"/>
      <c r="O426" s="35"/>
      <c r="P426" s="35"/>
    </row>
    <row r="427">
      <c r="A427" s="34"/>
      <c r="B427" s="34"/>
      <c r="C427" s="34"/>
      <c r="D427" s="34"/>
      <c r="E427" s="34"/>
      <c r="F427" s="34"/>
      <c r="G427" s="34"/>
      <c r="H427" s="34"/>
      <c r="L427" s="34"/>
      <c r="M427" s="35"/>
      <c r="N427" s="35"/>
      <c r="O427" s="35"/>
      <c r="P427" s="35"/>
    </row>
    <row r="428">
      <c r="A428" s="34"/>
      <c r="B428" s="34"/>
      <c r="C428" s="34"/>
      <c r="D428" s="34"/>
      <c r="E428" s="34"/>
      <c r="F428" s="34"/>
      <c r="G428" s="34"/>
      <c r="H428" s="34"/>
      <c r="L428" s="34"/>
      <c r="M428" s="35"/>
      <c r="N428" s="35"/>
      <c r="O428" s="35"/>
      <c r="P428" s="35"/>
    </row>
    <row r="429">
      <c r="A429" s="34"/>
      <c r="B429" s="34"/>
      <c r="C429" s="34"/>
      <c r="D429" s="34"/>
      <c r="E429" s="34"/>
      <c r="F429" s="34"/>
      <c r="G429" s="34"/>
      <c r="H429" s="34"/>
      <c r="L429" s="34"/>
      <c r="M429" s="35"/>
      <c r="N429" s="35"/>
      <c r="O429" s="35"/>
      <c r="P429" s="35"/>
    </row>
    <row r="430">
      <c r="A430" s="34"/>
      <c r="B430" s="34"/>
      <c r="C430" s="34"/>
      <c r="D430" s="34"/>
      <c r="E430" s="34"/>
      <c r="F430" s="34"/>
      <c r="G430" s="34"/>
      <c r="H430" s="34"/>
      <c r="L430" s="34"/>
      <c r="M430" s="35"/>
      <c r="N430" s="35"/>
      <c r="O430" s="35"/>
      <c r="P430" s="35"/>
    </row>
    <row r="431">
      <c r="A431" s="34"/>
      <c r="B431" s="34"/>
      <c r="C431" s="34"/>
      <c r="D431" s="34"/>
      <c r="E431" s="34"/>
      <c r="F431" s="34"/>
      <c r="G431" s="34"/>
      <c r="H431" s="34"/>
      <c r="L431" s="34"/>
      <c r="M431" s="35"/>
      <c r="N431" s="35"/>
      <c r="O431" s="35"/>
      <c r="P431" s="35"/>
    </row>
    <row r="432">
      <c r="A432" s="34"/>
      <c r="B432" s="34"/>
      <c r="C432" s="34"/>
      <c r="D432" s="34"/>
      <c r="E432" s="34"/>
      <c r="F432" s="34"/>
      <c r="G432" s="34"/>
      <c r="H432" s="34"/>
      <c r="L432" s="34"/>
      <c r="M432" s="35"/>
      <c r="N432" s="35"/>
      <c r="O432" s="35"/>
      <c r="P432" s="35"/>
    </row>
    <row r="433">
      <c r="A433" s="34"/>
      <c r="B433" s="34"/>
      <c r="C433" s="34"/>
      <c r="D433" s="34"/>
      <c r="E433" s="34"/>
      <c r="F433" s="34"/>
      <c r="G433" s="34"/>
      <c r="H433" s="34"/>
      <c r="L433" s="34"/>
      <c r="M433" s="35"/>
      <c r="N433" s="35"/>
      <c r="O433" s="35"/>
      <c r="P433" s="35"/>
    </row>
    <row r="434">
      <c r="A434" s="34"/>
      <c r="B434" s="34"/>
      <c r="C434" s="34"/>
      <c r="D434" s="34"/>
      <c r="E434" s="34"/>
      <c r="F434" s="34"/>
      <c r="G434" s="34"/>
      <c r="H434" s="34"/>
      <c r="L434" s="34"/>
      <c r="M434" s="35"/>
      <c r="N434" s="35"/>
      <c r="O434" s="35"/>
      <c r="P434" s="35"/>
    </row>
    <row r="435">
      <c r="A435" s="34"/>
      <c r="B435" s="34"/>
      <c r="C435" s="34"/>
      <c r="D435" s="34"/>
      <c r="E435" s="34"/>
      <c r="F435" s="34"/>
      <c r="G435" s="34"/>
      <c r="H435" s="34"/>
      <c r="L435" s="34"/>
      <c r="M435" s="35"/>
      <c r="N435" s="35"/>
      <c r="O435" s="35"/>
      <c r="P435" s="35"/>
    </row>
    <row r="436">
      <c r="A436" s="34"/>
      <c r="B436" s="34"/>
      <c r="C436" s="34"/>
      <c r="D436" s="34"/>
      <c r="E436" s="34"/>
      <c r="F436" s="34"/>
      <c r="G436" s="34"/>
      <c r="H436" s="34"/>
      <c r="L436" s="34"/>
      <c r="M436" s="35"/>
      <c r="N436" s="35"/>
      <c r="O436" s="35"/>
      <c r="P436" s="35"/>
    </row>
    <row r="437">
      <c r="A437" s="34"/>
      <c r="B437" s="34"/>
      <c r="C437" s="34"/>
      <c r="D437" s="34"/>
      <c r="E437" s="34"/>
      <c r="F437" s="34"/>
      <c r="G437" s="34"/>
      <c r="H437" s="34"/>
      <c r="L437" s="34"/>
      <c r="M437" s="35"/>
      <c r="N437" s="35"/>
      <c r="O437" s="35"/>
      <c r="P437" s="35"/>
    </row>
    <row r="438">
      <c r="A438" s="34"/>
      <c r="B438" s="34"/>
      <c r="C438" s="34"/>
      <c r="D438" s="34"/>
      <c r="E438" s="34"/>
      <c r="F438" s="34"/>
      <c r="G438" s="34"/>
      <c r="H438" s="34"/>
      <c r="L438" s="34"/>
      <c r="M438" s="35"/>
      <c r="N438" s="35"/>
      <c r="O438" s="35"/>
      <c r="P438" s="35"/>
    </row>
    <row r="439">
      <c r="A439" s="34"/>
      <c r="B439" s="34"/>
      <c r="C439" s="34"/>
      <c r="D439" s="34"/>
      <c r="E439" s="34"/>
      <c r="F439" s="34"/>
      <c r="G439" s="34"/>
      <c r="H439" s="34"/>
      <c r="L439" s="34"/>
      <c r="M439" s="35"/>
      <c r="N439" s="35"/>
      <c r="O439" s="35"/>
      <c r="P439" s="35"/>
    </row>
    <row r="440">
      <c r="A440" s="34"/>
      <c r="B440" s="34"/>
      <c r="C440" s="34"/>
      <c r="D440" s="34"/>
      <c r="E440" s="34"/>
      <c r="F440" s="34"/>
      <c r="G440" s="34"/>
      <c r="H440" s="34"/>
      <c r="L440" s="34"/>
      <c r="M440" s="35"/>
      <c r="N440" s="35"/>
      <c r="O440" s="35"/>
      <c r="P440" s="35"/>
    </row>
    <row r="441">
      <c r="A441" s="34"/>
      <c r="B441" s="34"/>
      <c r="C441" s="34"/>
      <c r="D441" s="34"/>
      <c r="E441" s="34"/>
      <c r="F441" s="34"/>
      <c r="G441" s="34"/>
      <c r="H441" s="34"/>
      <c r="L441" s="34"/>
      <c r="M441" s="35"/>
      <c r="N441" s="35"/>
      <c r="O441" s="35"/>
      <c r="P441" s="35"/>
    </row>
    <row r="442">
      <c r="A442" s="34"/>
      <c r="B442" s="34"/>
      <c r="C442" s="34"/>
      <c r="D442" s="34"/>
      <c r="E442" s="34"/>
      <c r="F442" s="34"/>
      <c r="G442" s="34"/>
      <c r="H442" s="34"/>
      <c r="L442" s="34"/>
      <c r="M442" s="35"/>
      <c r="N442" s="35"/>
      <c r="O442" s="35"/>
      <c r="P442" s="35"/>
    </row>
    <row r="443">
      <c r="A443" s="34"/>
      <c r="B443" s="34"/>
      <c r="C443" s="34"/>
      <c r="D443" s="34"/>
      <c r="E443" s="34"/>
      <c r="F443" s="34"/>
      <c r="G443" s="34"/>
      <c r="H443" s="34"/>
      <c r="L443" s="34"/>
      <c r="M443" s="35"/>
      <c r="N443" s="35"/>
      <c r="O443" s="35"/>
      <c r="P443" s="35"/>
    </row>
    <row r="444">
      <c r="A444" s="34"/>
      <c r="B444" s="34"/>
      <c r="C444" s="34"/>
      <c r="D444" s="34"/>
      <c r="E444" s="34"/>
      <c r="F444" s="34"/>
      <c r="G444" s="34"/>
      <c r="H444" s="34"/>
      <c r="L444" s="34"/>
      <c r="M444" s="35"/>
      <c r="N444" s="35"/>
      <c r="O444" s="35"/>
      <c r="P444" s="35"/>
    </row>
    <row r="445">
      <c r="A445" s="34"/>
      <c r="B445" s="34"/>
      <c r="C445" s="34"/>
      <c r="D445" s="34"/>
      <c r="E445" s="34"/>
      <c r="F445" s="34"/>
      <c r="G445" s="34"/>
      <c r="H445" s="34"/>
      <c r="L445" s="34"/>
      <c r="M445" s="35"/>
      <c r="N445" s="35"/>
      <c r="O445" s="35"/>
      <c r="P445" s="35"/>
    </row>
    <row r="446">
      <c r="A446" s="34"/>
      <c r="B446" s="34"/>
      <c r="C446" s="34"/>
      <c r="D446" s="34"/>
      <c r="E446" s="34"/>
      <c r="F446" s="34"/>
      <c r="G446" s="34"/>
      <c r="H446" s="34"/>
      <c r="L446" s="34"/>
      <c r="M446" s="35"/>
      <c r="N446" s="35"/>
      <c r="O446" s="35"/>
      <c r="P446" s="35"/>
    </row>
    <row r="447">
      <c r="A447" s="34"/>
      <c r="B447" s="34"/>
      <c r="C447" s="34"/>
      <c r="D447" s="34"/>
      <c r="E447" s="34"/>
      <c r="F447" s="34"/>
      <c r="G447" s="34"/>
      <c r="H447" s="34"/>
      <c r="L447" s="34"/>
      <c r="M447" s="35"/>
      <c r="N447" s="35"/>
      <c r="O447" s="35"/>
      <c r="P447" s="35"/>
    </row>
    <row r="448">
      <c r="A448" s="34"/>
      <c r="B448" s="34"/>
      <c r="C448" s="34"/>
      <c r="D448" s="34"/>
      <c r="E448" s="34"/>
      <c r="F448" s="34"/>
      <c r="G448" s="34"/>
      <c r="H448" s="34"/>
      <c r="L448" s="34"/>
      <c r="M448" s="35"/>
      <c r="N448" s="35"/>
      <c r="O448" s="35"/>
      <c r="P448" s="35"/>
    </row>
    <row r="449">
      <c r="A449" s="34"/>
      <c r="B449" s="34"/>
      <c r="C449" s="34"/>
      <c r="D449" s="34"/>
      <c r="E449" s="34"/>
      <c r="F449" s="34"/>
      <c r="G449" s="34"/>
      <c r="H449" s="34"/>
      <c r="L449" s="34"/>
      <c r="M449" s="35"/>
      <c r="N449" s="35"/>
      <c r="O449" s="35"/>
      <c r="P449" s="35"/>
    </row>
    <row r="450">
      <c r="A450" s="34"/>
      <c r="B450" s="34"/>
      <c r="C450" s="34"/>
      <c r="D450" s="34"/>
      <c r="E450" s="34"/>
      <c r="F450" s="34"/>
      <c r="G450" s="34"/>
      <c r="H450" s="34"/>
      <c r="L450" s="34"/>
      <c r="M450" s="35"/>
      <c r="N450" s="35"/>
      <c r="O450" s="35"/>
      <c r="P450" s="35"/>
    </row>
    <row r="451">
      <c r="A451" s="34"/>
      <c r="B451" s="34"/>
      <c r="C451" s="34"/>
      <c r="D451" s="34"/>
      <c r="E451" s="34"/>
      <c r="F451" s="34"/>
      <c r="G451" s="34"/>
      <c r="H451" s="34"/>
      <c r="L451" s="34"/>
      <c r="M451" s="35"/>
      <c r="N451" s="35"/>
      <c r="O451" s="35"/>
      <c r="P451" s="35"/>
    </row>
    <row r="452">
      <c r="A452" s="34"/>
      <c r="B452" s="34"/>
      <c r="C452" s="34"/>
      <c r="D452" s="34"/>
      <c r="E452" s="34"/>
      <c r="F452" s="34"/>
      <c r="G452" s="34"/>
      <c r="H452" s="34"/>
      <c r="L452" s="34"/>
      <c r="M452" s="35"/>
      <c r="N452" s="35"/>
      <c r="O452" s="35"/>
      <c r="P452" s="35"/>
    </row>
    <row r="453">
      <c r="A453" s="34"/>
      <c r="B453" s="34"/>
      <c r="C453" s="34"/>
      <c r="D453" s="34"/>
      <c r="E453" s="34"/>
      <c r="F453" s="34"/>
      <c r="G453" s="34"/>
      <c r="H453" s="34"/>
      <c r="L453" s="34"/>
      <c r="M453" s="35"/>
      <c r="N453" s="35"/>
      <c r="O453" s="35"/>
      <c r="P453" s="35"/>
    </row>
    <row r="454">
      <c r="A454" s="34"/>
      <c r="B454" s="34"/>
      <c r="C454" s="34"/>
      <c r="D454" s="34"/>
      <c r="E454" s="34"/>
      <c r="F454" s="34"/>
      <c r="G454" s="34"/>
      <c r="H454" s="34"/>
      <c r="L454" s="34"/>
      <c r="M454" s="35"/>
      <c r="N454" s="35"/>
      <c r="O454" s="35"/>
      <c r="P454" s="35"/>
    </row>
    <row r="455">
      <c r="A455" s="34"/>
      <c r="B455" s="34"/>
      <c r="C455" s="34"/>
      <c r="D455" s="34"/>
      <c r="E455" s="34"/>
      <c r="F455" s="34"/>
      <c r="G455" s="34"/>
      <c r="H455" s="34"/>
      <c r="L455" s="34"/>
      <c r="M455" s="35"/>
      <c r="N455" s="35"/>
      <c r="O455" s="35"/>
      <c r="P455" s="35"/>
    </row>
    <row r="456">
      <c r="A456" s="34"/>
      <c r="B456" s="34"/>
      <c r="C456" s="34"/>
      <c r="D456" s="34"/>
      <c r="E456" s="34"/>
      <c r="F456" s="34"/>
      <c r="G456" s="34"/>
      <c r="H456" s="34"/>
      <c r="L456" s="34"/>
      <c r="M456" s="35"/>
      <c r="N456" s="35"/>
      <c r="O456" s="35"/>
      <c r="P456" s="35"/>
    </row>
    <row r="457">
      <c r="A457" s="34"/>
      <c r="B457" s="34"/>
      <c r="C457" s="34"/>
      <c r="D457" s="34"/>
      <c r="E457" s="34"/>
      <c r="F457" s="34"/>
      <c r="G457" s="34"/>
      <c r="H457" s="34"/>
      <c r="L457" s="34"/>
      <c r="M457" s="35"/>
      <c r="N457" s="35"/>
      <c r="O457" s="35"/>
      <c r="P457" s="35"/>
    </row>
    <row r="458">
      <c r="A458" s="34"/>
      <c r="B458" s="34"/>
      <c r="C458" s="34"/>
      <c r="D458" s="34"/>
      <c r="E458" s="34"/>
      <c r="F458" s="34"/>
      <c r="G458" s="34"/>
      <c r="H458" s="34"/>
      <c r="L458" s="34"/>
      <c r="M458" s="35"/>
      <c r="N458" s="35"/>
      <c r="O458" s="35"/>
      <c r="P458" s="35"/>
    </row>
    <row r="459">
      <c r="A459" s="34"/>
      <c r="B459" s="34"/>
      <c r="C459" s="34"/>
      <c r="D459" s="34"/>
      <c r="E459" s="34"/>
      <c r="F459" s="34"/>
      <c r="G459" s="34"/>
      <c r="H459" s="34"/>
      <c r="L459" s="34"/>
      <c r="M459" s="35"/>
      <c r="N459" s="35"/>
      <c r="O459" s="35"/>
      <c r="P459" s="35"/>
    </row>
    <row r="460">
      <c r="A460" s="34"/>
      <c r="B460" s="34"/>
      <c r="C460" s="34"/>
      <c r="D460" s="34"/>
      <c r="E460" s="34"/>
      <c r="F460" s="34"/>
      <c r="G460" s="34"/>
      <c r="H460" s="34"/>
      <c r="L460" s="34"/>
      <c r="M460" s="35"/>
      <c r="N460" s="35"/>
      <c r="O460" s="35"/>
      <c r="P460" s="35"/>
    </row>
    <row r="461">
      <c r="A461" s="34"/>
      <c r="B461" s="34"/>
      <c r="C461" s="34"/>
      <c r="D461" s="34"/>
      <c r="E461" s="34"/>
      <c r="F461" s="34"/>
      <c r="G461" s="34"/>
      <c r="H461" s="34"/>
      <c r="L461" s="34"/>
      <c r="M461" s="35"/>
      <c r="N461" s="35"/>
      <c r="O461" s="35"/>
      <c r="P461" s="35"/>
    </row>
    <row r="462">
      <c r="A462" s="34"/>
      <c r="B462" s="34"/>
      <c r="C462" s="34"/>
      <c r="D462" s="34"/>
      <c r="E462" s="34"/>
      <c r="F462" s="34"/>
      <c r="G462" s="34"/>
      <c r="H462" s="34"/>
      <c r="L462" s="34"/>
      <c r="M462" s="35"/>
      <c r="N462" s="35"/>
      <c r="O462" s="35"/>
      <c r="P462" s="35"/>
    </row>
    <row r="463">
      <c r="A463" s="34"/>
      <c r="B463" s="34"/>
      <c r="C463" s="34"/>
      <c r="D463" s="34"/>
      <c r="E463" s="34"/>
      <c r="F463" s="34"/>
      <c r="G463" s="34"/>
      <c r="H463" s="34"/>
      <c r="L463" s="34"/>
      <c r="M463" s="35"/>
      <c r="N463" s="35"/>
      <c r="O463" s="35"/>
      <c r="P463" s="35"/>
    </row>
    <row r="464">
      <c r="A464" s="34"/>
      <c r="B464" s="34"/>
      <c r="C464" s="34"/>
      <c r="D464" s="34"/>
      <c r="E464" s="34"/>
      <c r="F464" s="34"/>
      <c r="G464" s="34"/>
      <c r="H464" s="34"/>
      <c r="L464" s="34"/>
      <c r="M464" s="35"/>
      <c r="N464" s="35"/>
      <c r="O464" s="35"/>
      <c r="P464" s="35"/>
    </row>
    <row r="465">
      <c r="A465" s="34"/>
      <c r="B465" s="34"/>
      <c r="C465" s="34"/>
      <c r="D465" s="34"/>
      <c r="E465" s="34"/>
      <c r="F465" s="34"/>
      <c r="G465" s="34"/>
      <c r="H465" s="34"/>
      <c r="L465" s="34"/>
      <c r="M465" s="35"/>
      <c r="N465" s="35"/>
      <c r="O465" s="35"/>
      <c r="P465" s="35"/>
    </row>
    <row r="466">
      <c r="A466" s="34"/>
      <c r="B466" s="34"/>
      <c r="C466" s="34"/>
      <c r="D466" s="34"/>
      <c r="E466" s="34"/>
      <c r="F466" s="34"/>
      <c r="G466" s="34"/>
      <c r="H466" s="34"/>
      <c r="L466" s="34"/>
      <c r="M466" s="35"/>
      <c r="N466" s="35"/>
      <c r="O466" s="35"/>
      <c r="P466" s="35"/>
    </row>
    <row r="467">
      <c r="A467" s="34"/>
      <c r="B467" s="34"/>
      <c r="C467" s="34"/>
      <c r="D467" s="34"/>
      <c r="E467" s="34"/>
      <c r="F467" s="34"/>
      <c r="G467" s="34"/>
      <c r="H467" s="34"/>
      <c r="L467" s="34"/>
      <c r="M467" s="35"/>
      <c r="N467" s="35"/>
      <c r="O467" s="35"/>
      <c r="P467" s="35"/>
    </row>
    <row r="468">
      <c r="A468" s="34"/>
      <c r="B468" s="34"/>
      <c r="C468" s="34"/>
      <c r="D468" s="34"/>
      <c r="E468" s="34"/>
      <c r="F468" s="34"/>
      <c r="G468" s="34"/>
      <c r="H468" s="34"/>
      <c r="L468" s="34"/>
      <c r="M468" s="35"/>
      <c r="N468" s="35"/>
      <c r="O468" s="35"/>
      <c r="P468" s="35"/>
    </row>
    <row r="469">
      <c r="A469" s="34"/>
      <c r="B469" s="34"/>
      <c r="C469" s="34"/>
      <c r="D469" s="34"/>
      <c r="E469" s="34"/>
      <c r="F469" s="34"/>
      <c r="G469" s="34"/>
      <c r="H469" s="34"/>
      <c r="L469" s="34"/>
      <c r="M469" s="35"/>
      <c r="N469" s="35"/>
      <c r="O469" s="35"/>
      <c r="P469" s="35"/>
    </row>
    <row r="470">
      <c r="A470" s="34"/>
      <c r="B470" s="34"/>
      <c r="C470" s="34"/>
      <c r="D470" s="34"/>
      <c r="E470" s="34"/>
      <c r="F470" s="34"/>
      <c r="G470" s="34"/>
      <c r="H470" s="34"/>
      <c r="L470" s="34"/>
      <c r="M470" s="35"/>
      <c r="N470" s="35"/>
      <c r="O470" s="35"/>
      <c r="P470" s="35"/>
    </row>
    <row r="471">
      <c r="A471" s="34"/>
      <c r="B471" s="34"/>
      <c r="C471" s="34"/>
      <c r="D471" s="34"/>
      <c r="E471" s="34"/>
      <c r="F471" s="34"/>
      <c r="G471" s="34"/>
      <c r="H471" s="34"/>
      <c r="L471" s="34"/>
      <c r="M471" s="35"/>
      <c r="N471" s="35"/>
      <c r="O471" s="35"/>
      <c r="P471" s="35"/>
    </row>
    <row r="472">
      <c r="A472" s="34"/>
      <c r="B472" s="34"/>
      <c r="C472" s="34"/>
      <c r="D472" s="34"/>
      <c r="E472" s="34"/>
      <c r="F472" s="34"/>
      <c r="G472" s="34"/>
      <c r="H472" s="34"/>
      <c r="L472" s="34"/>
      <c r="M472" s="35"/>
      <c r="N472" s="35"/>
      <c r="O472" s="35"/>
      <c r="P472" s="35"/>
    </row>
    <row r="473">
      <c r="A473" s="34"/>
      <c r="B473" s="34"/>
      <c r="C473" s="34"/>
      <c r="D473" s="34"/>
      <c r="E473" s="34"/>
      <c r="F473" s="34"/>
      <c r="G473" s="34"/>
      <c r="H473" s="34"/>
      <c r="L473" s="34"/>
      <c r="M473" s="35"/>
      <c r="N473" s="35"/>
      <c r="O473" s="35"/>
      <c r="P473" s="35"/>
    </row>
    <row r="474">
      <c r="A474" s="34"/>
      <c r="B474" s="34"/>
      <c r="C474" s="34"/>
      <c r="D474" s="34"/>
      <c r="E474" s="34"/>
      <c r="F474" s="34"/>
      <c r="G474" s="34"/>
      <c r="H474" s="34"/>
      <c r="L474" s="34"/>
      <c r="M474" s="35"/>
      <c r="N474" s="35"/>
      <c r="O474" s="35"/>
      <c r="P474" s="35"/>
    </row>
    <row r="475">
      <c r="A475" s="34"/>
      <c r="B475" s="34"/>
      <c r="C475" s="34"/>
      <c r="D475" s="34"/>
      <c r="E475" s="34"/>
      <c r="F475" s="34"/>
      <c r="G475" s="34"/>
      <c r="H475" s="34"/>
      <c r="L475" s="34"/>
      <c r="M475" s="35"/>
      <c r="N475" s="35"/>
      <c r="O475" s="35"/>
      <c r="P475" s="35"/>
    </row>
    <row r="476">
      <c r="A476" s="34"/>
      <c r="B476" s="34"/>
      <c r="C476" s="34"/>
      <c r="D476" s="34"/>
      <c r="E476" s="34"/>
      <c r="F476" s="34"/>
      <c r="G476" s="34"/>
      <c r="H476" s="34"/>
      <c r="L476" s="34"/>
      <c r="M476" s="35"/>
      <c r="N476" s="35"/>
      <c r="O476" s="35"/>
      <c r="P476" s="35"/>
    </row>
    <row r="477">
      <c r="A477" s="34"/>
      <c r="B477" s="34"/>
      <c r="C477" s="34"/>
      <c r="D477" s="34"/>
      <c r="E477" s="34"/>
      <c r="F477" s="34"/>
      <c r="G477" s="34"/>
      <c r="H477" s="34"/>
      <c r="L477" s="34"/>
      <c r="M477" s="35"/>
      <c r="N477" s="35"/>
      <c r="O477" s="35"/>
      <c r="P477" s="35"/>
    </row>
    <row r="478">
      <c r="A478" s="34"/>
      <c r="B478" s="34"/>
      <c r="C478" s="34"/>
      <c r="D478" s="34"/>
      <c r="E478" s="34"/>
      <c r="F478" s="34"/>
      <c r="G478" s="34"/>
      <c r="H478" s="34"/>
      <c r="L478" s="34"/>
      <c r="M478" s="35"/>
      <c r="N478" s="35"/>
      <c r="O478" s="35"/>
      <c r="P478" s="35"/>
    </row>
    <row r="479">
      <c r="A479" s="34"/>
      <c r="B479" s="34"/>
      <c r="C479" s="34"/>
      <c r="D479" s="34"/>
      <c r="E479" s="34"/>
      <c r="F479" s="34"/>
      <c r="G479" s="34"/>
      <c r="H479" s="34"/>
      <c r="L479" s="34"/>
      <c r="M479" s="35"/>
      <c r="N479" s="35"/>
      <c r="O479" s="35"/>
      <c r="P479" s="35"/>
    </row>
    <row r="480">
      <c r="A480" s="34"/>
      <c r="B480" s="34"/>
      <c r="C480" s="34"/>
      <c r="D480" s="34"/>
      <c r="E480" s="34"/>
      <c r="F480" s="34"/>
      <c r="G480" s="34"/>
      <c r="H480" s="34"/>
      <c r="L480" s="34"/>
      <c r="M480" s="35"/>
      <c r="N480" s="35"/>
      <c r="O480" s="35"/>
      <c r="P480" s="35"/>
    </row>
    <row r="481">
      <c r="A481" s="34"/>
      <c r="B481" s="34"/>
      <c r="C481" s="34"/>
      <c r="D481" s="34"/>
      <c r="E481" s="34"/>
      <c r="F481" s="34"/>
      <c r="G481" s="34"/>
      <c r="H481" s="34"/>
      <c r="L481" s="34"/>
      <c r="M481" s="35"/>
      <c r="N481" s="35"/>
      <c r="O481" s="35"/>
      <c r="P481" s="35"/>
    </row>
    <row r="482">
      <c r="A482" s="34"/>
      <c r="B482" s="34"/>
      <c r="C482" s="34"/>
      <c r="D482" s="34"/>
      <c r="E482" s="34"/>
      <c r="F482" s="34"/>
      <c r="G482" s="34"/>
      <c r="H482" s="34"/>
      <c r="L482" s="34"/>
      <c r="M482" s="35"/>
      <c r="N482" s="35"/>
      <c r="O482" s="35"/>
      <c r="P482" s="35"/>
    </row>
    <row r="483">
      <c r="A483" s="34"/>
      <c r="B483" s="34"/>
      <c r="C483" s="34"/>
      <c r="D483" s="34"/>
      <c r="E483" s="34"/>
      <c r="F483" s="34"/>
      <c r="G483" s="34"/>
      <c r="H483" s="34"/>
      <c r="L483" s="34"/>
      <c r="M483" s="35"/>
      <c r="N483" s="35"/>
      <c r="O483" s="35"/>
      <c r="P483" s="35"/>
    </row>
    <row r="484">
      <c r="A484" s="34"/>
      <c r="B484" s="34"/>
      <c r="C484" s="34"/>
      <c r="D484" s="34"/>
      <c r="E484" s="34"/>
      <c r="F484" s="34"/>
      <c r="G484" s="34"/>
      <c r="H484" s="34"/>
      <c r="L484" s="34"/>
      <c r="M484" s="35"/>
      <c r="N484" s="35"/>
      <c r="O484" s="35"/>
      <c r="P484" s="35"/>
    </row>
    <row r="485">
      <c r="A485" s="34"/>
      <c r="B485" s="34"/>
      <c r="C485" s="34"/>
      <c r="D485" s="34"/>
      <c r="E485" s="34"/>
      <c r="F485" s="34"/>
      <c r="G485" s="34"/>
      <c r="H485" s="34"/>
      <c r="L485" s="34"/>
      <c r="M485" s="35"/>
      <c r="N485" s="35"/>
      <c r="O485" s="35"/>
      <c r="P485" s="35"/>
    </row>
    <row r="486">
      <c r="A486" s="34"/>
      <c r="B486" s="34"/>
      <c r="C486" s="34"/>
      <c r="D486" s="34"/>
      <c r="E486" s="34"/>
      <c r="F486" s="34"/>
      <c r="G486" s="34"/>
      <c r="H486" s="34"/>
      <c r="L486" s="34"/>
      <c r="M486" s="35"/>
      <c r="N486" s="35"/>
      <c r="O486" s="35"/>
      <c r="P486" s="35"/>
    </row>
    <row r="487">
      <c r="A487" s="34"/>
      <c r="B487" s="34"/>
      <c r="C487" s="34"/>
      <c r="D487" s="34"/>
      <c r="E487" s="34"/>
      <c r="F487" s="34"/>
      <c r="G487" s="34"/>
      <c r="H487" s="34"/>
      <c r="L487" s="34"/>
      <c r="M487" s="35"/>
      <c r="N487" s="35"/>
      <c r="O487" s="35"/>
      <c r="P487" s="35"/>
    </row>
    <row r="488">
      <c r="A488" s="34"/>
      <c r="B488" s="34"/>
      <c r="C488" s="34"/>
      <c r="D488" s="34"/>
      <c r="E488" s="34"/>
      <c r="F488" s="34"/>
      <c r="G488" s="34"/>
      <c r="H488" s="34"/>
      <c r="L488" s="34"/>
      <c r="M488" s="35"/>
      <c r="N488" s="35"/>
      <c r="O488" s="35"/>
      <c r="P488" s="35"/>
    </row>
    <row r="489">
      <c r="A489" s="34"/>
      <c r="B489" s="34"/>
      <c r="C489" s="34"/>
      <c r="D489" s="34"/>
      <c r="E489" s="34"/>
      <c r="F489" s="34"/>
      <c r="G489" s="34"/>
      <c r="H489" s="34"/>
      <c r="L489" s="34"/>
      <c r="M489" s="35"/>
      <c r="N489" s="35"/>
      <c r="O489" s="35"/>
      <c r="P489" s="35"/>
    </row>
    <row r="490">
      <c r="A490" s="34"/>
      <c r="B490" s="34"/>
      <c r="C490" s="34"/>
      <c r="D490" s="34"/>
      <c r="E490" s="34"/>
      <c r="F490" s="34"/>
      <c r="G490" s="34"/>
      <c r="H490" s="34"/>
      <c r="L490" s="34"/>
      <c r="M490" s="35"/>
      <c r="N490" s="35"/>
      <c r="O490" s="35"/>
      <c r="P490" s="35"/>
    </row>
    <row r="491">
      <c r="A491" s="34"/>
      <c r="B491" s="34"/>
      <c r="C491" s="34"/>
      <c r="D491" s="34"/>
      <c r="E491" s="34"/>
      <c r="F491" s="34"/>
      <c r="G491" s="34"/>
      <c r="H491" s="34"/>
      <c r="L491" s="34"/>
      <c r="M491" s="35"/>
      <c r="N491" s="35"/>
      <c r="O491" s="35"/>
      <c r="P491" s="35"/>
    </row>
    <row r="492">
      <c r="A492" s="34"/>
      <c r="B492" s="34"/>
      <c r="C492" s="34"/>
      <c r="D492" s="34"/>
      <c r="E492" s="34"/>
      <c r="F492" s="34"/>
      <c r="G492" s="34"/>
      <c r="H492" s="34"/>
      <c r="L492" s="34"/>
      <c r="M492" s="35"/>
      <c r="N492" s="35"/>
      <c r="O492" s="35"/>
      <c r="P492" s="35"/>
    </row>
    <row r="493">
      <c r="A493" s="34"/>
      <c r="B493" s="34"/>
      <c r="C493" s="34"/>
      <c r="D493" s="34"/>
      <c r="E493" s="34"/>
      <c r="F493" s="34"/>
      <c r="G493" s="34"/>
      <c r="H493" s="34"/>
      <c r="L493" s="34"/>
      <c r="M493" s="35"/>
      <c r="N493" s="35"/>
      <c r="O493" s="35"/>
      <c r="P493" s="35"/>
    </row>
    <row r="494">
      <c r="A494" s="34"/>
      <c r="B494" s="34"/>
      <c r="C494" s="34"/>
      <c r="D494" s="34"/>
      <c r="E494" s="34"/>
      <c r="F494" s="34"/>
      <c r="G494" s="34"/>
      <c r="H494" s="34"/>
      <c r="L494" s="34"/>
      <c r="M494" s="35"/>
      <c r="N494" s="35"/>
      <c r="O494" s="35"/>
      <c r="P494" s="35"/>
    </row>
    <row r="495">
      <c r="A495" s="34"/>
      <c r="B495" s="34"/>
      <c r="C495" s="34"/>
      <c r="D495" s="34"/>
      <c r="E495" s="34"/>
      <c r="F495" s="34"/>
      <c r="G495" s="34"/>
      <c r="H495" s="34"/>
      <c r="L495" s="34"/>
      <c r="M495" s="35"/>
      <c r="N495" s="35"/>
      <c r="O495" s="35"/>
      <c r="P495" s="35"/>
    </row>
    <row r="496">
      <c r="A496" s="34"/>
      <c r="B496" s="34"/>
      <c r="C496" s="34"/>
      <c r="D496" s="34"/>
      <c r="E496" s="34"/>
      <c r="F496" s="34"/>
      <c r="G496" s="34"/>
      <c r="H496" s="34"/>
      <c r="L496" s="34"/>
      <c r="M496" s="35"/>
      <c r="N496" s="35"/>
      <c r="O496" s="35"/>
      <c r="P496" s="35"/>
    </row>
    <row r="497">
      <c r="A497" s="34"/>
      <c r="B497" s="34"/>
      <c r="C497" s="34"/>
      <c r="D497" s="34"/>
      <c r="E497" s="34"/>
      <c r="F497" s="34"/>
      <c r="G497" s="34"/>
      <c r="H497" s="34"/>
      <c r="L497" s="34"/>
      <c r="M497" s="35"/>
      <c r="N497" s="35"/>
      <c r="O497" s="35"/>
      <c r="P497" s="35"/>
    </row>
    <row r="498">
      <c r="A498" s="34"/>
      <c r="B498" s="34"/>
      <c r="C498" s="34"/>
      <c r="D498" s="34"/>
      <c r="E498" s="34"/>
      <c r="F498" s="34"/>
      <c r="G498" s="34"/>
      <c r="H498" s="34"/>
      <c r="L498" s="34"/>
      <c r="M498" s="35"/>
      <c r="N498" s="35"/>
      <c r="O498" s="35"/>
      <c r="P498" s="35"/>
    </row>
    <row r="499">
      <c r="A499" s="34"/>
      <c r="B499" s="34"/>
      <c r="C499" s="34"/>
      <c r="D499" s="34"/>
      <c r="E499" s="34"/>
      <c r="F499" s="34"/>
      <c r="G499" s="34"/>
      <c r="H499" s="34"/>
      <c r="L499" s="34"/>
      <c r="M499" s="35"/>
      <c r="N499" s="35"/>
      <c r="O499" s="35"/>
      <c r="P499" s="35"/>
    </row>
    <row r="500">
      <c r="A500" s="34"/>
      <c r="B500" s="34"/>
      <c r="C500" s="34"/>
      <c r="D500" s="34"/>
      <c r="E500" s="34"/>
      <c r="F500" s="34"/>
      <c r="G500" s="34"/>
      <c r="H500" s="34"/>
      <c r="L500" s="34"/>
      <c r="M500" s="35"/>
      <c r="N500" s="35"/>
      <c r="O500" s="35"/>
      <c r="P500" s="35"/>
    </row>
    <row r="501">
      <c r="A501" s="34"/>
      <c r="B501" s="34"/>
      <c r="C501" s="34"/>
      <c r="D501" s="34"/>
      <c r="E501" s="34"/>
      <c r="F501" s="34"/>
      <c r="G501" s="34"/>
      <c r="H501" s="34"/>
      <c r="L501" s="34"/>
      <c r="M501" s="35"/>
      <c r="N501" s="35"/>
      <c r="O501" s="35"/>
      <c r="P501" s="35"/>
    </row>
    <row r="502">
      <c r="A502" s="34"/>
      <c r="B502" s="34"/>
      <c r="C502" s="34"/>
      <c r="D502" s="34"/>
      <c r="E502" s="34"/>
      <c r="F502" s="34"/>
      <c r="G502" s="34"/>
      <c r="H502" s="34"/>
      <c r="L502" s="34"/>
      <c r="M502" s="35"/>
      <c r="N502" s="35"/>
      <c r="O502" s="35"/>
      <c r="P502" s="35"/>
    </row>
    <row r="503">
      <c r="A503" s="34"/>
      <c r="B503" s="34"/>
      <c r="C503" s="34"/>
      <c r="D503" s="34"/>
      <c r="E503" s="34"/>
      <c r="F503" s="34"/>
      <c r="G503" s="34"/>
      <c r="H503" s="34"/>
      <c r="L503" s="34"/>
      <c r="M503" s="35"/>
      <c r="N503" s="35"/>
      <c r="O503" s="35"/>
      <c r="P503" s="35"/>
    </row>
    <row r="504">
      <c r="A504" s="34"/>
      <c r="B504" s="34"/>
      <c r="C504" s="34"/>
      <c r="D504" s="34"/>
      <c r="E504" s="34"/>
      <c r="F504" s="34"/>
      <c r="G504" s="34"/>
      <c r="H504" s="34"/>
      <c r="L504" s="34"/>
      <c r="M504" s="35"/>
      <c r="N504" s="35"/>
      <c r="O504" s="35"/>
      <c r="P504" s="35"/>
    </row>
    <row r="505">
      <c r="A505" s="34"/>
      <c r="B505" s="34"/>
      <c r="C505" s="34"/>
      <c r="D505" s="34"/>
      <c r="E505" s="34"/>
      <c r="F505" s="34"/>
      <c r="G505" s="34"/>
      <c r="H505" s="34"/>
      <c r="L505" s="34"/>
      <c r="M505" s="35"/>
      <c r="N505" s="35"/>
      <c r="O505" s="35"/>
      <c r="P505" s="35"/>
    </row>
    <row r="506">
      <c r="A506" s="34"/>
      <c r="B506" s="34"/>
      <c r="C506" s="34"/>
      <c r="D506" s="34"/>
      <c r="E506" s="34"/>
      <c r="F506" s="34"/>
      <c r="G506" s="34"/>
      <c r="H506" s="34"/>
      <c r="L506" s="34"/>
      <c r="M506" s="35"/>
      <c r="N506" s="35"/>
      <c r="O506" s="35"/>
      <c r="P506" s="35"/>
    </row>
    <row r="507">
      <c r="A507" s="34"/>
      <c r="B507" s="34"/>
      <c r="C507" s="34"/>
      <c r="D507" s="34"/>
      <c r="E507" s="34"/>
      <c r="F507" s="34"/>
      <c r="G507" s="34"/>
      <c r="H507" s="34"/>
      <c r="L507" s="34"/>
      <c r="M507" s="35"/>
      <c r="N507" s="35"/>
      <c r="O507" s="35"/>
      <c r="P507" s="35"/>
    </row>
    <row r="508">
      <c r="A508" s="34"/>
      <c r="B508" s="34"/>
      <c r="C508" s="34"/>
      <c r="D508" s="34"/>
      <c r="E508" s="34"/>
      <c r="F508" s="34"/>
      <c r="G508" s="34"/>
      <c r="H508" s="34"/>
      <c r="L508" s="34"/>
      <c r="M508" s="35"/>
      <c r="N508" s="35"/>
      <c r="O508" s="35"/>
      <c r="P508" s="35"/>
    </row>
    <row r="509">
      <c r="A509" s="34"/>
      <c r="B509" s="34"/>
      <c r="C509" s="34"/>
      <c r="D509" s="34"/>
      <c r="E509" s="34"/>
      <c r="F509" s="34"/>
      <c r="G509" s="34"/>
      <c r="H509" s="34"/>
      <c r="L509" s="34"/>
      <c r="M509" s="35"/>
      <c r="N509" s="35"/>
      <c r="O509" s="35"/>
      <c r="P509" s="35"/>
    </row>
    <row r="510">
      <c r="A510" s="34"/>
      <c r="B510" s="34"/>
      <c r="C510" s="34"/>
      <c r="D510" s="34"/>
      <c r="E510" s="34"/>
      <c r="F510" s="34"/>
      <c r="G510" s="34"/>
      <c r="H510" s="34"/>
      <c r="L510" s="34"/>
      <c r="M510" s="35"/>
      <c r="N510" s="35"/>
      <c r="O510" s="35"/>
      <c r="P510" s="35"/>
    </row>
    <row r="511">
      <c r="A511" s="34"/>
      <c r="B511" s="34"/>
      <c r="C511" s="34"/>
      <c r="D511" s="34"/>
      <c r="E511" s="34"/>
      <c r="F511" s="34"/>
      <c r="G511" s="34"/>
      <c r="H511" s="34"/>
      <c r="L511" s="34"/>
      <c r="M511" s="35"/>
      <c r="N511" s="35"/>
      <c r="O511" s="35"/>
      <c r="P511" s="35"/>
    </row>
    <row r="512">
      <c r="A512" s="34"/>
      <c r="B512" s="34"/>
      <c r="C512" s="34"/>
      <c r="D512" s="34"/>
      <c r="E512" s="34"/>
      <c r="F512" s="34"/>
      <c r="G512" s="34"/>
      <c r="H512" s="34"/>
      <c r="L512" s="34"/>
      <c r="M512" s="35"/>
      <c r="N512" s="35"/>
      <c r="O512" s="35"/>
      <c r="P512" s="35"/>
    </row>
    <row r="513">
      <c r="A513" s="34"/>
      <c r="B513" s="34"/>
      <c r="C513" s="34"/>
      <c r="D513" s="34"/>
      <c r="E513" s="34"/>
      <c r="F513" s="34"/>
      <c r="G513" s="34"/>
      <c r="H513" s="34"/>
      <c r="L513" s="34"/>
      <c r="M513" s="35"/>
      <c r="N513" s="35"/>
      <c r="O513" s="35"/>
      <c r="P513" s="35"/>
    </row>
    <row r="514">
      <c r="A514" s="34"/>
      <c r="B514" s="34"/>
      <c r="C514" s="34"/>
      <c r="D514" s="34"/>
      <c r="E514" s="34"/>
      <c r="F514" s="34"/>
      <c r="G514" s="34"/>
      <c r="H514" s="34"/>
      <c r="L514" s="34"/>
      <c r="M514" s="35"/>
      <c r="N514" s="35"/>
      <c r="O514" s="35"/>
      <c r="P514" s="35"/>
    </row>
    <row r="515">
      <c r="A515" s="34"/>
      <c r="B515" s="34"/>
      <c r="C515" s="34"/>
      <c r="D515" s="34"/>
      <c r="E515" s="34"/>
      <c r="F515" s="34"/>
      <c r="G515" s="34"/>
      <c r="H515" s="34"/>
      <c r="L515" s="34"/>
      <c r="M515" s="35"/>
      <c r="N515" s="35"/>
      <c r="O515" s="35"/>
      <c r="P515" s="35"/>
    </row>
    <row r="516">
      <c r="A516" s="34"/>
      <c r="B516" s="34"/>
      <c r="C516" s="34"/>
      <c r="D516" s="34"/>
      <c r="E516" s="34"/>
      <c r="F516" s="34"/>
      <c r="G516" s="34"/>
      <c r="H516" s="34"/>
      <c r="L516" s="34"/>
      <c r="M516" s="35"/>
      <c r="N516" s="35"/>
      <c r="O516" s="35"/>
      <c r="P516" s="35"/>
    </row>
    <row r="517">
      <c r="A517" s="34"/>
      <c r="B517" s="34"/>
      <c r="C517" s="34"/>
      <c r="D517" s="34"/>
      <c r="E517" s="34"/>
      <c r="F517" s="34"/>
      <c r="G517" s="34"/>
      <c r="H517" s="34"/>
      <c r="L517" s="34"/>
      <c r="M517" s="35"/>
      <c r="N517" s="35"/>
      <c r="O517" s="35"/>
      <c r="P517" s="35"/>
    </row>
    <row r="518">
      <c r="A518" s="34"/>
      <c r="B518" s="34"/>
      <c r="C518" s="34"/>
      <c r="D518" s="34"/>
      <c r="E518" s="34"/>
      <c r="F518" s="34"/>
      <c r="G518" s="34"/>
      <c r="H518" s="34"/>
      <c r="L518" s="34"/>
      <c r="M518" s="35"/>
      <c r="N518" s="35"/>
      <c r="O518" s="35"/>
      <c r="P518" s="35"/>
    </row>
    <row r="519">
      <c r="A519" s="34"/>
      <c r="B519" s="34"/>
      <c r="C519" s="34"/>
      <c r="D519" s="34"/>
      <c r="E519" s="34"/>
      <c r="F519" s="34"/>
      <c r="G519" s="34"/>
      <c r="H519" s="34"/>
      <c r="L519" s="34"/>
      <c r="M519" s="35"/>
      <c r="N519" s="35"/>
      <c r="O519" s="35"/>
      <c r="P519" s="35"/>
    </row>
    <row r="520">
      <c r="A520" s="34"/>
      <c r="B520" s="34"/>
      <c r="C520" s="34"/>
      <c r="D520" s="34"/>
      <c r="E520" s="34"/>
      <c r="F520" s="34"/>
      <c r="G520" s="34"/>
      <c r="H520" s="34"/>
      <c r="L520" s="34"/>
      <c r="M520" s="35"/>
      <c r="N520" s="35"/>
      <c r="O520" s="35"/>
      <c r="P520" s="35"/>
    </row>
    <row r="521">
      <c r="A521" s="34"/>
      <c r="B521" s="34"/>
      <c r="C521" s="34"/>
      <c r="D521" s="34"/>
      <c r="E521" s="34"/>
      <c r="F521" s="34"/>
      <c r="G521" s="34"/>
      <c r="H521" s="34"/>
      <c r="L521" s="34"/>
      <c r="M521" s="35"/>
      <c r="N521" s="35"/>
      <c r="O521" s="35"/>
      <c r="P521" s="35"/>
    </row>
    <row r="522">
      <c r="A522" s="34"/>
      <c r="B522" s="34"/>
      <c r="C522" s="34"/>
      <c r="D522" s="34"/>
      <c r="E522" s="34"/>
      <c r="F522" s="34"/>
      <c r="G522" s="34"/>
      <c r="H522" s="34"/>
      <c r="L522" s="34"/>
      <c r="M522" s="35"/>
      <c r="N522" s="35"/>
      <c r="O522" s="35"/>
      <c r="P522" s="35"/>
    </row>
    <row r="523">
      <c r="A523" s="34"/>
      <c r="B523" s="34"/>
      <c r="C523" s="34"/>
      <c r="D523" s="34"/>
      <c r="E523" s="34"/>
      <c r="F523" s="34"/>
      <c r="G523" s="34"/>
      <c r="H523" s="34"/>
      <c r="L523" s="34"/>
      <c r="M523" s="35"/>
      <c r="N523" s="35"/>
      <c r="O523" s="35"/>
      <c r="P523" s="35"/>
    </row>
    <row r="524">
      <c r="A524" s="34"/>
      <c r="B524" s="34"/>
      <c r="C524" s="34"/>
      <c r="D524" s="34"/>
      <c r="E524" s="34"/>
      <c r="F524" s="34"/>
      <c r="G524" s="34"/>
      <c r="H524" s="34"/>
      <c r="L524" s="34"/>
      <c r="M524" s="35"/>
      <c r="N524" s="35"/>
      <c r="O524" s="35"/>
      <c r="P524" s="35"/>
    </row>
    <row r="525">
      <c r="A525" s="34"/>
      <c r="B525" s="34"/>
      <c r="C525" s="34"/>
      <c r="D525" s="34"/>
      <c r="E525" s="34"/>
      <c r="F525" s="34"/>
      <c r="G525" s="34"/>
      <c r="H525" s="34"/>
      <c r="L525" s="34"/>
      <c r="M525" s="35"/>
      <c r="N525" s="35"/>
      <c r="O525" s="35"/>
      <c r="P525" s="35"/>
    </row>
    <row r="526">
      <c r="A526" s="34"/>
      <c r="B526" s="34"/>
      <c r="C526" s="34"/>
      <c r="D526" s="34"/>
      <c r="E526" s="34"/>
      <c r="F526" s="34"/>
      <c r="G526" s="34"/>
      <c r="H526" s="34"/>
      <c r="L526" s="34"/>
      <c r="M526" s="35"/>
      <c r="N526" s="35"/>
      <c r="O526" s="35"/>
      <c r="P526" s="35"/>
    </row>
    <row r="527">
      <c r="A527" s="34"/>
      <c r="B527" s="34"/>
      <c r="C527" s="34"/>
      <c r="D527" s="34"/>
      <c r="E527" s="34"/>
      <c r="F527" s="34"/>
      <c r="G527" s="34"/>
      <c r="H527" s="34"/>
      <c r="L527" s="34"/>
      <c r="M527" s="35"/>
      <c r="N527" s="35"/>
      <c r="O527" s="35"/>
      <c r="P527" s="35"/>
    </row>
    <row r="528">
      <c r="A528" s="34"/>
      <c r="B528" s="34"/>
      <c r="C528" s="34"/>
      <c r="D528" s="34"/>
      <c r="E528" s="34"/>
      <c r="F528" s="34"/>
      <c r="G528" s="34"/>
      <c r="H528" s="34"/>
      <c r="L528" s="34"/>
      <c r="M528" s="35"/>
      <c r="N528" s="35"/>
      <c r="O528" s="35"/>
      <c r="P528" s="35"/>
    </row>
    <row r="529">
      <c r="A529" s="34"/>
      <c r="B529" s="34"/>
      <c r="C529" s="34"/>
      <c r="D529" s="34"/>
      <c r="E529" s="34"/>
      <c r="F529" s="34"/>
      <c r="G529" s="34"/>
      <c r="H529" s="34"/>
      <c r="L529" s="34"/>
      <c r="M529" s="35"/>
      <c r="N529" s="35"/>
      <c r="O529" s="35"/>
      <c r="P529" s="35"/>
    </row>
    <row r="530">
      <c r="A530" s="34"/>
      <c r="B530" s="34"/>
      <c r="C530" s="34"/>
      <c r="D530" s="34"/>
      <c r="E530" s="34"/>
      <c r="F530" s="34"/>
      <c r="G530" s="34"/>
      <c r="H530" s="34"/>
      <c r="L530" s="34"/>
      <c r="M530" s="35"/>
      <c r="N530" s="35"/>
      <c r="O530" s="35"/>
      <c r="P530" s="35"/>
    </row>
    <row r="531">
      <c r="A531" s="34"/>
      <c r="B531" s="34"/>
      <c r="C531" s="34"/>
      <c r="D531" s="34"/>
      <c r="E531" s="34"/>
      <c r="F531" s="34"/>
      <c r="G531" s="34"/>
      <c r="H531" s="34"/>
      <c r="L531" s="34"/>
      <c r="M531" s="35"/>
      <c r="N531" s="35"/>
      <c r="O531" s="35"/>
      <c r="P531" s="35"/>
    </row>
    <row r="532">
      <c r="A532" s="34"/>
      <c r="B532" s="34"/>
      <c r="C532" s="34"/>
      <c r="D532" s="34"/>
      <c r="E532" s="34"/>
      <c r="F532" s="34"/>
      <c r="G532" s="34"/>
      <c r="H532" s="34"/>
      <c r="L532" s="34"/>
      <c r="M532" s="35"/>
      <c r="N532" s="35"/>
      <c r="O532" s="35"/>
      <c r="P532" s="35"/>
    </row>
    <row r="533">
      <c r="A533" s="34"/>
      <c r="B533" s="34"/>
      <c r="C533" s="34"/>
      <c r="D533" s="34"/>
      <c r="E533" s="34"/>
      <c r="F533" s="34"/>
      <c r="G533" s="34"/>
      <c r="H533" s="34"/>
      <c r="L533" s="34"/>
      <c r="M533" s="35"/>
      <c r="N533" s="35"/>
      <c r="O533" s="35"/>
      <c r="P533" s="35"/>
    </row>
    <row r="534">
      <c r="A534" s="34"/>
      <c r="B534" s="34"/>
      <c r="C534" s="34"/>
      <c r="D534" s="34"/>
      <c r="E534" s="34"/>
      <c r="F534" s="34"/>
      <c r="G534" s="34"/>
      <c r="H534" s="34"/>
      <c r="L534" s="34"/>
      <c r="M534" s="35"/>
      <c r="N534" s="35"/>
      <c r="O534" s="35"/>
      <c r="P534" s="35"/>
    </row>
    <row r="535">
      <c r="A535" s="34"/>
      <c r="B535" s="34"/>
      <c r="C535" s="34"/>
      <c r="D535" s="34"/>
      <c r="E535" s="34"/>
      <c r="F535" s="34"/>
      <c r="G535" s="34"/>
      <c r="H535" s="34"/>
      <c r="L535" s="34"/>
      <c r="M535" s="35"/>
      <c r="N535" s="35"/>
      <c r="O535" s="35"/>
      <c r="P535" s="35"/>
    </row>
    <row r="536">
      <c r="A536" s="34"/>
      <c r="B536" s="34"/>
      <c r="C536" s="34"/>
      <c r="D536" s="34"/>
      <c r="E536" s="34"/>
      <c r="F536" s="34"/>
      <c r="G536" s="34"/>
      <c r="H536" s="34"/>
      <c r="L536" s="34"/>
      <c r="M536" s="35"/>
      <c r="N536" s="35"/>
      <c r="O536" s="35"/>
      <c r="P536" s="35"/>
    </row>
    <row r="537">
      <c r="A537" s="34"/>
      <c r="B537" s="34"/>
      <c r="C537" s="34"/>
      <c r="D537" s="34"/>
      <c r="E537" s="34"/>
      <c r="F537" s="34"/>
      <c r="G537" s="34"/>
      <c r="H537" s="34"/>
      <c r="L537" s="34"/>
      <c r="M537" s="35"/>
      <c r="N537" s="35"/>
      <c r="O537" s="35"/>
      <c r="P537" s="35"/>
    </row>
    <row r="538">
      <c r="A538" s="34"/>
      <c r="B538" s="34"/>
      <c r="C538" s="34"/>
      <c r="D538" s="34"/>
      <c r="E538" s="34"/>
      <c r="F538" s="34"/>
      <c r="G538" s="34"/>
      <c r="H538" s="34"/>
      <c r="L538" s="34"/>
      <c r="M538" s="35"/>
      <c r="N538" s="35"/>
      <c r="O538" s="35"/>
      <c r="P538" s="35"/>
    </row>
    <row r="539">
      <c r="A539" s="34"/>
      <c r="B539" s="34"/>
      <c r="C539" s="34"/>
      <c r="D539" s="34"/>
      <c r="E539" s="34"/>
      <c r="F539" s="34"/>
      <c r="G539" s="34"/>
      <c r="H539" s="34"/>
      <c r="L539" s="34"/>
      <c r="M539" s="35"/>
      <c r="N539" s="35"/>
      <c r="O539" s="35"/>
      <c r="P539" s="35"/>
    </row>
    <row r="540">
      <c r="A540" s="34"/>
      <c r="B540" s="34"/>
      <c r="C540" s="34"/>
      <c r="D540" s="34"/>
      <c r="E540" s="34"/>
      <c r="F540" s="34"/>
      <c r="G540" s="34"/>
      <c r="H540" s="34"/>
      <c r="L540" s="34"/>
      <c r="M540" s="35"/>
      <c r="N540" s="35"/>
      <c r="O540" s="35"/>
      <c r="P540" s="35"/>
    </row>
    <row r="541">
      <c r="A541" s="34"/>
      <c r="B541" s="34"/>
      <c r="C541" s="34"/>
      <c r="D541" s="34"/>
      <c r="E541" s="34"/>
      <c r="F541" s="34"/>
      <c r="G541" s="34"/>
      <c r="H541" s="34"/>
      <c r="L541" s="34"/>
      <c r="M541" s="35"/>
      <c r="N541" s="35"/>
      <c r="O541" s="35"/>
      <c r="P541" s="35"/>
    </row>
    <row r="542">
      <c r="A542" s="34"/>
      <c r="B542" s="34"/>
      <c r="C542" s="34"/>
      <c r="D542" s="34"/>
      <c r="E542" s="34"/>
      <c r="F542" s="34"/>
      <c r="G542" s="34"/>
      <c r="H542" s="34"/>
      <c r="L542" s="34"/>
      <c r="M542" s="35"/>
      <c r="N542" s="35"/>
      <c r="O542" s="35"/>
      <c r="P542" s="35"/>
    </row>
    <row r="543">
      <c r="A543" s="34"/>
      <c r="B543" s="34"/>
      <c r="C543" s="34"/>
      <c r="D543" s="34"/>
      <c r="E543" s="34"/>
      <c r="F543" s="34"/>
      <c r="G543" s="34"/>
      <c r="H543" s="34"/>
      <c r="L543" s="34"/>
      <c r="M543" s="35"/>
      <c r="N543" s="35"/>
      <c r="O543" s="35"/>
      <c r="P543" s="35"/>
    </row>
    <row r="544">
      <c r="A544" s="34"/>
      <c r="B544" s="34"/>
      <c r="C544" s="34"/>
      <c r="D544" s="34"/>
      <c r="E544" s="34"/>
      <c r="F544" s="34"/>
      <c r="G544" s="34"/>
      <c r="H544" s="34"/>
      <c r="L544" s="34"/>
      <c r="M544" s="35"/>
      <c r="N544" s="35"/>
      <c r="O544" s="35"/>
      <c r="P544" s="35"/>
    </row>
    <row r="545">
      <c r="A545" s="34"/>
      <c r="B545" s="34"/>
      <c r="C545" s="34"/>
      <c r="D545" s="34"/>
      <c r="E545" s="34"/>
      <c r="F545" s="34"/>
      <c r="G545" s="34"/>
      <c r="H545" s="34"/>
      <c r="L545" s="34"/>
      <c r="M545" s="35"/>
      <c r="N545" s="35"/>
      <c r="O545" s="35"/>
      <c r="P545" s="35"/>
    </row>
    <row r="546">
      <c r="A546" s="34"/>
      <c r="B546" s="34"/>
      <c r="C546" s="34"/>
      <c r="D546" s="34"/>
      <c r="E546" s="34"/>
      <c r="F546" s="34"/>
      <c r="G546" s="34"/>
      <c r="H546" s="34"/>
      <c r="L546" s="34"/>
      <c r="M546" s="35"/>
      <c r="N546" s="35"/>
      <c r="O546" s="35"/>
      <c r="P546" s="35"/>
    </row>
    <row r="547">
      <c r="A547" s="34"/>
      <c r="B547" s="34"/>
      <c r="C547" s="34"/>
      <c r="D547" s="34"/>
      <c r="E547" s="34"/>
      <c r="F547" s="34"/>
      <c r="G547" s="34"/>
      <c r="H547" s="34"/>
      <c r="L547" s="34"/>
      <c r="M547" s="35"/>
      <c r="N547" s="35"/>
      <c r="O547" s="35"/>
      <c r="P547" s="35"/>
    </row>
    <row r="548">
      <c r="A548" s="34"/>
      <c r="B548" s="34"/>
      <c r="C548" s="34"/>
      <c r="D548" s="34"/>
      <c r="E548" s="34"/>
      <c r="F548" s="34"/>
      <c r="G548" s="34"/>
      <c r="H548" s="34"/>
      <c r="L548" s="34"/>
      <c r="M548" s="35"/>
      <c r="N548" s="35"/>
      <c r="O548" s="35"/>
      <c r="P548" s="35"/>
    </row>
    <row r="549">
      <c r="A549" s="34"/>
      <c r="B549" s="34"/>
      <c r="C549" s="34"/>
      <c r="D549" s="34"/>
      <c r="E549" s="34"/>
      <c r="F549" s="34"/>
      <c r="G549" s="34"/>
      <c r="H549" s="34"/>
      <c r="L549" s="34"/>
      <c r="M549" s="35"/>
      <c r="N549" s="35"/>
      <c r="O549" s="35"/>
      <c r="P549" s="35"/>
    </row>
    <row r="550">
      <c r="A550" s="34"/>
      <c r="B550" s="34"/>
      <c r="C550" s="34"/>
      <c r="D550" s="34"/>
      <c r="E550" s="34"/>
      <c r="F550" s="34"/>
      <c r="G550" s="34"/>
      <c r="H550" s="34"/>
      <c r="L550" s="34"/>
      <c r="M550" s="35"/>
      <c r="N550" s="35"/>
      <c r="O550" s="35"/>
      <c r="P550" s="35"/>
    </row>
    <row r="551">
      <c r="A551" s="34"/>
      <c r="B551" s="34"/>
      <c r="C551" s="34"/>
      <c r="D551" s="34"/>
      <c r="E551" s="34"/>
      <c r="F551" s="34"/>
      <c r="G551" s="34"/>
      <c r="H551" s="34"/>
      <c r="L551" s="34"/>
      <c r="M551" s="35"/>
      <c r="N551" s="35"/>
      <c r="O551" s="35"/>
      <c r="P551" s="35"/>
    </row>
    <row r="552">
      <c r="A552" s="34"/>
      <c r="B552" s="34"/>
      <c r="C552" s="34"/>
      <c r="D552" s="34"/>
      <c r="E552" s="34"/>
      <c r="F552" s="34"/>
      <c r="G552" s="34"/>
      <c r="H552" s="34"/>
      <c r="L552" s="34"/>
      <c r="M552" s="35"/>
      <c r="N552" s="35"/>
      <c r="O552" s="35"/>
      <c r="P552" s="35"/>
    </row>
    <row r="553">
      <c r="A553" s="34"/>
      <c r="B553" s="34"/>
      <c r="C553" s="34"/>
      <c r="D553" s="34"/>
      <c r="E553" s="34"/>
      <c r="F553" s="34"/>
      <c r="G553" s="34"/>
      <c r="H553" s="34"/>
      <c r="L553" s="34"/>
      <c r="M553" s="35"/>
      <c r="N553" s="35"/>
      <c r="O553" s="35"/>
      <c r="P553" s="35"/>
    </row>
    <row r="554">
      <c r="A554" s="34"/>
      <c r="B554" s="34"/>
      <c r="C554" s="34"/>
      <c r="D554" s="34"/>
      <c r="E554" s="34"/>
      <c r="F554" s="34"/>
      <c r="G554" s="34"/>
      <c r="H554" s="34"/>
      <c r="L554" s="34"/>
      <c r="M554" s="35"/>
      <c r="N554" s="35"/>
      <c r="O554" s="35"/>
      <c r="P554" s="35"/>
    </row>
    <row r="555">
      <c r="A555" s="34"/>
      <c r="B555" s="34"/>
      <c r="C555" s="34"/>
      <c r="D555" s="34"/>
      <c r="E555" s="34"/>
      <c r="F555" s="34"/>
      <c r="G555" s="34"/>
      <c r="H555" s="34"/>
      <c r="L555" s="34"/>
      <c r="M555" s="35"/>
      <c r="N555" s="35"/>
      <c r="O555" s="35"/>
      <c r="P555" s="35"/>
    </row>
    <row r="556">
      <c r="A556" s="34"/>
      <c r="B556" s="34"/>
      <c r="C556" s="34"/>
      <c r="D556" s="34"/>
      <c r="E556" s="34"/>
      <c r="F556" s="34"/>
      <c r="G556" s="34"/>
      <c r="H556" s="34"/>
      <c r="L556" s="34"/>
      <c r="M556" s="35"/>
      <c r="N556" s="35"/>
      <c r="O556" s="35"/>
      <c r="P556" s="35"/>
    </row>
    <row r="557">
      <c r="A557" s="34"/>
      <c r="B557" s="34"/>
      <c r="C557" s="34"/>
      <c r="D557" s="34"/>
      <c r="E557" s="34"/>
      <c r="F557" s="34"/>
      <c r="G557" s="34"/>
      <c r="H557" s="34"/>
      <c r="L557" s="34"/>
      <c r="M557" s="35"/>
      <c r="N557" s="35"/>
      <c r="O557" s="35"/>
      <c r="P557" s="35"/>
    </row>
    <row r="558">
      <c r="A558" s="34"/>
      <c r="B558" s="34"/>
      <c r="C558" s="34"/>
      <c r="D558" s="34"/>
      <c r="E558" s="34"/>
      <c r="F558" s="34"/>
      <c r="G558" s="34"/>
      <c r="H558" s="34"/>
      <c r="L558" s="34"/>
      <c r="M558" s="35"/>
      <c r="N558" s="35"/>
      <c r="O558" s="35"/>
      <c r="P558" s="35"/>
    </row>
    <row r="559">
      <c r="A559" s="34"/>
      <c r="B559" s="34"/>
      <c r="C559" s="34"/>
      <c r="D559" s="34"/>
      <c r="E559" s="34"/>
      <c r="F559" s="34"/>
      <c r="G559" s="34"/>
      <c r="H559" s="34"/>
      <c r="L559" s="34"/>
      <c r="M559" s="35"/>
      <c r="N559" s="35"/>
      <c r="O559" s="35"/>
      <c r="P559" s="35"/>
    </row>
    <row r="560">
      <c r="A560" s="34"/>
      <c r="B560" s="34"/>
      <c r="C560" s="34"/>
      <c r="D560" s="34"/>
      <c r="E560" s="34"/>
      <c r="F560" s="34"/>
      <c r="G560" s="34"/>
      <c r="H560" s="34"/>
      <c r="L560" s="34"/>
      <c r="M560" s="35"/>
      <c r="N560" s="35"/>
      <c r="O560" s="35"/>
      <c r="P560" s="35"/>
    </row>
    <row r="561">
      <c r="A561" s="34"/>
      <c r="B561" s="34"/>
      <c r="C561" s="34"/>
      <c r="D561" s="34"/>
      <c r="E561" s="34"/>
      <c r="F561" s="34"/>
      <c r="G561" s="34"/>
      <c r="H561" s="34"/>
      <c r="L561" s="34"/>
      <c r="M561" s="35"/>
      <c r="N561" s="35"/>
      <c r="O561" s="35"/>
      <c r="P561" s="35"/>
    </row>
    <row r="562">
      <c r="A562" s="34"/>
      <c r="B562" s="34"/>
      <c r="C562" s="34"/>
      <c r="D562" s="34"/>
      <c r="E562" s="34"/>
      <c r="F562" s="34"/>
      <c r="G562" s="34"/>
      <c r="H562" s="34"/>
      <c r="L562" s="34"/>
      <c r="M562" s="35"/>
      <c r="N562" s="35"/>
      <c r="O562" s="35"/>
      <c r="P562" s="35"/>
    </row>
    <row r="563">
      <c r="A563" s="34"/>
      <c r="B563" s="34"/>
      <c r="C563" s="34"/>
      <c r="D563" s="34"/>
      <c r="E563" s="34"/>
      <c r="F563" s="34"/>
      <c r="G563" s="34"/>
      <c r="H563" s="34"/>
      <c r="L563" s="34"/>
      <c r="M563" s="35"/>
      <c r="N563" s="35"/>
      <c r="O563" s="35"/>
      <c r="P563" s="35"/>
    </row>
    <row r="564">
      <c r="A564" s="34"/>
      <c r="B564" s="34"/>
      <c r="C564" s="34"/>
      <c r="D564" s="34"/>
      <c r="E564" s="34"/>
      <c r="F564" s="34"/>
      <c r="G564" s="34"/>
      <c r="H564" s="34"/>
      <c r="L564" s="34"/>
      <c r="M564" s="35"/>
      <c r="N564" s="35"/>
      <c r="O564" s="35"/>
      <c r="P564" s="35"/>
    </row>
    <row r="565">
      <c r="A565" s="34"/>
      <c r="B565" s="34"/>
      <c r="C565" s="34"/>
      <c r="D565" s="34"/>
      <c r="E565" s="34"/>
      <c r="F565" s="34"/>
      <c r="G565" s="34"/>
      <c r="H565" s="34"/>
      <c r="L565" s="34"/>
      <c r="M565" s="35"/>
      <c r="N565" s="35"/>
      <c r="O565" s="35"/>
      <c r="P565" s="35"/>
    </row>
    <row r="566">
      <c r="A566" s="34"/>
      <c r="B566" s="34"/>
      <c r="C566" s="34"/>
      <c r="D566" s="34"/>
      <c r="E566" s="34"/>
      <c r="F566" s="34"/>
      <c r="G566" s="34"/>
      <c r="H566" s="34"/>
      <c r="L566" s="34"/>
      <c r="M566" s="35"/>
      <c r="N566" s="35"/>
      <c r="O566" s="35"/>
      <c r="P566" s="35"/>
    </row>
    <row r="567">
      <c r="A567" s="34"/>
      <c r="B567" s="34"/>
      <c r="C567" s="34"/>
      <c r="D567" s="34"/>
      <c r="E567" s="34"/>
      <c r="F567" s="34"/>
      <c r="G567" s="34"/>
      <c r="H567" s="34"/>
      <c r="L567" s="34"/>
      <c r="M567" s="35"/>
      <c r="N567" s="35"/>
      <c r="O567" s="35"/>
      <c r="P567" s="35"/>
    </row>
    <row r="568">
      <c r="A568" s="34"/>
      <c r="B568" s="34"/>
      <c r="C568" s="34"/>
      <c r="D568" s="34"/>
      <c r="E568" s="34"/>
      <c r="F568" s="34"/>
      <c r="G568" s="34"/>
      <c r="H568" s="34"/>
      <c r="L568" s="34"/>
      <c r="M568" s="35"/>
      <c r="N568" s="35"/>
      <c r="O568" s="35"/>
      <c r="P568" s="35"/>
    </row>
    <row r="569">
      <c r="A569" s="34"/>
      <c r="B569" s="34"/>
      <c r="C569" s="34"/>
      <c r="D569" s="34"/>
      <c r="E569" s="34"/>
      <c r="F569" s="34"/>
      <c r="G569" s="34"/>
      <c r="H569" s="34"/>
      <c r="L569" s="34"/>
      <c r="M569" s="35"/>
      <c r="N569" s="35"/>
      <c r="O569" s="35"/>
      <c r="P569" s="35"/>
    </row>
    <row r="570">
      <c r="A570" s="34"/>
      <c r="B570" s="34"/>
      <c r="C570" s="34"/>
      <c r="D570" s="34"/>
      <c r="E570" s="34"/>
      <c r="F570" s="34"/>
      <c r="G570" s="34"/>
      <c r="H570" s="34"/>
      <c r="L570" s="34"/>
      <c r="M570" s="35"/>
      <c r="N570" s="35"/>
      <c r="O570" s="35"/>
      <c r="P570" s="35"/>
    </row>
    <row r="571">
      <c r="A571" s="34"/>
      <c r="B571" s="34"/>
      <c r="C571" s="34"/>
      <c r="D571" s="34"/>
      <c r="E571" s="34"/>
      <c r="F571" s="34"/>
      <c r="G571" s="34"/>
      <c r="H571" s="34"/>
      <c r="L571" s="34"/>
      <c r="M571" s="35"/>
      <c r="N571" s="35"/>
      <c r="O571" s="35"/>
      <c r="P571" s="35"/>
    </row>
    <row r="572">
      <c r="A572" s="34"/>
      <c r="B572" s="34"/>
      <c r="C572" s="34"/>
      <c r="D572" s="34"/>
      <c r="E572" s="34"/>
      <c r="F572" s="34"/>
      <c r="G572" s="34"/>
      <c r="H572" s="34"/>
      <c r="L572" s="34"/>
      <c r="M572" s="35"/>
      <c r="N572" s="35"/>
      <c r="O572" s="35"/>
      <c r="P572" s="35"/>
    </row>
    <row r="573">
      <c r="A573" s="34"/>
      <c r="B573" s="34"/>
      <c r="C573" s="34"/>
      <c r="D573" s="34"/>
      <c r="E573" s="34"/>
      <c r="F573" s="34"/>
      <c r="G573" s="34"/>
      <c r="H573" s="34"/>
      <c r="L573" s="34"/>
      <c r="M573" s="35"/>
      <c r="N573" s="35"/>
      <c r="O573" s="35"/>
      <c r="P573" s="35"/>
    </row>
    <row r="574">
      <c r="A574" s="34"/>
      <c r="B574" s="34"/>
      <c r="C574" s="34"/>
      <c r="D574" s="34"/>
      <c r="E574" s="34"/>
      <c r="F574" s="34"/>
      <c r="G574" s="34"/>
      <c r="H574" s="34"/>
      <c r="L574" s="34"/>
      <c r="M574" s="35"/>
      <c r="N574" s="35"/>
      <c r="O574" s="35"/>
      <c r="P574" s="35"/>
    </row>
    <row r="575">
      <c r="A575" s="34"/>
      <c r="B575" s="34"/>
      <c r="C575" s="34"/>
      <c r="D575" s="34"/>
      <c r="E575" s="34"/>
      <c r="F575" s="34"/>
      <c r="G575" s="34"/>
      <c r="H575" s="34"/>
      <c r="L575" s="34"/>
      <c r="M575" s="35"/>
      <c r="N575" s="35"/>
      <c r="O575" s="35"/>
      <c r="P575" s="35"/>
    </row>
    <row r="576">
      <c r="A576" s="34"/>
      <c r="B576" s="34"/>
      <c r="C576" s="34"/>
      <c r="D576" s="34"/>
      <c r="E576" s="34"/>
      <c r="F576" s="34"/>
      <c r="G576" s="34"/>
      <c r="H576" s="34"/>
      <c r="L576" s="34"/>
      <c r="M576" s="35"/>
      <c r="N576" s="35"/>
      <c r="O576" s="35"/>
      <c r="P576" s="35"/>
    </row>
    <row r="577">
      <c r="A577" s="34"/>
      <c r="B577" s="34"/>
      <c r="C577" s="34"/>
      <c r="D577" s="34"/>
      <c r="E577" s="34"/>
      <c r="F577" s="34"/>
      <c r="G577" s="34"/>
      <c r="H577" s="34"/>
      <c r="L577" s="34"/>
      <c r="M577" s="35"/>
      <c r="N577" s="35"/>
      <c r="O577" s="35"/>
      <c r="P577" s="35"/>
    </row>
    <row r="578">
      <c r="A578" s="34"/>
      <c r="B578" s="34"/>
      <c r="C578" s="34"/>
      <c r="D578" s="34"/>
      <c r="E578" s="34"/>
      <c r="F578" s="34"/>
      <c r="G578" s="34"/>
      <c r="H578" s="34"/>
      <c r="L578" s="34"/>
      <c r="M578" s="35"/>
      <c r="N578" s="35"/>
      <c r="O578" s="35"/>
      <c r="P578" s="35"/>
    </row>
    <row r="579">
      <c r="A579" s="34"/>
      <c r="B579" s="34"/>
      <c r="C579" s="34"/>
      <c r="D579" s="34"/>
      <c r="E579" s="34"/>
      <c r="F579" s="34"/>
      <c r="G579" s="34"/>
      <c r="H579" s="34"/>
      <c r="L579" s="34"/>
      <c r="M579" s="35"/>
      <c r="N579" s="35"/>
      <c r="O579" s="35"/>
      <c r="P579" s="35"/>
    </row>
    <row r="580">
      <c r="A580" s="34"/>
      <c r="B580" s="34"/>
      <c r="C580" s="34"/>
      <c r="D580" s="34"/>
      <c r="E580" s="34"/>
      <c r="F580" s="34"/>
      <c r="G580" s="34"/>
      <c r="H580" s="34"/>
      <c r="L580" s="34"/>
      <c r="M580" s="35"/>
      <c r="N580" s="35"/>
      <c r="O580" s="35"/>
      <c r="P580" s="35"/>
    </row>
    <row r="581">
      <c r="A581" s="34"/>
      <c r="B581" s="34"/>
      <c r="C581" s="34"/>
      <c r="D581" s="34"/>
      <c r="E581" s="34"/>
      <c r="F581" s="34"/>
      <c r="G581" s="34"/>
      <c r="H581" s="34"/>
      <c r="L581" s="34"/>
      <c r="M581" s="35"/>
      <c r="N581" s="35"/>
      <c r="O581" s="35"/>
      <c r="P581" s="35"/>
    </row>
    <row r="582">
      <c r="A582" s="34"/>
      <c r="B582" s="34"/>
      <c r="C582" s="34"/>
      <c r="D582" s="34"/>
      <c r="E582" s="34"/>
      <c r="F582" s="34"/>
      <c r="G582" s="34"/>
      <c r="H582" s="34"/>
      <c r="L582" s="34"/>
      <c r="M582" s="35"/>
      <c r="N582" s="35"/>
      <c r="O582" s="35"/>
      <c r="P582" s="35"/>
    </row>
    <row r="583">
      <c r="A583" s="34"/>
      <c r="B583" s="34"/>
      <c r="C583" s="34"/>
      <c r="D583" s="34"/>
      <c r="E583" s="34"/>
      <c r="F583" s="34"/>
      <c r="G583" s="34"/>
      <c r="H583" s="34"/>
      <c r="L583" s="34"/>
      <c r="M583" s="35"/>
      <c r="N583" s="35"/>
      <c r="O583" s="35"/>
      <c r="P583" s="35"/>
    </row>
    <row r="584">
      <c r="A584" s="34"/>
      <c r="B584" s="34"/>
      <c r="C584" s="34"/>
      <c r="D584" s="34"/>
      <c r="E584" s="34"/>
      <c r="F584" s="34"/>
      <c r="G584" s="34"/>
      <c r="H584" s="34"/>
      <c r="L584" s="34"/>
      <c r="M584" s="35"/>
      <c r="N584" s="35"/>
      <c r="O584" s="35"/>
      <c r="P584" s="35"/>
    </row>
    <row r="585">
      <c r="A585" s="34"/>
      <c r="B585" s="34"/>
      <c r="C585" s="34"/>
      <c r="D585" s="34"/>
      <c r="E585" s="34"/>
      <c r="F585" s="34"/>
      <c r="G585" s="34"/>
      <c r="H585" s="34"/>
      <c r="L585" s="34"/>
      <c r="M585" s="35"/>
      <c r="N585" s="35"/>
      <c r="O585" s="35"/>
      <c r="P585" s="35"/>
    </row>
    <row r="586">
      <c r="A586" s="34"/>
      <c r="B586" s="34"/>
      <c r="C586" s="34"/>
      <c r="D586" s="34"/>
      <c r="E586" s="34"/>
      <c r="F586" s="34"/>
      <c r="G586" s="34"/>
      <c r="H586" s="34"/>
      <c r="L586" s="34"/>
      <c r="M586" s="35"/>
      <c r="N586" s="35"/>
      <c r="O586" s="35"/>
      <c r="P586" s="35"/>
    </row>
    <row r="587">
      <c r="A587" s="34"/>
      <c r="B587" s="34"/>
      <c r="C587" s="34"/>
      <c r="D587" s="34"/>
      <c r="E587" s="34"/>
      <c r="F587" s="34"/>
      <c r="G587" s="34"/>
      <c r="H587" s="34"/>
      <c r="L587" s="34"/>
      <c r="M587" s="35"/>
      <c r="N587" s="35"/>
      <c r="O587" s="35"/>
      <c r="P587" s="35"/>
    </row>
    <row r="588">
      <c r="A588" s="34"/>
      <c r="B588" s="34"/>
      <c r="C588" s="34"/>
      <c r="D588" s="34"/>
      <c r="E588" s="34"/>
      <c r="F588" s="34"/>
      <c r="G588" s="34"/>
      <c r="H588" s="34"/>
      <c r="L588" s="34"/>
      <c r="M588" s="35"/>
      <c r="N588" s="35"/>
      <c r="O588" s="35"/>
      <c r="P588" s="35"/>
    </row>
    <row r="589">
      <c r="A589" s="34"/>
      <c r="B589" s="34"/>
      <c r="C589" s="34"/>
      <c r="D589" s="34"/>
      <c r="E589" s="34"/>
      <c r="F589" s="34"/>
      <c r="G589" s="34"/>
      <c r="H589" s="34"/>
      <c r="L589" s="34"/>
      <c r="M589" s="35"/>
      <c r="N589" s="35"/>
      <c r="O589" s="35"/>
      <c r="P589" s="35"/>
    </row>
    <row r="590">
      <c r="A590" s="34"/>
      <c r="B590" s="34"/>
      <c r="C590" s="34"/>
      <c r="D590" s="34"/>
      <c r="E590" s="34"/>
      <c r="F590" s="34"/>
      <c r="G590" s="34"/>
      <c r="H590" s="34"/>
      <c r="L590" s="34"/>
      <c r="M590" s="35"/>
      <c r="N590" s="35"/>
      <c r="O590" s="35"/>
      <c r="P590" s="35"/>
    </row>
    <row r="591">
      <c r="A591" s="34"/>
      <c r="B591" s="34"/>
      <c r="C591" s="34"/>
      <c r="D591" s="34"/>
      <c r="E591" s="34"/>
      <c r="F591" s="34"/>
      <c r="G591" s="34"/>
      <c r="H591" s="34"/>
      <c r="L591" s="34"/>
      <c r="M591" s="35"/>
      <c r="N591" s="35"/>
      <c r="O591" s="35"/>
      <c r="P591" s="35"/>
    </row>
    <row r="592">
      <c r="A592" s="34"/>
      <c r="B592" s="34"/>
      <c r="C592" s="34"/>
      <c r="D592" s="34"/>
      <c r="E592" s="34"/>
      <c r="F592" s="34"/>
      <c r="G592" s="34"/>
      <c r="H592" s="34"/>
      <c r="L592" s="34"/>
      <c r="M592" s="35"/>
      <c r="N592" s="35"/>
      <c r="O592" s="35"/>
      <c r="P592" s="35"/>
    </row>
    <row r="593">
      <c r="A593" s="34"/>
      <c r="B593" s="34"/>
      <c r="C593" s="34"/>
      <c r="D593" s="34"/>
      <c r="E593" s="34"/>
      <c r="F593" s="34"/>
      <c r="G593" s="34"/>
      <c r="H593" s="34"/>
      <c r="L593" s="34"/>
      <c r="M593" s="35"/>
      <c r="N593" s="35"/>
      <c r="O593" s="35"/>
      <c r="P593" s="35"/>
    </row>
    <row r="594">
      <c r="A594" s="34"/>
      <c r="B594" s="34"/>
      <c r="C594" s="34"/>
      <c r="D594" s="34"/>
      <c r="E594" s="34"/>
      <c r="F594" s="34"/>
      <c r="G594" s="34"/>
      <c r="H594" s="34"/>
      <c r="L594" s="34"/>
      <c r="M594" s="35"/>
      <c r="N594" s="35"/>
      <c r="O594" s="35"/>
      <c r="P594" s="35"/>
    </row>
    <row r="595">
      <c r="A595" s="34"/>
      <c r="B595" s="34"/>
      <c r="C595" s="34"/>
      <c r="D595" s="34"/>
      <c r="E595" s="34"/>
      <c r="F595" s="34"/>
      <c r="G595" s="34"/>
      <c r="H595" s="34"/>
      <c r="L595" s="34"/>
      <c r="M595" s="35"/>
      <c r="N595" s="35"/>
      <c r="O595" s="35"/>
      <c r="P595" s="35"/>
    </row>
    <row r="596">
      <c r="A596" s="34"/>
      <c r="B596" s="34"/>
      <c r="C596" s="34"/>
      <c r="D596" s="34"/>
      <c r="E596" s="34"/>
      <c r="F596" s="34"/>
      <c r="G596" s="34"/>
      <c r="H596" s="34"/>
      <c r="L596" s="34"/>
      <c r="M596" s="35"/>
      <c r="N596" s="35"/>
      <c r="O596" s="35"/>
      <c r="P596" s="35"/>
    </row>
    <row r="597">
      <c r="A597" s="34"/>
      <c r="B597" s="34"/>
      <c r="C597" s="34"/>
      <c r="D597" s="34"/>
      <c r="E597" s="34"/>
      <c r="F597" s="34"/>
      <c r="G597" s="34"/>
      <c r="H597" s="34"/>
      <c r="L597" s="34"/>
      <c r="M597" s="35"/>
      <c r="N597" s="35"/>
      <c r="O597" s="35"/>
      <c r="P597" s="35"/>
    </row>
    <row r="598">
      <c r="A598" s="34"/>
      <c r="B598" s="34"/>
      <c r="C598" s="34"/>
      <c r="D598" s="34"/>
      <c r="E598" s="34"/>
      <c r="F598" s="34"/>
      <c r="G598" s="34"/>
      <c r="H598" s="34"/>
      <c r="L598" s="34"/>
      <c r="M598" s="35"/>
      <c r="N598" s="35"/>
      <c r="O598" s="35"/>
      <c r="P598" s="35"/>
    </row>
    <row r="599">
      <c r="A599" s="34"/>
      <c r="B599" s="34"/>
      <c r="C599" s="34"/>
      <c r="D599" s="34"/>
      <c r="E599" s="34"/>
      <c r="F599" s="34"/>
      <c r="G599" s="34"/>
      <c r="H599" s="34"/>
      <c r="L599" s="34"/>
      <c r="M599" s="35"/>
      <c r="N599" s="35"/>
      <c r="O599" s="35"/>
      <c r="P599" s="35"/>
    </row>
    <row r="600">
      <c r="A600" s="34"/>
      <c r="B600" s="34"/>
      <c r="C600" s="34"/>
      <c r="D600" s="34"/>
      <c r="E600" s="34"/>
      <c r="F600" s="34"/>
      <c r="G600" s="34"/>
      <c r="H600" s="34"/>
      <c r="L600" s="34"/>
      <c r="M600" s="35"/>
      <c r="N600" s="35"/>
      <c r="O600" s="35"/>
      <c r="P600" s="35"/>
    </row>
    <row r="601">
      <c r="A601" s="34"/>
      <c r="B601" s="34"/>
      <c r="C601" s="34"/>
      <c r="D601" s="34"/>
      <c r="E601" s="34"/>
      <c r="F601" s="34"/>
      <c r="G601" s="34"/>
      <c r="H601" s="34"/>
      <c r="L601" s="34"/>
      <c r="M601" s="35"/>
      <c r="N601" s="35"/>
      <c r="O601" s="35"/>
      <c r="P601" s="35"/>
    </row>
    <row r="602">
      <c r="A602" s="34"/>
      <c r="B602" s="34"/>
      <c r="C602" s="34"/>
      <c r="D602" s="34"/>
      <c r="E602" s="34"/>
      <c r="F602" s="34"/>
      <c r="G602" s="34"/>
      <c r="H602" s="34"/>
      <c r="L602" s="34"/>
      <c r="M602" s="35"/>
      <c r="N602" s="35"/>
      <c r="O602" s="35"/>
      <c r="P602" s="35"/>
    </row>
    <row r="603">
      <c r="A603" s="34"/>
      <c r="B603" s="34"/>
      <c r="C603" s="34"/>
      <c r="D603" s="34"/>
      <c r="E603" s="34"/>
      <c r="F603" s="34"/>
      <c r="G603" s="34"/>
      <c r="H603" s="34"/>
      <c r="L603" s="34"/>
      <c r="M603" s="35"/>
      <c r="N603" s="35"/>
      <c r="O603" s="35"/>
      <c r="P603" s="35"/>
    </row>
    <row r="604">
      <c r="A604" s="34"/>
      <c r="B604" s="34"/>
      <c r="C604" s="34"/>
      <c r="D604" s="34"/>
      <c r="E604" s="34"/>
      <c r="F604" s="34"/>
      <c r="G604" s="34"/>
      <c r="H604" s="34"/>
      <c r="L604" s="34"/>
      <c r="M604" s="35"/>
      <c r="N604" s="35"/>
      <c r="O604" s="35"/>
      <c r="P604" s="35"/>
    </row>
    <row r="605">
      <c r="A605" s="34"/>
      <c r="B605" s="34"/>
      <c r="C605" s="34"/>
      <c r="D605" s="34"/>
      <c r="E605" s="34"/>
      <c r="F605" s="34"/>
      <c r="G605" s="34"/>
      <c r="H605" s="34"/>
      <c r="L605" s="34"/>
      <c r="M605" s="35"/>
      <c r="N605" s="35"/>
      <c r="O605" s="35"/>
      <c r="P605" s="35"/>
    </row>
    <row r="606">
      <c r="A606" s="34"/>
      <c r="B606" s="34"/>
      <c r="C606" s="34"/>
      <c r="D606" s="34"/>
      <c r="E606" s="34"/>
      <c r="F606" s="34"/>
      <c r="G606" s="34"/>
      <c r="H606" s="34"/>
      <c r="L606" s="34"/>
      <c r="M606" s="35"/>
      <c r="N606" s="35"/>
      <c r="O606" s="35"/>
      <c r="P606" s="35"/>
    </row>
    <row r="607">
      <c r="A607" s="34"/>
      <c r="B607" s="34"/>
      <c r="C607" s="34"/>
      <c r="D607" s="34"/>
      <c r="E607" s="34"/>
      <c r="F607" s="34"/>
      <c r="G607" s="34"/>
      <c r="H607" s="34"/>
      <c r="L607" s="34"/>
      <c r="M607" s="35"/>
      <c r="N607" s="35"/>
      <c r="O607" s="35"/>
      <c r="P607" s="35"/>
    </row>
    <row r="608">
      <c r="A608" s="34"/>
      <c r="B608" s="34"/>
      <c r="C608" s="34"/>
      <c r="D608" s="34"/>
      <c r="E608" s="34"/>
      <c r="F608" s="34"/>
      <c r="G608" s="34"/>
      <c r="H608" s="34"/>
      <c r="L608" s="34"/>
      <c r="M608" s="35"/>
      <c r="N608" s="35"/>
      <c r="O608" s="35"/>
      <c r="P608" s="35"/>
    </row>
    <row r="609">
      <c r="A609" s="34"/>
      <c r="B609" s="34"/>
      <c r="C609" s="34"/>
      <c r="D609" s="34"/>
      <c r="E609" s="34"/>
      <c r="F609" s="34"/>
      <c r="G609" s="34"/>
      <c r="H609" s="34"/>
      <c r="L609" s="34"/>
      <c r="M609" s="35"/>
      <c r="N609" s="35"/>
      <c r="O609" s="35"/>
      <c r="P609" s="35"/>
    </row>
    <row r="610">
      <c r="A610" s="34"/>
      <c r="B610" s="34"/>
      <c r="C610" s="34"/>
      <c r="D610" s="34"/>
      <c r="E610" s="34"/>
      <c r="F610" s="34"/>
      <c r="G610" s="34"/>
      <c r="H610" s="34"/>
      <c r="L610" s="34"/>
      <c r="M610" s="35"/>
      <c r="N610" s="35"/>
      <c r="O610" s="35"/>
      <c r="P610" s="35"/>
    </row>
    <row r="611">
      <c r="A611" s="34"/>
      <c r="B611" s="34"/>
      <c r="C611" s="34"/>
      <c r="D611" s="34"/>
      <c r="E611" s="34"/>
      <c r="F611" s="34"/>
      <c r="G611" s="34"/>
      <c r="H611" s="34"/>
      <c r="L611" s="34"/>
      <c r="M611" s="35"/>
      <c r="N611" s="35"/>
      <c r="O611" s="35"/>
      <c r="P611" s="35"/>
    </row>
    <row r="612">
      <c r="A612" s="34"/>
      <c r="B612" s="34"/>
      <c r="C612" s="34"/>
      <c r="D612" s="34"/>
      <c r="E612" s="34"/>
      <c r="F612" s="34"/>
      <c r="G612" s="34"/>
      <c r="H612" s="34"/>
      <c r="L612" s="34"/>
      <c r="M612" s="35"/>
      <c r="N612" s="35"/>
      <c r="O612" s="35"/>
      <c r="P612" s="35"/>
    </row>
    <row r="613">
      <c r="A613" s="34"/>
      <c r="B613" s="34"/>
      <c r="C613" s="34"/>
      <c r="D613" s="34"/>
      <c r="E613" s="34"/>
      <c r="F613" s="34"/>
      <c r="G613" s="34"/>
      <c r="H613" s="34"/>
      <c r="L613" s="34"/>
      <c r="M613" s="35"/>
      <c r="N613" s="35"/>
      <c r="O613" s="35"/>
      <c r="P613" s="35"/>
    </row>
    <row r="614">
      <c r="A614" s="34"/>
      <c r="B614" s="34"/>
      <c r="C614" s="34"/>
      <c r="D614" s="34"/>
      <c r="E614" s="34"/>
      <c r="F614" s="34"/>
      <c r="G614" s="34"/>
      <c r="H614" s="34"/>
      <c r="L614" s="34"/>
      <c r="M614" s="35"/>
      <c r="N614" s="35"/>
      <c r="O614" s="35"/>
      <c r="P614" s="35"/>
    </row>
    <row r="615">
      <c r="A615" s="34"/>
      <c r="B615" s="34"/>
      <c r="C615" s="34"/>
      <c r="D615" s="34"/>
      <c r="E615" s="34"/>
      <c r="F615" s="34"/>
      <c r="G615" s="34"/>
      <c r="H615" s="34"/>
      <c r="L615" s="34"/>
      <c r="M615" s="35"/>
      <c r="N615" s="35"/>
      <c r="O615" s="35"/>
      <c r="P615" s="35"/>
    </row>
    <row r="616">
      <c r="A616" s="34"/>
      <c r="B616" s="34"/>
      <c r="C616" s="34"/>
      <c r="D616" s="34"/>
      <c r="E616" s="34"/>
      <c r="F616" s="34"/>
      <c r="G616" s="34"/>
      <c r="H616" s="34"/>
      <c r="L616" s="34"/>
      <c r="M616" s="35"/>
      <c r="N616" s="35"/>
      <c r="O616" s="35"/>
      <c r="P616" s="35"/>
    </row>
    <row r="617">
      <c r="A617" s="34"/>
      <c r="B617" s="34"/>
      <c r="C617" s="34"/>
      <c r="D617" s="34"/>
      <c r="E617" s="34"/>
      <c r="F617" s="34"/>
      <c r="G617" s="34"/>
      <c r="H617" s="34"/>
      <c r="L617" s="34"/>
      <c r="M617" s="35"/>
      <c r="N617" s="35"/>
      <c r="O617" s="35"/>
      <c r="P617" s="35"/>
    </row>
    <row r="618">
      <c r="A618" s="34"/>
      <c r="B618" s="34"/>
      <c r="C618" s="34"/>
      <c r="D618" s="34"/>
      <c r="E618" s="34"/>
      <c r="F618" s="34"/>
      <c r="G618" s="34"/>
      <c r="H618" s="34"/>
      <c r="L618" s="34"/>
      <c r="M618" s="35"/>
      <c r="N618" s="35"/>
      <c r="O618" s="35"/>
      <c r="P618" s="35"/>
    </row>
    <row r="619">
      <c r="A619" s="34"/>
      <c r="B619" s="34"/>
      <c r="C619" s="34"/>
      <c r="D619" s="34"/>
      <c r="E619" s="34"/>
      <c r="F619" s="34"/>
      <c r="G619" s="34"/>
      <c r="H619" s="34"/>
      <c r="L619" s="34"/>
      <c r="M619" s="35"/>
      <c r="N619" s="35"/>
      <c r="O619" s="35"/>
      <c r="P619" s="35"/>
    </row>
    <row r="620">
      <c r="A620" s="34"/>
      <c r="B620" s="34"/>
      <c r="C620" s="34"/>
      <c r="D620" s="34"/>
      <c r="E620" s="34"/>
      <c r="F620" s="34"/>
      <c r="G620" s="34"/>
      <c r="H620" s="34"/>
      <c r="L620" s="34"/>
      <c r="M620" s="35"/>
      <c r="N620" s="35"/>
      <c r="O620" s="35"/>
      <c r="P620" s="35"/>
    </row>
    <row r="621">
      <c r="A621" s="34"/>
      <c r="B621" s="34"/>
      <c r="C621" s="34"/>
      <c r="D621" s="34"/>
      <c r="E621" s="34"/>
      <c r="F621" s="34"/>
      <c r="G621" s="34"/>
      <c r="H621" s="34"/>
      <c r="L621" s="34"/>
      <c r="M621" s="35"/>
      <c r="N621" s="35"/>
      <c r="O621" s="35"/>
      <c r="P621" s="35"/>
    </row>
    <row r="622">
      <c r="A622" s="34"/>
      <c r="B622" s="34"/>
      <c r="C622" s="34"/>
      <c r="D622" s="34"/>
      <c r="E622" s="34"/>
      <c r="F622" s="34"/>
      <c r="G622" s="34"/>
      <c r="H622" s="34"/>
      <c r="L622" s="34"/>
      <c r="M622" s="35"/>
      <c r="N622" s="35"/>
      <c r="O622" s="35"/>
      <c r="P622" s="35"/>
    </row>
    <row r="623">
      <c r="A623" s="34"/>
      <c r="B623" s="34"/>
      <c r="C623" s="34"/>
      <c r="D623" s="34"/>
      <c r="E623" s="34"/>
      <c r="F623" s="34"/>
      <c r="G623" s="34"/>
      <c r="H623" s="34"/>
      <c r="L623" s="34"/>
      <c r="M623" s="35"/>
      <c r="N623" s="35"/>
      <c r="O623" s="35"/>
      <c r="P623" s="35"/>
    </row>
    <row r="624">
      <c r="A624" s="34"/>
      <c r="B624" s="34"/>
      <c r="C624" s="34"/>
      <c r="D624" s="34"/>
      <c r="E624" s="34"/>
      <c r="F624" s="34"/>
      <c r="G624" s="34"/>
      <c r="H624" s="34"/>
      <c r="L624" s="34"/>
      <c r="M624" s="35"/>
      <c r="N624" s="35"/>
      <c r="O624" s="35"/>
      <c r="P624" s="35"/>
    </row>
    <row r="625">
      <c r="A625" s="34"/>
      <c r="B625" s="34"/>
      <c r="C625" s="34"/>
      <c r="D625" s="34"/>
      <c r="E625" s="34"/>
      <c r="F625" s="34"/>
      <c r="G625" s="34"/>
      <c r="H625" s="34"/>
      <c r="L625" s="34"/>
      <c r="M625" s="35"/>
      <c r="N625" s="35"/>
      <c r="O625" s="35"/>
      <c r="P625" s="35"/>
    </row>
    <row r="626">
      <c r="A626" s="34"/>
      <c r="B626" s="34"/>
      <c r="C626" s="34"/>
      <c r="D626" s="34"/>
      <c r="E626" s="34"/>
      <c r="F626" s="34"/>
      <c r="G626" s="34"/>
      <c r="H626" s="34"/>
      <c r="L626" s="34"/>
      <c r="M626" s="35"/>
      <c r="N626" s="35"/>
      <c r="O626" s="35"/>
      <c r="P626" s="35"/>
    </row>
    <row r="627">
      <c r="A627" s="34"/>
      <c r="B627" s="34"/>
      <c r="C627" s="34"/>
      <c r="D627" s="34"/>
      <c r="E627" s="34"/>
      <c r="F627" s="34"/>
      <c r="G627" s="34"/>
      <c r="H627" s="34"/>
      <c r="L627" s="34"/>
      <c r="M627" s="35"/>
      <c r="N627" s="35"/>
      <c r="O627" s="35"/>
      <c r="P627" s="35"/>
    </row>
    <row r="628">
      <c r="A628" s="34"/>
      <c r="B628" s="34"/>
      <c r="C628" s="34"/>
      <c r="D628" s="34"/>
      <c r="E628" s="34"/>
      <c r="F628" s="34"/>
      <c r="G628" s="34"/>
      <c r="H628" s="34"/>
      <c r="L628" s="34"/>
      <c r="M628" s="35"/>
      <c r="N628" s="35"/>
      <c r="O628" s="35"/>
      <c r="P628" s="35"/>
    </row>
    <row r="629">
      <c r="A629" s="34"/>
      <c r="B629" s="34"/>
      <c r="C629" s="34"/>
      <c r="D629" s="34"/>
      <c r="E629" s="34"/>
      <c r="F629" s="34"/>
      <c r="G629" s="34"/>
      <c r="H629" s="34"/>
      <c r="L629" s="34"/>
      <c r="M629" s="35"/>
      <c r="N629" s="35"/>
      <c r="O629" s="35"/>
      <c r="P629" s="35"/>
    </row>
    <row r="630">
      <c r="A630" s="34"/>
      <c r="B630" s="34"/>
      <c r="C630" s="34"/>
      <c r="D630" s="34"/>
      <c r="E630" s="34"/>
      <c r="F630" s="34"/>
      <c r="G630" s="34"/>
      <c r="H630" s="34"/>
      <c r="L630" s="34"/>
      <c r="M630" s="35"/>
      <c r="N630" s="35"/>
      <c r="O630" s="35"/>
      <c r="P630" s="35"/>
    </row>
    <row r="631">
      <c r="A631" s="34"/>
      <c r="B631" s="34"/>
      <c r="C631" s="34"/>
      <c r="D631" s="34"/>
      <c r="E631" s="34"/>
      <c r="F631" s="34"/>
      <c r="G631" s="34"/>
      <c r="H631" s="34"/>
      <c r="L631" s="34"/>
      <c r="M631" s="35"/>
      <c r="N631" s="35"/>
      <c r="O631" s="35"/>
      <c r="P631" s="35"/>
    </row>
    <row r="632">
      <c r="A632" s="34"/>
      <c r="B632" s="34"/>
      <c r="C632" s="34"/>
      <c r="D632" s="34"/>
      <c r="E632" s="34"/>
      <c r="F632" s="34"/>
      <c r="G632" s="34"/>
      <c r="H632" s="34"/>
      <c r="L632" s="34"/>
      <c r="M632" s="35"/>
      <c r="N632" s="35"/>
      <c r="O632" s="35"/>
      <c r="P632" s="35"/>
    </row>
    <row r="633">
      <c r="A633" s="34"/>
      <c r="B633" s="34"/>
      <c r="C633" s="34"/>
      <c r="D633" s="34"/>
      <c r="E633" s="34"/>
      <c r="F633" s="34"/>
      <c r="G633" s="34"/>
      <c r="H633" s="34"/>
      <c r="L633" s="34"/>
      <c r="M633" s="35"/>
      <c r="N633" s="35"/>
      <c r="O633" s="35"/>
      <c r="P633" s="35"/>
    </row>
    <row r="634">
      <c r="A634" s="34"/>
      <c r="B634" s="34"/>
      <c r="C634" s="34"/>
      <c r="D634" s="34"/>
      <c r="E634" s="34"/>
      <c r="F634" s="34"/>
      <c r="G634" s="34"/>
      <c r="H634" s="34"/>
      <c r="L634" s="34"/>
      <c r="M634" s="35"/>
      <c r="N634" s="35"/>
      <c r="O634" s="35"/>
      <c r="P634" s="35"/>
    </row>
    <row r="635">
      <c r="A635" s="34"/>
      <c r="B635" s="34"/>
      <c r="C635" s="34"/>
      <c r="D635" s="34"/>
      <c r="E635" s="34"/>
      <c r="F635" s="34"/>
      <c r="G635" s="34"/>
      <c r="H635" s="34"/>
      <c r="L635" s="34"/>
      <c r="M635" s="35"/>
      <c r="N635" s="35"/>
      <c r="O635" s="35"/>
      <c r="P635" s="35"/>
    </row>
    <row r="636">
      <c r="A636" s="34"/>
      <c r="B636" s="34"/>
      <c r="C636" s="34"/>
      <c r="D636" s="34"/>
      <c r="E636" s="34"/>
      <c r="F636" s="34"/>
      <c r="G636" s="34"/>
      <c r="H636" s="34"/>
      <c r="L636" s="34"/>
      <c r="M636" s="35"/>
      <c r="N636" s="35"/>
      <c r="O636" s="35"/>
      <c r="P636" s="35"/>
    </row>
    <row r="637">
      <c r="A637" s="34"/>
      <c r="B637" s="34"/>
      <c r="C637" s="34"/>
      <c r="D637" s="34"/>
      <c r="E637" s="34"/>
      <c r="F637" s="34"/>
      <c r="G637" s="34"/>
      <c r="H637" s="34"/>
      <c r="L637" s="34"/>
      <c r="M637" s="35"/>
      <c r="N637" s="35"/>
      <c r="O637" s="35"/>
      <c r="P637" s="35"/>
    </row>
    <row r="638">
      <c r="A638" s="34"/>
      <c r="B638" s="34"/>
      <c r="C638" s="34"/>
      <c r="D638" s="34"/>
      <c r="E638" s="34"/>
      <c r="F638" s="34"/>
      <c r="G638" s="34"/>
      <c r="H638" s="34"/>
      <c r="L638" s="34"/>
      <c r="M638" s="35"/>
      <c r="N638" s="35"/>
      <c r="O638" s="35"/>
      <c r="P638" s="35"/>
    </row>
    <row r="639">
      <c r="A639" s="34"/>
      <c r="B639" s="34"/>
      <c r="C639" s="34"/>
      <c r="D639" s="34"/>
      <c r="E639" s="34"/>
      <c r="F639" s="34"/>
      <c r="G639" s="34"/>
      <c r="H639" s="34"/>
      <c r="L639" s="34"/>
      <c r="M639" s="35"/>
      <c r="N639" s="35"/>
      <c r="O639" s="35"/>
      <c r="P639" s="35"/>
    </row>
    <row r="640">
      <c r="A640" s="34"/>
      <c r="B640" s="34"/>
      <c r="C640" s="34"/>
      <c r="D640" s="34"/>
      <c r="E640" s="34"/>
      <c r="F640" s="34"/>
      <c r="G640" s="34"/>
      <c r="H640" s="34"/>
      <c r="L640" s="34"/>
      <c r="M640" s="35"/>
      <c r="N640" s="35"/>
      <c r="O640" s="35"/>
      <c r="P640" s="35"/>
    </row>
    <row r="641">
      <c r="A641" s="34"/>
      <c r="B641" s="34"/>
      <c r="C641" s="34"/>
      <c r="D641" s="34"/>
      <c r="E641" s="34"/>
      <c r="F641" s="34"/>
      <c r="G641" s="34"/>
      <c r="H641" s="34"/>
      <c r="L641" s="34"/>
      <c r="M641" s="35"/>
      <c r="N641" s="35"/>
      <c r="O641" s="35"/>
      <c r="P641" s="35"/>
    </row>
    <row r="642">
      <c r="A642" s="34"/>
      <c r="B642" s="34"/>
      <c r="C642" s="34"/>
      <c r="D642" s="34"/>
      <c r="E642" s="34"/>
      <c r="F642" s="34"/>
      <c r="G642" s="34"/>
      <c r="H642" s="34"/>
      <c r="L642" s="34"/>
      <c r="M642" s="35"/>
      <c r="N642" s="35"/>
      <c r="O642" s="35"/>
      <c r="P642" s="35"/>
    </row>
    <row r="643">
      <c r="A643" s="34"/>
      <c r="B643" s="34"/>
      <c r="C643" s="34"/>
      <c r="D643" s="34"/>
      <c r="E643" s="34"/>
      <c r="F643" s="34"/>
      <c r="G643" s="34"/>
      <c r="H643" s="34"/>
      <c r="L643" s="34"/>
      <c r="M643" s="35"/>
      <c r="N643" s="35"/>
      <c r="O643" s="35"/>
      <c r="P643" s="35"/>
    </row>
    <row r="644">
      <c r="A644" s="34"/>
      <c r="B644" s="34"/>
      <c r="C644" s="34"/>
      <c r="D644" s="34"/>
      <c r="E644" s="34"/>
      <c r="F644" s="34"/>
      <c r="G644" s="34"/>
      <c r="H644" s="34"/>
      <c r="L644" s="34"/>
      <c r="M644" s="35"/>
      <c r="N644" s="35"/>
      <c r="O644" s="35"/>
      <c r="P644" s="35"/>
    </row>
    <row r="645">
      <c r="A645" s="34"/>
      <c r="B645" s="34"/>
      <c r="C645" s="34"/>
      <c r="D645" s="34"/>
      <c r="E645" s="34"/>
      <c r="F645" s="34"/>
      <c r="G645" s="34"/>
      <c r="H645" s="34"/>
      <c r="L645" s="34"/>
      <c r="M645" s="35"/>
      <c r="N645" s="35"/>
      <c r="O645" s="35"/>
      <c r="P645" s="35"/>
    </row>
    <row r="646">
      <c r="A646" s="34"/>
      <c r="B646" s="34"/>
      <c r="C646" s="34"/>
      <c r="D646" s="34"/>
      <c r="E646" s="34"/>
      <c r="F646" s="34"/>
      <c r="G646" s="34"/>
      <c r="H646" s="34"/>
      <c r="L646" s="34"/>
      <c r="M646" s="35"/>
      <c r="N646" s="35"/>
      <c r="O646" s="35"/>
      <c r="P646" s="35"/>
    </row>
    <row r="647">
      <c r="A647" s="34"/>
      <c r="B647" s="34"/>
      <c r="C647" s="34"/>
      <c r="D647" s="34"/>
      <c r="E647" s="34"/>
      <c r="F647" s="34"/>
      <c r="G647" s="34"/>
      <c r="H647" s="34"/>
      <c r="L647" s="34"/>
      <c r="M647" s="35"/>
      <c r="N647" s="35"/>
      <c r="O647" s="35"/>
      <c r="P647" s="35"/>
    </row>
    <row r="648">
      <c r="A648" s="34"/>
      <c r="B648" s="34"/>
      <c r="C648" s="34"/>
      <c r="D648" s="34"/>
      <c r="E648" s="34"/>
      <c r="F648" s="34"/>
      <c r="G648" s="34"/>
      <c r="H648" s="34"/>
      <c r="L648" s="34"/>
      <c r="M648" s="35"/>
      <c r="N648" s="35"/>
      <c r="O648" s="35"/>
      <c r="P648" s="35"/>
    </row>
    <row r="649">
      <c r="A649" s="34"/>
      <c r="B649" s="34"/>
      <c r="C649" s="34"/>
      <c r="D649" s="34"/>
      <c r="E649" s="34"/>
      <c r="F649" s="34"/>
      <c r="G649" s="34"/>
      <c r="H649" s="34"/>
      <c r="L649" s="34"/>
      <c r="M649" s="35"/>
      <c r="N649" s="35"/>
      <c r="O649" s="35"/>
      <c r="P649" s="35"/>
    </row>
    <row r="650">
      <c r="A650" s="34"/>
      <c r="B650" s="34"/>
      <c r="C650" s="34"/>
      <c r="D650" s="34"/>
      <c r="E650" s="34"/>
      <c r="F650" s="34"/>
      <c r="G650" s="34"/>
      <c r="H650" s="34"/>
      <c r="L650" s="34"/>
      <c r="M650" s="35"/>
      <c r="N650" s="35"/>
      <c r="O650" s="35"/>
      <c r="P650" s="35"/>
    </row>
    <row r="651">
      <c r="A651" s="34"/>
      <c r="B651" s="34"/>
      <c r="C651" s="34"/>
      <c r="D651" s="34"/>
      <c r="E651" s="34"/>
      <c r="F651" s="34"/>
      <c r="G651" s="34"/>
      <c r="H651" s="34"/>
      <c r="L651" s="34"/>
      <c r="M651" s="35"/>
      <c r="N651" s="35"/>
      <c r="O651" s="35"/>
      <c r="P651" s="35"/>
    </row>
    <row r="652">
      <c r="A652" s="34"/>
      <c r="B652" s="34"/>
      <c r="C652" s="34"/>
      <c r="D652" s="34"/>
      <c r="E652" s="34"/>
      <c r="F652" s="34"/>
      <c r="G652" s="34"/>
      <c r="H652" s="34"/>
      <c r="L652" s="34"/>
      <c r="M652" s="35"/>
      <c r="N652" s="35"/>
      <c r="O652" s="35"/>
      <c r="P652" s="35"/>
    </row>
    <row r="653">
      <c r="A653" s="34"/>
      <c r="B653" s="34"/>
      <c r="C653" s="34"/>
      <c r="D653" s="34"/>
      <c r="E653" s="34"/>
      <c r="F653" s="34"/>
      <c r="G653" s="34"/>
      <c r="H653" s="34"/>
      <c r="L653" s="34"/>
      <c r="M653" s="35"/>
      <c r="N653" s="35"/>
      <c r="O653" s="35"/>
      <c r="P653" s="35"/>
    </row>
    <row r="654">
      <c r="A654" s="34"/>
      <c r="B654" s="34"/>
      <c r="C654" s="34"/>
      <c r="D654" s="34"/>
      <c r="E654" s="34"/>
      <c r="F654" s="34"/>
      <c r="G654" s="34"/>
      <c r="H654" s="34"/>
      <c r="L654" s="34"/>
      <c r="M654" s="35"/>
      <c r="N654" s="35"/>
      <c r="O654" s="35"/>
      <c r="P654" s="35"/>
    </row>
    <row r="655">
      <c r="A655" s="34"/>
      <c r="B655" s="34"/>
      <c r="C655" s="34"/>
      <c r="D655" s="34"/>
      <c r="E655" s="34"/>
      <c r="F655" s="34"/>
      <c r="G655" s="34"/>
      <c r="H655" s="34"/>
      <c r="L655" s="34"/>
      <c r="M655" s="35"/>
      <c r="N655" s="35"/>
      <c r="O655" s="35"/>
      <c r="P655" s="35"/>
    </row>
    <row r="656">
      <c r="A656" s="34"/>
      <c r="B656" s="34"/>
      <c r="C656" s="34"/>
      <c r="D656" s="34"/>
      <c r="E656" s="34"/>
      <c r="F656" s="34"/>
      <c r="G656" s="34"/>
      <c r="H656" s="34"/>
      <c r="L656" s="34"/>
      <c r="M656" s="35"/>
      <c r="N656" s="35"/>
      <c r="O656" s="35"/>
      <c r="P656" s="35"/>
    </row>
    <row r="657">
      <c r="A657" s="34"/>
      <c r="B657" s="34"/>
      <c r="C657" s="34"/>
      <c r="D657" s="34"/>
      <c r="E657" s="34"/>
      <c r="F657" s="34"/>
      <c r="G657" s="34"/>
      <c r="H657" s="34"/>
      <c r="L657" s="34"/>
      <c r="M657" s="35"/>
      <c r="N657" s="35"/>
      <c r="O657" s="35"/>
      <c r="P657" s="35"/>
    </row>
    <row r="658">
      <c r="A658" s="34"/>
      <c r="B658" s="34"/>
      <c r="C658" s="34"/>
      <c r="D658" s="34"/>
      <c r="E658" s="34"/>
      <c r="F658" s="34"/>
      <c r="G658" s="34"/>
      <c r="H658" s="34"/>
      <c r="L658" s="34"/>
      <c r="M658" s="35"/>
      <c r="N658" s="35"/>
      <c r="O658" s="35"/>
      <c r="P658" s="35"/>
    </row>
    <row r="659">
      <c r="A659" s="34"/>
      <c r="B659" s="34"/>
      <c r="C659" s="34"/>
      <c r="D659" s="34"/>
      <c r="E659" s="34"/>
      <c r="F659" s="34"/>
      <c r="G659" s="34"/>
      <c r="H659" s="34"/>
      <c r="L659" s="34"/>
      <c r="M659" s="35"/>
      <c r="N659" s="35"/>
      <c r="O659" s="35"/>
      <c r="P659" s="35"/>
    </row>
    <row r="660">
      <c r="A660" s="34"/>
      <c r="B660" s="34"/>
      <c r="C660" s="34"/>
      <c r="D660" s="34"/>
      <c r="E660" s="34"/>
      <c r="F660" s="34"/>
      <c r="G660" s="34"/>
      <c r="H660" s="34"/>
      <c r="L660" s="34"/>
      <c r="M660" s="35"/>
      <c r="N660" s="35"/>
      <c r="O660" s="35"/>
      <c r="P660" s="35"/>
    </row>
    <row r="661">
      <c r="A661" s="34"/>
      <c r="B661" s="34"/>
      <c r="C661" s="34"/>
      <c r="D661" s="34"/>
      <c r="E661" s="34"/>
      <c r="F661" s="34"/>
      <c r="G661" s="34"/>
      <c r="H661" s="34"/>
      <c r="L661" s="34"/>
      <c r="M661" s="35"/>
      <c r="N661" s="35"/>
      <c r="O661" s="35"/>
      <c r="P661" s="35"/>
    </row>
    <row r="662">
      <c r="A662" s="34"/>
      <c r="B662" s="34"/>
      <c r="C662" s="34"/>
      <c r="D662" s="34"/>
      <c r="E662" s="34"/>
      <c r="F662" s="34"/>
      <c r="G662" s="34"/>
      <c r="H662" s="34"/>
      <c r="L662" s="34"/>
      <c r="M662" s="35"/>
      <c r="N662" s="35"/>
      <c r="O662" s="35"/>
      <c r="P662" s="35"/>
    </row>
    <row r="663">
      <c r="A663" s="34"/>
      <c r="B663" s="34"/>
      <c r="C663" s="34"/>
      <c r="D663" s="34"/>
      <c r="E663" s="34"/>
      <c r="F663" s="34"/>
      <c r="G663" s="34"/>
      <c r="H663" s="34"/>
      <c r="L663" s="34"/>
      <c r="M663" s="35"/>
      <c r="N663" s="35"/>
      <c r="O663" s="35"/>
      <c r="P663" s="35"/>
    </row>
    <row r="664">
      <c r="A664" s="34"/>
      <c r="B664" s="34"/>
      <c r="C664" s="34"/>
      <c r="D664" s="34"/>
      <c r="E664" s="34"/>
      <c r="F664" s="34"/>
      <c r="G664" s="34"/>
      <c r="H664" s="34"/>
      <c r="L664" s="34"/>
      <c r="M664" s="35"/>
      <c r="N664" s="35"/>
      <c r="O664" s="35"/>
      <c r="P664" s="35"/>
    </row>
    <row r="665">
      <c r="A665" s="34"/>
      <c r="B665" s="34"/>
      <c r="C665" s="34"/>
      <c r="D665" s="34"/>
      <c r="E665" s="34"/>
      <c r="F665" s="34"/>
      <c r="G665" s="34"/>
      <c r="H665" s="34"/>
      <c r="L665" s="34"/>
      <c r="M665" s="35"/>
      <c r="N665" s="35"/>
      <c r="O665" s="35"/>
      <c r="P665" s="35"/>
    </row>
    <row r="666">
      <c r="A666" s="34"/>
      <c r="B666" s="34"/>
      <c r="C666" s="34"/>
      <c r="D666" s="34"/>
      <c r="E666" s="34"/>
      <c r="F666" s="34"/>
      <c r="G666" s="34"/>
      <c r="H666" s="34"/>
      <c r="L666" s="34"/>
      <c r="M666" s="35"/>
      <c r="N666" s="35"/>
      <c r="O666" s="35"/>
      <c r="P666" s="35"/>
    </row>
    <row r="667">
      <c r="A667" s="34"/>
      <c r="B667" s="34"/>
      <c r="C667" s="34"/>
      <c r="D667" s="34"/>
      <c r="E667" s="34"/>
      <c r="F667" s="34"/>
      <c r="G667" s="34"/>
      <c r="H667" s="34"/>
      <c r="L667" s="34"/>
      <c r="M667" s="35"/>
      <c r="N667" s="35"/>
      <c r="O667" s="35"/>
      <c r="P667" s="35"/>
    </row>
    <row r="668">
      <c r="A668" s="34"/>
      <c r="B668" s="34"/>
      <c r="C668" s="34"/>
      <c r="D668" s="34"/>
      <c r="E668" s="34"/>
      <c r="F668" s="34"/>
      <c r="G668" s="34"/>
      <c r="H668" s="34"/>
      <c r="L668" s="34"/>
      <c r="M668" s="35"/>
      <c r="N668" s="35"/>
      <c r="O668" s="35"/>
      <c r="P668" s="35"/>
    </row>
    <row r="669">
      <c r="A669" s="34"/>
      <c r="B669" s="34"/>
      <c r="C669" s="34"/>
      <c r="D669" s="34"/>
      <c r="E669" s="34"/>
      <c r="F669" s="34"/>
      <c r="G669" s="34"/>
      <c r="H669" s="34"/>
      <c r="L669" s="34"/>
      <c r="M669" s="35"/>
      <c r="N669" s="35"/>
      <c r="O669" s="35"/>
      <c r="P669" s="35"/>
    </row>
    <row r="670">
      <c r="A670" s="34"/>
      <c r="B670" s="34"/>
      <c r="C670" s="34"/>
      <c r="D670" s="34"/>
      <c r="E670" s="34"/>
      <c r="F670" s="34"/>
      <c r="G670" s="34"/>
      <c r="H670" s="34"/>
      <c r="L670" s="34"/>
      <c r="M670" s="35"/>
      <c r="N670" s="35"/>
      <c r="O670" s="35"/>
      <c r="P670" s="35"/>
    </row>
    <row r="671">
      <c r="A671" s="34"/>
      <c r="B671" s="34"/>
      <c r="C671" s="34"/>
      <c r="D671" s="34"/>
      <c r="E671" s="34"/>
      <c r="F671" s="34"/>
      <c r="G671" s="34"/>
      <c r="H671" s="34"/>
      <c r="L671" s="34"/>
      <c r="M671" s="35"/>
      <c r="N671" s="35"/>
      <c r="O671" s="35"/>
      <c r="P671" s="35"/>
    </row>
    <row r="672">
      <c r="A672" s="34"/>
      <c r="B672" s="34"/>
      <c r="C672" s="34"/>
      <c r="D672" s="34"/>
      <c r="E672" s="34"/>
      <c r="F672" s="34"/>
      <c r="G672" s="34"/>
      <c r="H672" s="34"/>
      <c r="L672" s="34"/>
      <c r="M672" s="35"/>
      <c r="N672" s="35"/>
      <c r="O672" s="35"/>
      <c r="P672" s="35"/>
    </row>
    <row r="673">
      <c r="A673" s="34"/>
      <c r="B673" s="34"/>
      <c r="C673" s="34"/>
      <c r="D673" s="34"/>
      <c r="E673" s="34"/>
      <c r="F673" s="34"/>
      <c r="G673" s="34"/>
      <c r="H673" s="34"/>
      <c r="L673" s="34"/>
      <c r="M673" s="35"/>
      <c r="N673" s="35"/>
      <c r="O673" s="35"/>
      <c r="P673" s="35"/>
    </row>
    <row r="674">
      <c r="A674" s="34"/>
      <c r="B674" s="34"/>
      <c r="C674" s="34"/>
      <c r="D674" s="34"/>
      <c r="E674" s="34"/>
      <c r="F674" s="34"/>
      <c r="G674" s="34"/>
      <c r="H674" s="34"/>
      <c r="L674" s="34"/>
      <c r="M674" s="35"/>
      <c r="N674" s="35"/>
      <c r="O674" s="35"/>
      <c r="P674" s="35"/>
    </row>
    <row r="675">
      <c r="A675" s="34"/>
      <c r="B675" s="34"/>
      <c r="C675" s="34"/>
      <c r="D675" s="34"/>
      <c r="E675" s="34"/>
      <c r="F675" s="34"/>
      <c r="G675" s="34"/>
      <c r="H675" s="34"/>
      <c r="L675" s="34"/>
      <c r="M675" s="35"/>
      <c r="N675" s="35"/>
      <c r="O675" s="35"/>
      <c r="P675" s="35"/>
    </row>
    <row r="676">
      <c r="A676" s="34"/>
      <c r="B676" s="34"/>
      <c r="C676" s="34"/>
      <c r="D676" s="34"/>
      <c r="E676" s="34"/>
      <c r="F676" s="34"/>
      <c r="G676" s="34"/>
      <c r="H676" s="34"/>
      <c r="L676" s="34"/>
      <c r="M676" s="35"/>
      <c r="N676" s="35"/>
      <c r="O676" s="35"/>
      <c r="P676" s="35"/>
    </row>
    <row r="677">
      <c r="A677" s="34"/>
      <c r="B677" s="34"/>
      <c r="C677" s="34"/>
      <c r="D677" s="34"/>
      <c r="E677" s="34"/>
      <c r="F677" s="34"/>
      <c r="G677" s="34"/>
      <c r="H677" s="34"/>
      <c r="L677" s="34"/>
      <c r="M677" s="35"/>
      <c r="N677" s="35"/>
      <c r="O677" s="35"/>
      <c r="P677" s="35"/>
    </row>
    <row r="678">
      <c r="A678" s="34"/>
      <c r="B678" s="34"/>
      <c r="C678" s="34"/>
      <c r="D678" s="34"/>
      <c r="E678" s="34"/>
      <c r="F678" s="34"/>
      <c r="G678" s="34"/>
      <c r="H678" s="34"/>
      <c r="L678" s="34"/>
      <c r="M678" s="35"/>
      <c r="N678" s="35"/>
      <c r="O678" s="35"/>
      <c r="P678" s="35"/>
    </row>
    <row r="679">
      <c r="A679" s="34"/>
      <c r="B679" s="34"/>
      <c r="C679" s="34"/>
      <c r="D679" s="34"/>
      <c r="E679" s="34"/>
      <c r="F679" s="34"/>
      <c r="G679" s="34"/>
      <c r="H679" s="34"/>
      <c r="L679" s="34"/>
      <c r="M679" s="35"/>
      <c r="N679" s="35"/>
      <c r="O679" s="35"/>
      <c r="P679" s="35"/>
    </row>
    <row r="680">
      <c r="A680" s="34"/>
      <c r="B680" s="34"/>
      <c r="C680" s="34"/>
      <c r="D680" s="34"/>
      <c r="E680" s="34"/>
      <c r="F680" s="34"/>
      <c r="G680" s="34"/>
      <c r="H680" s="34"/>
      <c r="L680" s="34"/>
      <c r="M680" s="35"/>
      <c r="N680" s="35"/>
      <c r="O680" s="35"/>
      <c r="P680" s="35"/>
    </row>
    <row r="681">
      <c r="A681" s="34"/>
      <c r="B681" s="34"/>
      <c r="C681" s="34"/>
      <c r="D681" s="34"/>
      <c r="E681" s="34"/>
      <c r="F681" s="34"/>
      <c r="G681" s="34"/>
      <c r="H681" s="34"/>
      <c r="L681" s="34"/>
      <c r="M681" s="35"/>
      <c r="N681" s="35"/>
      <c r="O681" s="35"/>
      <c r="P681" s="35"/>
    </row>
    <row r="682">
      <c r="A682" s="34"/>
      <c r="B682" s="34"/>
      <c r="C682" s="34"/>
      <c r="D682" s="34"/>
      <c r="E682" s="34"/>
      <c r="F682" s="34"/>
      <c r="G682" s="34"/>
      <c r="H682" s="34"/>
      <c r="L682" s="34"/>
      <c r="M682" s="35"/>
      <c r="N682" s="35"/>
      <c r="O682" s="35"/>
      <c r="P682" s="35"/>
    </row>
    <row r="683">
      <c r="A683" s="34"/>
      <c r="B683" s="34"/>
      <c r="C683" s="34"/>
      <c r="D683" s="34"/>
      <c r="E683" s="34"/>
      <c r="F683" s="34"/>
      <c r="G683" s="34"/>
      <c r="H683" s="34"/>
      <c r="L683" s="34"/>
      <c r="M683" s="35"/>
      <c r="N683" s="35"/>
      <c r="O683" s="35"/>
      <c r="P683" s="35"/>
    </row>
    <row r="684">
      <c r="A684" s="34"/>
      <c r="B684" s="34"/>
      <c r="C684" s="34"/>
      <c r="D684" s="34"/>
      <c r="E684" s="34"/>
      <c r="F684" s="34"/>
      <c r="G684" s="34"/>
      <c r="H684" s="34"/>
      <c r="L684" s="34"/>
      <c r="M684" s="35"/>
      <c r="N684" s="35"/>
      <c r="O684" s="35"/>
      <c r="P684" s="35"/>
    </row>
    <row r="685">
      <c r="A685" s="34"/>
      <c r="B685" s="34"/>
      <c r="C685" s="34"/>
      <c r="D685" s="34"/>
      <c r="E685" s="34"/>
      <c r="F685" s="34"/>
      <c r="G685" s="34"/>
      <c r="H685" s="34"/>
      <c r="L685" s="34"/>
      <c r="M685" s="35"/>
      <c r="N685" s="35"/>
      <c r="O685" s="35"/>
      <c r="P685" s="35"/>
    </row>
    <row r="686">
      <c r="A686" s="34"/>
      <c r="B686" s="34"/>
      <c r="C686" s="34"/>
      <c r="D686" s="34"/>
      <c r="E686" s="34"/>
      <c r="F686" s="34"/>
      <c r="G686" s="34"/>
      <c r="H686" s="34"/>
      <c r="L686" s="34"/>
      <c r="M686" s="35"/>
      <c r="N686" s="35"/>
      <c r="O686" s="35"/>
      <c r="P686" s="35"/>
    </row>
    <row r="687">
      <c r="A687" s="34"/>
      <c r="B687" s="34"/>
      <c r="C687" s="34"/>
      <c r="D687" s="34"/>
      <c r="E687" s="34"/>
      <c r="F687" s="34"/>
      <c r="G687" s="34"/>
      <c r="H687" s="34"/>
      <c r="L687" s="34"/>
      <c r="M687" s="35"/>
      <c r="N687" s="35"/>
      <c r="O687" s="35"/>
      <c r="P687" s="35"/>
    </row>
    <row r="688">
      <c r="A688" s="34"/>
      <c r="B688" s="34"/>
      <c r="C688" s="34"/>
      <c r="D688" s="34"/>
      <c r="E688" s="34"/>
      <c r="F688" s="34"/>
      <c r="G688" s="34"/>
      <c r="H688" s="34"/>
      <c r="L688" s="34"/>
      <c r="M688" s="35"/>
      <c r="N688" s="35"/>
      <c r="O688" s="35"/>
      <c r="P688" s="35"/>
    </row>
    <row r="689">
      <c r="A689" s="34"/>
      <c r="B689" s="34"/>
      <c r="C689" s="34"/>
      <c r="D689" s="34"/>
      <c r="E689" s="34"/>
      <c r="F689" s="34"/>
      <c r="G689" s="34"/>
      <c r="H689" s="34"/>
      <c r="L689" s="34"/>
      <c r="M689" s="35"/>
      <c r="N689" s="35"/>
      <c r="O689" s="35"/>
      <c r="P689" s="35"/>
    </row>
    <row r="690">
      <c r="A690" s="34"/>
      <c r="B690" s="34"/>
      <c r="C690" s="34"/>
      <c r="D690" s="34"/>
      <c r="E690" s="34"/>
      <c r="F690" s="34"/>
      <c r="G690" s="34"/>
      <c r="H690" s="34"/>
      <c r="L690" s="34"/>
      <c r="M690" s="35"/>
      <c r="N690" s="35"/>
      <c r="O690" s="35"/>
      <c r="P690" s="35"/>
    </row>
    <row r="691">
      <c r="A691" s="34"/>
      <c r="B691" s="34"/>
      <c r="C691" s="34"/>
      <c r="D691" s="34"/>
      <c r="E691" s="34"/>
      <c r="F691" s="34"/>
      <c r="G691" s="34"/>
      <c r="H691" s="34"/>
      <c r="L691" s="34"/>
      <c r="M691" s="35"/>
      <c r="N691" s="35"/>
      <c r="O691" s="35"/>
      <c r="P691" s="35"/>
    </row>
    <row r="692">
      <c r="A692" s="34"/>
      <c r="B692" s="34"/>
      <c r="C692" s="34"/>
      <c r="D692" s="34"/>
      <c r="E692" s="34"/>
      <c r="F692" s="34"/>
      <c r="G692" s="34"/>
      <c r="H692" s="34"/>
      <c r="L692" s="34"/>
      <c r="M692" s="35"/>
      <c r="N692" s="35"/>
      <c r="O692" s="35"/>
      <c r="P692" s="35"/>
    </row>
    <row r="693">
      <c r="A693" s="34"/>
      <c r="B693" s="34"/>
      <c r="C693" s="34"/>
      <c r="D693" s="34"/>
      <c r="E693" s="34"/>
      <c r="F693" s="34"/>
      <c r="G693" s="34"/>
      <c r="H693" s="34"/>
      <c r="L693" s="34"/>
      <c r="M693" s="35"/>
      <c r="N693" s="35"/>
      <c r="O693" s="35"/>
      <c r="P693" s="35"/>
    </row>
    <row r="694">
      <c r="A694" s="34"/>
      <c r="B694" s="34"/>
      <c r="C694" s="34"/>
      <c r="D694" s="34"/>
      <c r="E694" s="34"/>
      <c r="F694" s="34"/>
      <c r="G694" s="34"/>
      <c r="H694" s="34"/>
      <c r="L694" s="34"/>
      <c r="M694" s="35"/>
      <c r="N694" s="35"/>
      <c r="O694" s="35"/>
      <c r="P694" s="35"/>
    </row>
    <row r="695">
      <c r="A695" s="34"/>
      <c r="B695" s="34"/>
      <c r="C695" s="34"/>
      <c r="D695" s="34"/>
      <c r="E695" s="34"/>
      <c r="F695" s="34"/>
      <c r="G695" s="34"/>
      <c r="H695" s="34"/>
      <c r="L695" s="34"/>
      <c r="M695" s="35"/>
      <c r="N695" s="35"/>
      <c r="O695" s="35"/>
      <c r="P695" s="35"/>
    </row>
    <row r="696">
      <c r="A696" s="34"/>
      <c r="B696" s="34"/>
      <c r="C696" s="34"/>
      <c r="D696" s="34"/>
      <c r="E696" s="34"/>
      <c r="F696" s="34"/>
      <c r="G696" s="34"/>
      <c r="H696" s="34"/>
      <c r="L696" s="34"/>
      <c r="M696" s="35"/>
      <c r="N696" s="35"/>
      <c r="O696" s="35"/>
      <c r="P696" s="35"/>
    </row>
    <row r="697">
      <c r="A697" s="34"/>
      <c r="B697" s="34"/>
      <c r="C697" s="34"/>
      <c r="D697" s="34"/>
      <c r="E697" s="34"/>
      <c r="F697" s="34"/>
      <c r="G697" s="34"/>
      <c r="H697" s="34"/>
      <c r="L697" s="34"/>
      <c r="M697" s="35"/>
      <c r="N697" s="35"/>
      <c r="O697" s="35"/>
      <c r="P697" s="35"/>
    </row>
    <row r="698">
      <c r="A698" s="34"/>
      <c r="B698" s="34"/>
      <c r="C698" s="34"/>
      <c r="D698" s="34"/>
      <c r="E698" s="34"/>
      <c r="F698" s="34"/>
      <c r="G698" s="34"/>
      <c r="H698" s="34"/>
      <c r="L698" s="34"/>
      <c r="M698" s="35"/>
      <c r="N698" s="35"/>
      <c r="O698" s="35"/>
      <c r="P698" s="35"/>
    </row>
    <row r="699">
      <c r="A699" s="34"/>
      <c r="B699" s="34"/>
      <c r="C699" s="34"/>
      <c r="D699" s="34"/>
      <c r="E699" s="34"/>
      <c r="F699" s="34"/>
      <c r="G699" s="34"/>
      <c r="H699" s="34"/>
      <c r="L699" s="34"/>
      <c r="M699" s="35"/>
      <c r="N699" s="35"/>
      <c r="O699" s="35"/>
      <c r="P699" s="35"/>
    </row>
    <row r="700">
      <c r="A700" s="34"/>
      <c r="B700" s="34"/>
      <c r="C700" s="34"/>
      <c r="D700" s="34"/>
      <c r="E700" s="34"/>
      <c r="F700" s="34"/>
      <c r="G700" s="34"/>
      <c r="H700" s="34"/>
      <c r="L700" s="34"/>
      <c r="M700" s="35"/>
      <c r="N700" s="35"/>
      <c r="O700" s="35"/>
      <c r="P700" s="35"/>
    </row>
    <row r="701">
      <c r="A701" s="34"/>
      <c r="B701" s="34"/>
      <c r="C701" s="34"/>
      <c r="D701" s="34"/>
      <c r="E701" s="34"/>
      <c r="F701" s="34"/>
      <c r="G701" s="34"/>
      <c r="H701" s="34"/>
      <c r="L701" s="34"/>
      <c r="M701" s="35"/>
      <c r="N701" s="35"/>
      <c r="O701" s="35"/>
      <c r="P701" s="35"/>
    </row>
    <row r="702">
      <c r="A702" s="34"/>
      <c r="B702" s="34"/>
      <c r="C702" s="34"/>
      <c r="D702" s="34"/>
      <c r="E702" s="34"/>
      <c r="F702" s="34"/>
      <c r="G702" s="34"/>
      <c r="H702" s="34"/>
      <c r="L702" s="34"/>
      <c r="M702" s="35"/>
      <c r="N702" s="35"/>
      <c r="O702" s="35"/>
      <c r="P702" s="35"/>
    </row>
    <row r="703">
      <c r="A703" s="34"/>
      <c r="B703" s="34"/>
      <c r="C703" s="34"/>
      <c r="D703" s="34"/>
      <c r="E703" s="34"/>
      <c r="F703" s="34"/>
      <c r="G703" s="34"/>
      <c r="H703" s="34"/>
      <c r="L703" s="34"/>
      <c r="M703" s="35"/>
      <c r="N703" s="35"/>
      <c r="O703" s="35"/>
      <c r="P703" s="35"/>
    </row>
    <row r="704">
      <c r="A704" s="34"/>
      <c r="B704" s="34"/>
      <c r="C704" s="34"/>
      <c r="D704" s="34"/>
      <c r="E704" s="34"/>
      <c r="F704" s="34"/>
      <c r="G704" s="34"/>
      <c r="H704" s="34"/>
      <c r="L704" s="34"/>
      <c r="M704" s="35"/>
      <c r="N704" s="35"/>
      <c r="O704" s="35"/>
      <c r="P704" s="35"/>
    </row>
    <row r="705">
      <c r="A705" s="34"/>
      <c r="B705" s="34"/>
      <c r="C705" s="34"/>
      <c r="D705" s="34"/>
      <c r="E705" s="34"/>
      <c r="F705" s="34"/>
      <c r="G705" s="34"/>
      <c r="H705" s="34"/>
      <c r="L705" s="34"/>
      <c r="M705" s="35"/>
      <c r="N705" s="35"/>
      <c r="O705" s="35"/>
      <c r="P705" s="35"/>
    </row>
    <row r="706">
      <c r="A706" s="34"/>
      <c r="B706" s="34"/>
      <c r="C706" s="34"/>
      <c r="D706" s="34"/>
      <c r="E706" s="34"/>
      <c r="F706" s="34"/>
      <c r="G706" s="34"/>
      <c r="H706" s="34"/>
      <c r="L706" s="34"/>
      <c r="M706" s="35"/>
      <c r="N706" s="35"/>
      <c r="O706" s="35"/>
      <c r="P706" s="35"/>
    </row>
    <row r="707">
      <c r="A707" s="34"/>
      <c r="B707" s="34"/>
      <c r="C707" s="34"/>
      <c r="D707" s="34"/>
      <c r="E707" s="34"/>
      <c r="F707" s="34"/>
      <c r="G707" s="34"/>
      <c r="H707" s="34"/>
      <c r="L707" s="34"/>
      <c r="M707" s="35"/>
      <c r="N707" s="35"/>
      <c r="O707" s="35"/>
      <c r="P707" s="35"/>
    </row>
    <row r="708">
      <c r="A708" s="34"/>
      <c r="B708" s="34"/>
      <c r="C708" s="34"/>
      <c r="D708" s="34"/>
      <c r="E708" s="34"/>
      <c r="F708" s="34"/>
      <c r="G708" s="34"/>
      <c r="H708" s="34"/>
      <c r="L708" s="34"/>
      <c r="M708" s="35"/>
      <c r="N708" s="35"/>
      <c r="O708" s="35"/>
      <c r="P708" s="35"/>
    </row>
    <row r="709">
      <c r="A709" s="34"/>
      <c r="B709" s="34"/>
      <c r="C709" s="34"/>
      <c r="D709" s="34"/>
      <c r="E709" s="34"/>
      <c r="F709" s="34"/>
      <c r="G709" s="34"/>
      <c r="H709" s="34"/>
      <c r="L709" s="34"/>
      <c r="M709" s="35"/>
      <c r="N709" s="35"/>
      <c r="O709" s="35"/>
      <c r="P709" s="35"/>
    </row>
    <row r="710">
      <c r="A710" s="34"/>
      <c r="B710" s="34"/>
      <c r="C710" s="34"/>
      <c r="D710" s="34"/>
      <c r="E710" s="34"/>
      <c r="F710" s="34"/>
      <c r="G710" s="34"/>
      <c r="H710" s="34"/>
      <c r="L710" s="34"/>
      <c r="M710" s="35"/>
      <c r="N710" s="35"/>
      <c r="O710" s="35"/>
      <c r="P710" s="35"/>
    </row>
    <row r="711">
      <c r="A711" s="34"/>
      <c r="B711" s="34"/>
      <c r="C711" s="34"/>
      <c r="D711" s="34"/>
      <c r="E711" s="34"/>
      <c r="F711" s="34"/>
      <c r="G711" s="34"/>
      <c r="H711" s="34"/>
      <c r="L711" s="34"/>
      <c r="M711" s="35"/>
      <c r="N711" s="35"/>
      <c r="O711" s="35"/>
      <c r="P711" s="35"/>
    </row>
    <row r="712">
      <c r="A712" s="34"/>
      <c r="B712" s="34"/>
      <c r="C712" s="34"/>
      <c r="D712" s="34"/>
      <c r="E712" s="34"/>
      <c r="F712" s="34"/>
      <c r="G712" s="34"/>
      <c r="H712" s="34"/>
      <c r="L712" s="34"/>
      <c r="M712" s="35"/>
      <c r="N712" s="35"/>
      <c r="O712" s="35"/>
      <c r="P712" s="35"/>
    </row>
    <row r="713">
      <c r="A713" s="34"/>
      <c r="B713" s="34"/>
      <c r="C713" s="34"/>
      <c r="D713" s="34"/>
      <c r="E713" s="34"/>
      <c r="F713" s="34"/>
      <c r="G713" s="34"/>
      <c r="H713" s="34"/>
      <c r="L713" s="34"/>
      <c r="M713" s="35"/>
      <c r="N713" s="35"/>
      <c r="O713" s="35"/>
      <c r="P713" s="35"/>
    </row>
    <row r="714">
      <c r="A714" s="34"/>
      <c r="B714" s="34"/>
      <c r="C714" s="34"/>
      <c r="D714" s="34"/>
      <c r="E714" s="34"/>
      <c r="F714" s="34"/>
      <c r="G714" s="34"/>
      <c r="H714" s="34"/>
      <c r="L714" s="34"/>
      <c r="M714" s="35"/>
      <c r="N714" s="35"/>
      <c r="O714" s="35"/>
      <c r="P714" s="35"/>
    </row>
    <row r="715">
      <c r="A715" s="34"/>
      <c r="B715" s="34"/>
      <c r="C715" s="34"/>
      <c r="D715" s="34"/>
      <c r="E715" s="34"/>
      <c r="F715" s="34"/>
      <c r="G715" s="34"/>
      <c r="H715" s="34"/>
      <c r="L715" s="34"/>
      <c r="M715" s="35"/>
      <c r="N715" s="35"/>
      <c r="O715" s="35"/>
      <c r="P715" s="35"/>
    </row>
    <row r="716">
      <c r="A716" s="34"/>
      <c r="B716" s="34"/>
      <c r="C716" s="34"/>
      <c r="D716" s="34"/>
      <c r="E716" s="34"/>
      <c r="F716" s="34"/>
      <c r="G716" s="34"/>
      <c r="H716" s="34"/>
      <c r="L716" s="34"/>
      <c r="M716" s="35"/>
      <c r="N716" s="35"/>
      <c r="O716" s="35"/>
      <c r="P716" s="35"/>
    </row>
    <row r="717">
      <c r="A717" s="34"/>
      <c r="B717" s="34"/>
      <c r="C717" s="34"/>
      <c r="D717" s="34"/>
      <c r="E717" s="34"/>
      <c r="F717" s="34"/>
      <c r="G717" s="34"/>
      <c r="H717" s="34"/>
      <c r="L717" s="34"/>
      <c r="M717" s="35"/>
      <c r="N717" s="35"/>
      <c r="O717" s="35"/>
      <c r="P717" s="35"/>
    </row>
    <row r="718">
      <c r="A718" s="34"/>
      <c r="B718" s="34"/>
      <c r="C718" s="34"/>
      <c r="D718" s="34"/>
      <c r="E718" s="34"/>
      <c r="F718" s="34"/>
      <c r="G718" s="34"/>
      <c r="H718" s="34"/>
      <c r="L718" s="34"/>
      <c r="M718" s="35"/>
      <c r="N718" s="35"/>
      <c r="O718" s="35"/>
      <c r="P718" s="35"/>
    </row>
    <row r="719">
      <c r="A719" s="34"/>
      <c r="B719" s="34"/>
      <c r="C719" s="34"/>
      <c r="D719" s="34"/>
      <c r="E719" s="34"/>
      <c r="F719" s="34"/>
      <c r="G719" s="34"/>
      <c r="H719" s="34"/>
      <c r="L719" s="34"/>
      <c r="M719" s="35"/>
      <c r="N719" s="35"/>
      <c r="O719" s="35"/>
      <c r="P719" s="35"/>
    </row>
    <row r="720">
      <c r="A720" s="34"/>
      <c r="B720" s="34"/>
      <c r="C720" s="34"/>
      <c r="D720" s="34"/>
      <c r="E720" s="34"/>
      <c r="F720" s="34"/>
      <c r="G720" s="34"/>
      <c r="H720" s="34"/>
      <c r="L720" s="34"/>
      <c r="M720" s="35"/>
      <c r="N720" s="35"/>
      <c r="O720" s="35"/>
      <c r="P720" s="35"/>
    </row>
    <row r="721">
      <c r="A721" s="34"/>
      <c r="B721" s="34"/>
      <c r="C721" s="34"/>
      <c r="D721" s="34"/>
      <c r="E721" s="34"/>
      <c r="F721" s="34"/>
      <c r="G721" s="34"/>
      <c r="H721" s="34"/>
      <c r="L721" s="34"/>
      <c r="M721" s="35"/>
      <c r="N721" s="35"/>
      <c r="O721" s="35"/>
      <c r="P721" s="35"/>
    </row>
    <row r="722">
      <c r="A722" s="34"/>
      <c r="B722" s="34"/>
      <c r="C722" s="34"/>
      <c r="D722" s="34"/>
      <c r="E722" s="34"/>
      <c r="F722" s="34"/>
      <c r="G722" s="34"/>
      <c r="H722" s="34"/>
      <c r="L722" s="34"/>
      <c r="M722" s="35"/>
      <c r="N722" s="35"/>
      <c r="O722" s="35"/>
      <c r="P722" s="35"/>
    </row>
    <row r="723">
      <c r="A723" s="34"/>
      <c r="B723" s="34"/>
      <c r="C723" s="34"/>
      <c r="D723" s="34"/>
      <c r="E723" s="34"/>
      <c r="F723" s="34"/>
      <c r="G723" s="34"/>
      <c r="H723" s="34"/>
      <c r="L723" s="34"/>
      <c r="M723" s="35"/>
      <c r="N723" s="35"/>
      <c r="O723" s="35"/>
      <c r="P723" s="35"/>
    </row>
    <row r="724">
      <c r="A724" s="34"/>
      <c r="B724" s="34"/>
      <c r="C724" s="34"/>
      <c r="D724" s="34"/>
      <c r="E724" s="34"/>
      <c r="F724" s="34"/>
      <c r="G724" s="34"/>
      <c r="H724" s="34"/>
      <c r="L724" s="34"/>
      <c r="M724" s="35"/>
      <c r="N724" s="35"/>
      <c r="O724" s="35"/>
      <c r="P724" s="35"/>
    </row>
    <row r="725">
      <c r="A725" s="34"/>
      <c r="B725" s="34"/>
      <c r="C725" s="34"/>
      <c r="D725" s="34"/>
      <c r="E725" s="34"/>
      <c r="F725" s="34"/>
      <c r="G725" s="34"/>
      <c r="H725" s="34"/>
      <c r="L725" s="34"/>
      <c r="M725" s="35"/>
      <c r="N725" s="35"/>
      <c r="O725" s="35"/>
      <c r="P725" s="35"/>
    </row>
    <row r="726">
      <c r="A726" s="34"/>
      <c r="B726" s="34"/>
      <c r="C726" s="34"/>
      <c r="D726" s="34"/>
      <c r="E726" s="34"/>
      <c r="F726" s="34"/>
      <c r="G726" s="34"/>
      <c r="H726" s="34"/>
      <c r="L726" s="34"/>
      <c r="M726" s="35"/>
      <c r="N726" s="35"/>
      <c r="O726" s="35"/>
      <c r="P726" s="35"/>
    </row>
    <row r="727">
      <c r="A727" s="34"/>
      <c r="B727" s="34"/>
      <c r="C727" s="34"/>
      <c r="D727" s="34"/>
      <c r="E727" s="34"/>
      <c r="F727" s="34"/>
      <c r="G727" s="34"/>
      <c r="H727" s="34"/>
      <c r="L727" s="34"/>
      <c r="M727" s="35"/>
      <c r="N727" s="35"/>
      <c r="O727" s="35"/>
      <c r="P727" s="35"/>
    </row>
    <row r="728">
      <c r="A728" s="34"/>
      <c r="B728" s="34"/>
      <c r="C728" s="34"/>
      <c r="D728" s="34"/>
      <c r="E728" s="34"/>
      <c r="F728" s="34"/>
      <c r="G728" s="34"/>
      <c r="H728" s="34"/>
      <c r="L728" s="34"/>
      <c r="M728" s="35"/>
      <c r="N728" s="35"/>
      <c r="O728" s="35"/>
      <c r="P728" s="35"/>
    </row>
    <row r="729">
      <c r="A729" s="34"/>
      <c r="B729" s="34"/>
      <c r="C729" s="34"/>
      <c r="D729" s="34"/>
      <c r="E729" s="34"/>
      <c r="F729" s="34"/>
      <c r="G729" s="34"/>
      <c r="H729" s="34"/>
      <c r="L729" s="34"/>
      <c r="M729" s="35"/>
      <c r="N729" s="35"/>
      <c r="O729" s="35"/>
      <c r="P729" s="35"/>
    </row>
    <row r="730">
      <c r="A730" s="34"/>
      <c r="B730" s="34"/>
      <c r="C730" s="34"/>
      <c r="D730" s="34"/>
      <c r="E730" s="34"/>
      <c r="F730" s="34"/>
      <c r="G730" s="34"/>
      <c r="H730" s="34"/>
      <c r="L730" s="34"/>
      <c r="M730" s="35"/>
      <c r="N730" s="35"/>
      <c r="O730" s="35"/>
      <c r="P730" s="35"/>
    </row>
    <row r="731">
      <c r="A731" s="34"/>
      <c r="B731" s="34"/>
      <c r="C731" s="34"/>
      <c r="D731" s="34"/>
      <c r="E731" s="34"/>
      <c r="F731" s="34"/>
      <c r="G731" s="34"/>
      <c r="H731" s="34"/>
      <c r="L731" s="34"/>
      <c r="M731" s="35"/>
      <c r="N731" s="35"/>
      <c r="O731" s="35"/>
      <c r="P731" s="35"/>
    </row>
    <row r="732">
      <c r="A732" s="34"/>
      <c r="B732" s="34"/>
      <c r="C732" s="34"/>
      <c r="D732" s="34"/>
      <c r="E732" s="34"/>
      <c r="F732" s="34"/>
      <c r="G732" s="34"/>
      <c r="H732" s="34"/>
      <c r="L732" s="34"/>
      <c r="M732" s="35"/>
      <c r="N732" s="35"/>
      <c r="O732" s="35"/>
      <c r="P732" s="35"/>
    </row>
    <row r="733">
      <c r="A733" s="34"/>
      <c r="B733" s="34"/>
      <c r="C733" s="34"/>
      <c r="D733" s="34"/>
      <c r="E733" s="34"/>
      <c r="F733" s="34"/>
      <c r="G733" s="34"/>
      <c r="H733" s="34"/>
      <c r="L733" s="34"/>
      <c r="M733" s="35"/>
      <c r="N733" s="35"/>
      <c r="O733" s="35"/>
      <c r="P733" s="35"/>
    </row>
    <row r="734">
      <c r="A734" s="34"/>
      <c r="B734" s="34"/>
      <c r="C734" s="34"/>
      <c r="D734" s="34"/>
      <c r="E734" s="34"/>
      <c r="F734" s="34"/>
      <c r="G734" s="34"/>
      <c r="H734" s="34"/>
      <c r="L734" s="34"/>
      <c r="M734" s="35"/>
      <c r="N734" s="35"/>
      <c r="O734" s="35"/>
      <c r="P734" s="35"/>
    </row>
    <row r="735">
      <c r="A735" s="34"/>
      <c r="B735" s="34"/>
      <c r="C735" s="34"/>
      <c r="D735" s="34"/>
      <c r="E735" s="34"/>
      <c r="F735" s="34"/>
      <c r="G735" s="34"/>
      <c r="H735" s="34"/>
      <c r="L735" s="34"/>
      <c r="M735" s="35"/>
      <c r="N735" s="35"/>
      <c r="O735" s="35"/>
      <c r="P735" s="35"/>
    </row>
    <row r="736">
      <c r="A736" s="34"/>
      <c r="B736" s="34"/>
      <c r="C736" s="34"/>
      <c r="D736" s="34"/>
      <c r="E736" s="34"/>
      <c r="F736" s="34"/>
      <c r="G736" s="34"/>
      <c r="H736" s="34"/>
      <c r="L736" s="34"/>
      <c r="M736" s="35"/>
      <c r="N736" s="35"/>
      <c r="O736" s="35"/>
      <c r="P736" s="35"/>
    </row>
    <row r="737">
      <c r="A737" s="34"/>
      <c r="B737" s="34"/>
      <c r="C737" s="34"/>
      <c r="D737" s="34"/>
      <c r="E737" s="34"/>
      <c r="F737" s="34"/>
      <c r="G737" s="34"/>
      <c r="H737" s="34"/>
      <c r="L737" s="34"/>
      <c r="M737" s="35"/>
      <c r="N737" s="35"/>
      <c r="O737" s="35"/>
      <c r="P737" s="35"/>
    </row>
    <row r="738">
      <c r="A738" s="34"/>
      <c r="B738" s="34"/>
      <c r="C738" s="34"/>
      <c r="D738" s="34"/>
      <c r="E738" s="34"/>
      <c r="F738" s="34"/>
      <c r="G738" s="34"/>
      <c r="H738" s="34"/>
      <c r="L738" s="34"/>
      <c r="M738" s="35"/>
      <c r="N738" s="35"/>
      <c r="O738" s="35"/>
      <c r="P738" s="35"/>
    </row>
    <row r="739">
      <c r="A739" s="34"/>
      <c r="B739" s="34"/>
      <c r="C739" s="34"/>
      <c r="D739" s="34"/>
      <c r="E739" s="34"/>
      <c r="F739" s="34"/>
      <c r="G739" s="34"/>
      <c r="H739" s="34"/>
      <c r="L739" s="34"/>
      <c r="M739" s="35"/>
      <c r="N739" s="35"/>
      <c r="O739" s="35"/>
      <c r="P739" s="35"/>
    </row>
    <row r="740">
      <c r="A740" s="34"/>
      <c r="B740" s="34"/>
      <c r="C740" s="34"/>
      <c r="D740" s="34"/>
      <c r="E740" s="34"/>
      <c r="F740" s="34"/>
      <c r="G740" s="34"/>
      <c r="H740" s="34"/>
      <c r="L740" s="34"/>
      <c r="M740" s="35"/>
      <c r="N740" s="35"/>
      <c r="O740" s="35"/>
      <c r="P740" s="35"/>
    </row>
    <row r="741">
      <c r="A741" s="34"/>
      <c r="B741" s="34"/>
      <c r="C741" s="34"/>
      <c r="D741" s="34"/>
      <c r="E741" s="34"/>
      <c r="F741" s="34"/>
      <c r="G741" s="34"/>
      <c r="H741" s="34"/>
      <c r="L741" s="34"/>
      <c r="M741" s="35"/>
      <c r="N741" s="35"/>
      <c r="O741" s="35"/>
      <c r="P741" s="35"/>
    </row>
    <row r="742">
      <c r="A742" s="34"/>
      <c r="B742" s="34"/>
      <c r="C742" s="34"/>
      <c r="D742" s="34"/>
      <c r="E742" s="34"/>
      <c r="F742" s="34"/>
      <c r="G742" s="34"/>
      <c r="H742" s="34"/>
      <c r="L742" s="34"/>
      <c r="M742" s="35"/>
      <c r="N742" s="35"/>
      <c r="O742" s="35"/>
      <c r="P742" s="35"/>
    </row>
    <row r="743">
      <c r="A743" s="34"/>
      <c r="B743" s="34"/>
      <c r="C743" s="34"/>
      <c r="D743" s="34"/>
      <c r="E743" s="34"/>
      <c r="F743" s="34"/>
      <c r="G743" s="34"/>
      <c r="H743" s="34"/>
      <c r="L743" s="34"/>
      <c r="M743" s="35"/>
      <c r="N743" s="35"/>
      <c r="O743" s="35"/>
      <c r="P743" s="35"/>
    </row>
    <row r="744">
      <c r="A744" s="34"/>
      <c r="B744" s="34"/>
      <c r="C744" s="34"/>
      <c r="D744" s="34"/>
      <c r="E744" s="34"/>
      <c r="F744" s="34"/>
      <c r="G744" s="34"/>
      <c r="H744" s="34"/>
      <c r="L744" s="34"/>
      <c r="M744" s="35"/>
      <c r="N744" s="35"/>
      <c r="O744" s="35"/>
      <c r="P744" s="35"/>
    </row>
    <row r="745">
      <c r="A745" s="34"/>
      <c r="B745" s="34"/>
      <c r="C745" s="34"/>
      <c r="D745" s="34"/>
      <c r="E745" s="34"/>
      <c r="F745" s="34"/>
      <c r="G745" s="34"/>
      <c r="H745" s="34"/>
      <c r="L745" s="34"/>
      <c r="M745" s="35"/>
      <c r="N745" s="35"/>
      <c r="O745" s="35"/>
      <c r="P745" s="35"/>
    </row>
    <row r="746">
      <c r="A746" s="34"/>
      <c r="B746" s="34"/>
      <c r="C746" s="34"/>
      <c r="D746" s="34"/>
      <c r="E746" s="34"/>
      <c r="F746" s="34"/>
      <c r="G746" s="34"/>
      <c r="H746" s="34"/>
      <c r="L746" s="34"/>
      <c r="M746" s="35"/>
      <c r="N746" s="35"/>
      <c r="O746" s="35"/>
      <c r="P746" s="35"/>
    </row>
    <row r="747">
      <c r="A747" s="34"/>
      <c r="B747" s="34"/>
      <c r="C747" s="34"/>
      <c r="D747" s="34"/>
      <c r="E747" s="34"/>
      <c r="F747" s="34"/>
      <c r="G747" s="34"/>
      <c r="H747" s="34"/>
      <c r="L747" s="34"/>
      <c r="M747" s="35"/>
      <c r="N747" s="35"/>
      <c r="O747" s="35"/>
      <c r="P747" s="35"/>
    </row>
    <row r="748">
      <c r="A748" s="34"/>
      <c r="B748" s="34"/>
      <c r="C748" s="34"/>
      <c r="D748" s="34"/>
      <c r="E748" s="34"/>
      <c r="F748" s="34"/>
      <c r="G748" s="34"/>
      <c r="H748" s="34"/>
      <c r="L748" s="34"/>
      <c r="M748" s="35"/>
      <c r="N748" s="35"/>
      <c r="O748" s="35"/>
      <c r="P748" s="35"/>
    </row>
    <row r="749">
      <c r="A749" s="34"/>
      <c r="B749" s="34"/>
      <c r="C749" s="34"/>
      <c r="D749" s="34"/>
      <c r="E749" s="34"/>
      <c r="F749" s="34"/>
      <c r="G749" s="34"/>
      <c r="H749" s="34"/>
      <c r="L749" s="34"/>
      <c r="M749" s="35"/>
      <c r="N749" s="35"/>
      <c r="O749" s="35"/>
      <c r="P749" s="35"/>
    </row>
    <row r="750">
      <c r="A750" s="34"/>
      <c r="B750" s="34"/>
      <c r="C750" s="34"/>
      <c r="D750" s="34"/>
      <c r="E750" s="34"/>
      <c r="F750" s="34"/>
      <c r="G750" s="34"/>
      <c r="H750" s="34"/>
      <c r="L750" s="34"/>
      <c r="M750" s="35"/>
      <c r="N750" s="35"/>
      <c r="O750" s="35"/>
      <c r="P750" s="35"/>
    </row>
    <row r="751">
      <c r="A751" s="34"/>
      <c r="B751" s="34"/>
      <c r="C751" s="34"/>
      <c r="D751" s="34"/>
      <c r="E751" s="34"/>
      <c r="F751" s="34"/>
      <c r="G751" s="34"/>
      <c r="H751" s="34"/>
      <c r="L751" s="34"/>
      <c r="M751" s="35"/>
      <c r="N751" s="35"/>
      <c r="O751" s="35"/>
      <c r="P751" s="35"/>
    </row>
    <row r="752">
      <c r="A752" s="34"/>
      <c r="B752" s="34"/>
      <c r="C752" s="34"/>
      <c r="D752" s="34"/>
      <c r="E752" s="34"/>
      <c r="F752" s="34"/>
      <c r="G752" s="34"/>
      <c r="H752" s="34"/>
      <c r="L752" s="34"/>
      <c r="M752" s="35"/>
      <c r="N752" s="35"/>
      <c r="O752" s="35"/>
      <c r="P752" s="35"/>
    </row>
    <row r="753">
      <c r="A753" s="34"/>
      <c r="B753" s="34"/>
      <c r="C753" s="34"/>
      <c r="D753" s="34"/>
      <c r="E753" s="34"/>
      <c r="F753" s="34"/>
      <c r="G753" s="34"/>
      <c r="H753" s="34"/>
      <c r="L753" s="34"/>
      <c r="M753" s="35"/>
      <c r="N753" s="35"/>
      <c r="O753" s="35"/>
      <c r="P753" s="35"/>
    </row>
    <row r="754">
      <c r="A754" s="34"/>
      <c r="B754" s="34"/>
      <c r="C754" s="34"/>
      <c r="D754" s="34"/>
      <c r="E754" s="34"/>
      <c r="F754" s="34"/>
      <c r="G754" s="34"/>
      <c r="H754" s="34"/>
      <c r="L754" s="34"/>
      <c r="M754" s="35"/>
      <c r="N754" s="35"/>
      <c r="O754" s="35"/>
      <c r="P754" s="35"/>
    </row>
    <row r="755">
      <c r="A755" s="34"/>
      <c r="B755" s="34"/>
      <c r="C755" s="34"/>
      <c r="D755" s="34"/>
      <c r="E755" s="34"/>
      <c r="F755" s="34"/>
      <c r="G755" s="34"/>
      <c r="H755" s="34"/>
      <c r="L755" s="34"/>
      <c r="M755" s="35"/>
      <c r="N755" s="35"/>
      <c r="O755" s="35"/>
      <c r="P755" s="35"/>
    </row>
    <row r="756">
      <c r="A756" s="34"/>
      <c r="B756" s="34"/>
      <c r="C756" s="34"/>
      <c r="D756" s="34"/>
      <c r="E756" s="34"/>
      <c r="F756" s="34"/>
      <c r="G756" s="34"/>
      <c r="H756" s="34"/>
      <c r="L756" s="34"/>
      <c r="M756" s="35"/>
      <c r="N756" s="35"/>
      <c r="O756" s="35"/>
      <c r="P756" s="35"/>
    </row>
    <row r="757">
      <c r="A757" s="34"/>
      <c r="B757" s="34"/>
      <c r="C757" s="34"/>
      <c r="D757" s="34"/>
      <c r="E757" s="34"/>
      <c r="F757" s="34"/>
      <c r="G757" s="34"/>
      <c r="H757" s="34"/>
      <c r="L757" s="34"/>
      <c r="M757" s="35"/>
      <c r="N757" s="35"/>
      <c r="O757" s="35"/>
      <c r="P757" s="35"/>
    </row>
    <row r="758">
      <c r="A758" s="34"/>
      <c r="B758" s="34"/>
      <c r="C758" s="34"/>
      <c r="D758" s="34"/>
      <c r="E758" s="34"/>
      <c r="F758" s="34"/>
      <c r="G758" s="34"/>
      <c r="H758" s="34"/>
      <c r="L758" s="34"/>
      <c r="M758" s="35"/>
      <c r="N758" s="35"/>
      <c r="O758" s="35"/>
      <c r="P758" s="35"/>
    </row>
    <row r="759">
      <c r="A759" s="34"/>
      <c r="B759" s="34"/>
      <c r="C759" s="34"/>
      <c r="D759" s="34"/>
      <c r="E759" s="34"/>
      <c r="F759" s="34"/>
      <c r="G759" s="34"/>
      <c r="H759" s="34"/>
      <c r="L759" s="34"/>
      <c r="M759" s="35"/>
      <c r="N759" s="35"/>
      <c r="O759" s="35"/>
      <c r="P759" s="35"/>
    </row>
    <row r="760">
      <c r="A760" s="34"/>
      <c r="B760" s="34"/>
      <c r="C760" s="34"/>
      <c r="D760" s="34"/>
      <c r="E760" s="34"/>
      <c r="F760" s="34"/>
      <c r="G760" s="34"/>
      <c r="H760" s="34"/>
      <c r="L760" s="34"/>
      <c r="M760" s="35"/>
      <c r="N760" s="35"/>
      <c r="O760" s="35"/>
      <c r="P760" s="35"/>
    </row>
    <row r="761">
      <c r="A761" s="34"/>
      <c r="B761" s="34"/>
      <c r="C761" s="34"/>
      <c r="D761" s="34"/>
      <c r="E761" s="34"/>
      <c r="F761" s="34"/>
      <c r="G761" s="34"/>
      <c r="H761" s="34"/>
      <c r="L761" s="34"/>
      <c r="M761" s="35"/>
      <c r="N761" s="35"/>
      <c r="O761" s="35"/>
      <c r="P761" s="35"/>
    </row>
    <row r="762">
      <c r="A762" s="34"/>
      <c r="B762" s="34"/>
      <c r="C762" s="34"/>
      <c r="D762" s="34"/>
      <c r="E762" s="34"/>
      <c r="F762" s="34"/>
      <c r="G762" s="34"/>
      <c r="H762" s="34"/>
      <c r="L762" s="34"/>
      <c r="M762" s="35"/>
      <c r="N762" s="35"/>
      <c r="O762" s="35"/>
      <c r="P762" s="35"/>
    </row>
    <row r="763">
      <c r="A763" s="34"/>
      <c r="B763" s="34"/>
      <c r="C763" s="34"/>
      <c r="D763" s="34"/>
      <c r="E763" s="34"/>
      <c r="F763" s="34"/>
      <c r="G763" s="34"/>
      <c r="H763" s="34"/>
      <c r="L763" s="34"/>
      <c r="M763" s="35"/>
      <c r="N763" s="35"/>
      <c r="O763" s="35"/>
      <c r="P763" s="35"/>
    </row>
    <row r="764">
      <c r="A764" s="34"/>
      <c r="B764" s="34"/>
      <c r="C764" s="34"/>
      <c r="D764" s="34"/>
      <c r="E764" s="34"/>
      <c r="F764" s="34"/>
      <c r="G764" s="34"/>
      <c r="H764" s="34"/>
      <c r="L764" s="34"/>
      <c r="M764" s="35"/>
      <c r="N764" s="35"/>
      <c r="O764" s="35"/>
      <c r="P764" s="35"/>
    </row>
    <row r="765">
      <c r="A765" s="34"/>
      <c r="B765" s="34"/>
      <c r="C765" s="34"/>
      <c r="D765" s="34"/>
      <c r="E765" s="34"/>
      <c r="F765" s="34"/>
      <c r="G765" s="34"/>
      <c r="H765" s="34"/>
      <c r="L765" s="34"/>
      <c r="M765" s="35"/>
      <c r="N765" s="35"/>
      <c r="O765" s="35"/>
      <c r="P765" s="35"/>
    </row>
    <row r="766">
      <c r="A766" s="34"/>
      <c r="B766" s="34"/>
      <c r="C766" s="34"/>
      <c r="D766" s="34"/>
      <c r="E766" s="34"/>
      <c r="F766" s="34"/>
      <c r="G766" s="34"/>
      <c r="H766" s="34"/>
      <c r="L766" s="34"/>
      <c r="M766" s="35"/>
      <c r="N766" s="35"/>
      <c r="O766" s="35"/>
      <c r="P766" s="35"/>
    </row>
    <row r="767">
      <c r="A767" s="34"/>
      <c r="B767" s="34"/>
      <c r="C767" s="34"/>
      <c r="D767" s="34"/>
      <c r="E767" s="34"/>
      <c r="F767" s="34"/>
      <c r="G767" s="34"/>
      <c r="H767" s="34"/>
      <c r="L767" s="34"/>
      <c r="M767" s="35"/>
      <c r="N767" s="35"/>
      <c r="O767" s="35"/>
      <c r="P767" s="35"/>
    </row>
    <row r="768">
      <c r="A768" s="34"/>
      <c r="B768" s="34"/>
      <c r="C768" s="34"/>
      <c r="D768" s="34"/>
      <c r="E768" s="34"/>
      <c r="F768" s="34"/>
      <c r="G768" s="34"/>
      <c r="H768" s="34"/>
      <c r="L768" s="34"/>
      <c r="M768" s="35"/>
      <c r="N768" s="35"/>
      <c r="O768" s="35"/>
      <c r="P768" s="35"/>
    </row>
    <row r="769">
      <c r="A769" s="34"/>
      <c r="B769" s="34"/>
      <c r="C769" s="34"/>
      <c r="D769" s="34"/>
      <c r="E769" s="34"/>
      <c r="F769" s="34"/>
      <c r="G769" s="34"/>
      <c r="H769" s="34"/>
      <c r="L769" s="34"/>
      <c r="M769" s="35"/>
      <c r="N769" s="35"/>
      <c r="O769" s="35"/>
      <c r="P769" s="35"/>
    </row>
    <row r="770">
      <c r="A770" s="34"/>
      <c r="B770" s="34"/>
      <c r="C770" s="34"/>
      <c r="D770" s="34"/>
      <c r="E770" s="34"/>
      <c r="F770" s="34"/>
      <c r="G770" s="34"/>
      <c r="H770" s="34"/>
      <c r="L770" s="34"/>
      <c r="M770" s="35"/>
      <c r="N770" s="35"/>
      <c r="O770" s="35"/>
      <c r="P770" s="35"/>
    </row>
    <row r="771">
      <c r="A771" s="34"/>
      <c r="B771" s="34"/>
      <c r="C771" s="34"/>
      <c r="D771" s="34"/>
      <c r="E771" s="34"/>
      <c r="F771" s="34"/>
      <c r="G771" s="34"/>
      <c r="H771" s="34"/>
      <c r="L771" s="34"/>
      <c r="M771" s="35"/>
      <c r="N771" s="35"/>
      <c r="O771" s="35"/>
      <c r="P771" s="35"/>
    </row>
    <row r="772">
      <c r="A772" s="34"/>
      <c r="B772" s="34"/>
      <c r="C772" s="34"/>
      <c r="D772" s="34"/>
      <c r="E772" s="34"/>
      <c r="F772" s="34"/>
      <c r="G772" s="34"/>
      <c r="H772" s="34"/>
      <c r="L772" s="34"/>
      <c r="M772" s="35"/>
      <c r="N772" s="35"/>
      <c r="O772" s="35"/>
      <c r="P772" s="35"/>
    </row>
    <row r="773">
      <c r="A773" s="34"/>
      <c r="B773" s="34"/>
      <c r="C773" s="34"/>
      <c r="D773" s="34"/>
      <c r="E773" s="34"/>
      <c r="F773" s="34"/>
      <c r="G773" s="34"/>
      <c r="H773" s="34"/>
      <c r="L773" s="34"/>
      <c r="M773" s="35"/>
      <c r="N773" s="35"/>
      <c r="O773" s="35"/>
      <c r="P773" s="35"/>
    </row>
    <row r="774">
      <c r="A774" s="34"/>
      <c r="B774" s="34"/>
      <c r="C774" s="34"/>
      <c r="D774" s="34"/>
      <c r="E774" s="34"/>
      <c r="F774" s="34"/>
      <c r="G774" s="34"/>
      <c r="H774" s="34"/>
      <c r="L774" s="34"/>
      <c r="M774" s="35"/>
      <c r="N774" s="35"/>
      <c r="O774" s="35"/>
      <c r="P774" s="35"/>
    </row>
    <row r="775">
      <c r="A775" s="34"/>
      <c r="B775" s="34"/>
      <c r="C775" s="34"/>
      <c r="D775" s="34"/>
      <c r="E775" s="34"/>
      <c r="F775" s="34"/>
      <c r="G775" s="34"/>
      <c r="H775" s="34"/>
      <c r="L775" s="34"/>
      <c r="M775" s="35"/>
      <c r="N775" s="35"/>
      <c r="O775" s="35"/>
      <c r="P775" s="35"/>
    </row>
    <row r="776">
      <c r="A776" s="34"/>
      <c r="B776" s="34"/>
      <c r="C776" s="34"/>
      <c r="D776" s="34"/>
      <c r="E776" s="34"/>
      <c r="F776" s="34"/>
      <c r="G776" s="34"/>
      <c r="H776" s="34"/>
      <c r="L776" s="34"/>
      <c r="M776" s="35"/>
      <c r="N776" s="35"/>
      <c r="O776" s="35"/>
      <c r="P776" s="35"/>
    </row>
    <row r="777">
      <c r="A777" s="34"/>
      <c r="B777" s="34"/>
      <c r="C777" s="34"/>
      <c r="D777" s="34"/>
      <c r="E777" s="34"/>
      <c r="F777" s="34"/>
      <c r="G777" s="34"/>
      <c r="H777" s="34"/>
      <c r="L777" s="34"/>
      <c r="M777" s="35"/>
      <c r="N777" s="35"/>
      <c r="O777" s="35"/>
      <c r="P777" s="35"/>
    </row>
    <row r="778">
      <c r="A778" s="34"/>
      <c r="B778" s="34"/>
      <c r="C778" s="34"/>
      <c r="D778" s="34"/>
      <c r="E778" s="34"/>
      <c r="F778" s="34"/>
      <c r="G778" s="34"/>
      <c r="H778" s="34"/>
      <c r="L778" s="34"/>
      <c r="M778" s="35"/>
      <c r="N778" s="35"/>
      <c r="O778" s="35"/>
      <c r="P778" s="35"/>
    </row>
    <row r="779">
      <c r="A779" s="34"/>
      <c r="B779" s="34"/>
      <c r="C779" s="34"/>
      <c r="D779" s="34"/>
      <c r="E779" s="34"/>
      <c r="F779" s="34"/>
      <c r="G779" s="34"/>
      <c r="H779" s="34"/>
      <c r="L779" s="34"/>
      <c r="M779" s="35"/>
      <c r="N779" s="35"/>
      <c r="O779" s="35"/>
      <c r="P779" s="35"/>
    </row>
    <row r="780">
      <c r="A780" s="34"/>
      <c r="B780" s="34"/>
      <c r="C780" s="34"/>
      <c r="D780" s="34"/>
      <c r="E780" s="34"/>
      <c r="F780" s="34"/>
      <c r="G780" s="34"/>
      <c r="H780" s="34"/>
      <c r="L780" s="34"/>
      <c r="M780" s="35"/>
      <c r="N780" s="35"/>
      <c r="O780" s="35"/>
      <c r="P780" s="35"/>
    </row>
    <row r="781">
      <c r="A781" s="34"/>
      <c r="B781" s="34"/>
      <c r="C781" s="34"/>
      <c r="D781" s="34"/>
      <c r="E781" s="34"/>
      <c r="F781" s="34"/>
      <c r="G781" s="34"/>
      <c r="H781" s="34"/>
      <c r="L781" s="34"/>
      <c r="M781" s="35"/>
      <c r="N781" s="35"/>
      <c r="O781" s="35"/>
      <c r="P781" s="35"/>
    </row>
    <row r="782">
      <c r="A782" s="34"/>
      <c r="B782" s="34"/>
      <c r="C782" s="34"/>
      <c r="D782" s="34"/>
      <c r="E782" s="34"/>
      <c r="F782" s="34"/>
      <c r="G782" s="34"/>
      <c r="H782" s="34"/>
      <c r="L782" s="34"/>
      <c r="M782" s="35"/>
      <c r="N782" s="35"/>
      <c r="O782" s="35"/>
      <c r="P782" s="35"/>
    </row>
    <row r="783">
      <c r="A783" s="34"/>
      <c r="B783" s="34"/>
      <c r="C783" s="34"/>
      <c r="D783" s="34"/>
      <c r="E783" s="34"/>
      <c r="F783" s="34"/>
      <c r="G783" s="34"/>
      <c r="H783" s="34"/>
      <c r="L783" s="34"/>
      <c r="M783" s="35"/>
      <c r="N783" s="35"/>
      <c r="O783" s="35"/>
      <c r="P783" s="35"/>
    </row>
    <row r="784">
      <c r="A784" s="34"/>
      <c r="B784" s="34"/>
      <c r="C784" s="34"/>
      <c r="D784" s="34"/>
      <c r="E784" s="34"/>
      <c r="F784" s="34"/>
      <c r="G784" s="34"/>
      <c r="H784" s="34"/>
      <c r="L784" s="34"/>
      <c r="M784" s="35"/>
      <c r="N784" s="35"/>
      <c r="O784" s="35"/>
      <c r="P784" s="35"/>
    </row>
    <row r="785">
      <c r="A785" s="34"/>
      <c r="B785" s="34"/>
      <c r="C785" s="34"/>
      <c r="D785" s="34"/>
      <c r="E785" s="34"/>
      <c r="F785" s="34"/>
      <c r="G785" s="34"/>
      <c r="H785" s="34"/>
      <c r="L785" s="34"/>
      <c r="M785" s="35"/>
      <c r="N785" s="35"/>
      <c r="O785" s="35"/>
      <c r="P785" s="35"/>
    </row>
    <row r="786">
      <c r="A786" s="34"/>
      <c r="B786" s="34"/>
      <c r="C786" s="34"/>
      <c r="D786" s="34"/>
      <c r="E786" s="34"/>
      <c r="F786" s="34"/>
      <c r="G786" s="34"/>
      <c r="H786" s="34"/>
      <c r="L786" s="34"/>
      <c r="M786" s="35"/>
      <c r="N786" s="35"/>
      <c r="O786" s="35"/>
      <c r="P786" s="35"/>
    </row>
    <row r="787">
      <c r="A787" s="34"/>
      <c r="B787" s="34"/>
      <c r="C787" s="34"/>
      <c r="D787" s="34"/>
      <c r="E787" s="34"/>
      <c r="F787" s="34"/>
      <c r="G787" s="34"/>
      <c r="H787" s="34"/>
      <c r="L787" s="34"/>
      <c r="M787" s="35"/>
      <c r="N787" s="35"/>
      <c r="O787" s="35"/>
      <c r="P787" s="35"/>
    </row>
    <row r="788">
      <c r="A788" s="34"/>
      <c r="B788" s="34"/>
      <c r="C788" s="34"/>
      <c r="D788" s="34"/>
      <c r="E788" s="34"/>
      <c r="F788" s="34"/>
      <c r="G788" s="34"/>
      <c r="H788" s="34"/>
      <c r="L788" s="34"/>
      <c r="M788" s="35"/>
      <c r="N788" s="35"/>
      <c r="O788" s="35"/>
      <c r="P788" s="35"/>
    </row>
    <row r="789">
      <c r="A789" s="34"/>
      <c r="B789" s="34"/>
      <c r="C789" s="34"/>
      <c r="D789" s="34"/>
      <c r="E789" s="34"/>
      <c r="F789" s="34"/>
      <c r="G789" s="34"/>
      <c r="H789" s="34"/>
      <c r="L789" s="34"/>
      <c r="M789" s="35"/>
      <c r="N789" s="35"/>
      <c r="O789" s="35"/>
      <c r="P789" s="35"/>
    </row>
    <row r="790">
      <c r="A790" s="34"/>
      <c r="B790" s="34"/>
      <c r="C790" s="34"/>
      <c r="D790" s="34"/>
      <c r="E790" s="34"/>
      <c r="F790" s="34"/>
      <c r="G790" s="34"/>
      <c r="H790" s="34"/>
      <c r="L790" s="34"/>
      <c r="M790" s="35"/>
      <c r="N790" s="35"/>
      <c r="O790" s="35"/>
      <c r="P790" s="35"/>
    </row>
    <row r="791">
      <c r="A791" s="34"/>
      <c r="B791" s="34"/>
      <c r="C791" s="34"/>
      <c r="D791" s="34"/>
      <c r="E791" s="34"/>
      <c r="F791" s="34"/>
      <c r="G791" s="34"/>
      <c r="H791" s="34"/>
      <c r="L791" s="34"/>
      <c r="M791" s="35"/>
      <c r="N791" s="35"/>
      <c r="O791" s="35"/>
      <c r="P791" s="35"/>
    </row>
    <row r="792">
      <c r="A792" s="34"/>
      <c r="B792" s="34"/>
      <c r="C792" s="34"/>
      <c r="D792" s="34"/>
      <c r="E792" s="34"/>
      <c r="F792" s="34"/>
      <c r="G792" s="34"/>
      <c r="H792" s="34"/>
      <c r="L792" s="34"/>
      <c r="M792" s="35"/>
      <c r="N792" s="35"/>
      <c r="O792" s="35"/>
      <c r="P792" s="35"/>
    </row>
    <row r="793">
      <c r="A793" s="34"/>
      <c r="B793" s="34"/>
      <c r="C793" s="34"/>
      <c r="D793" s="34"/>
      <c r="E793" s="34"/>
      <c r="F793" s="34"/>
      <c r="G793" s="34"/>
      <c r="H793" s="34"/>
      <c r="L793" s="34"/>
      <c r="M793" s="35"/>
      <c r="N793" s="35"/>
      <c r="O793" s="35"/>
      <c r="P793" s="35"/>
    </row>
    <row r="794">
      <c r="A794" s="34"/>
      <c r="B794" s="34"/>
      <c r="C794" s="34"/>
      <c r="D794" s="34"/>
      <c r="E794" s="34"/>
      <c r="F794" s="34"/>
      <c r="G794" s="34"/>
      <c r="H794" s="34"/>
      <c r="L794" s="34"/>
      <c r="M794" s="35"/>
      <c r="N794" s="35"/>
      <c r="O794" s="35"/>
      <c r="P794" s="35"/>
    </row>
    <row r="795">
      <c r="A795" s="34"/>
      <c r="B795" s="34"/>
      <c r="C795" s="34"/>
      <c r="D795" s="34"/>
      <c r="E795" s="34"/>
      <c r="F795" s="34"/>
      <c r="G795" s="34"/>
      <c r="H795" s="34"/>
      <c r="L795" s="34"/>
      <c r="M795" s="35"/>
      <c r="N795" s="35"/>
      <c r="O795" s="35"/>
      <c r="P795" s="35"/>
    </row>
    <row r="796">
      <c r="A796" s="34"/>
      <c r="B796" s="34"/>
      <c r="C796" s="34"/>
      <c r="D796" s="34"/>
      <c r="E796" s="34"/>
      <c r="F796" s="34"/>
      <c r="G796" s="34"/>
      <c r="H796" s="34"/>
      <c r="L796" s="34"/>
      <c r="M796" s="35"/>
      <c r="N796" s="35"/>
      <c r="O796" s="35"/>
      <c r="P796" s="35"/>
    </row>
    <row r="797">
      <c r="A797" s="34"/>
      <c r="B797" s="34"/>
      <c r="C797" s="34"/>
      <c r="D797" s="34"/>
      <c r="E797" s="34"/>
      <c r="F797" s="34"/>
      <c r="G797" s="34"/>
      <c r="H797" s="34"/>
      <c r="L797" s="34"/>
      <c r="M797" s="35"/>
      <c r="N797" s="35"/>
      <c r="O797" s="35"/>
      <c r="P797" s="35"/>
    </row>
    <row r="798">
      <c r="A798" s="34"/>
      <c r="B798" s="34"/>
      <c r="C798" s="34"/>
      <c r="D798" s="34"/>
      <c r="E798" s="34"/>
      <c r="F798" s="34"/>
      <c r="G798" s="34"/>
      <c r="H798" s="34"/>
      <c r="L798" s="34"/>
      <c r="M798" s="35"/>
      <c r="N798" s="35"/>
      <c r="O798" s="35"/>
      <c r="P798" s="35"/>
    </row>
    <row r="799">
      <c r="A799" s="34"/>
      <c r="B799" s="34"/>
      <c r="C799" s="34"/>
      <c r="D799" s="34"/>
      <c r="E799" s="34"/>
      <c r="F799" s="34"/>
      <c r="G799" s="34"/>
      <c r="H799" s="34"/>
      <c r="L799" s="34"/>
      <c r="M799" s="35"/>
      <c r="N799" s="35"/>
      <c r="O799" s="35"/>
      <c r="P799" s="35"/>
    </row>
    <row r="800">
      <c r="A800" s="34"/>
      <c r="B800" s="34"/>
      <c r="C800" s="34"/>
      <c r="D800" s="34"/>
      <c r="E800" s="34"/>
      <c r="F800" s="34"/>
      <c r="G800" s="34"/>
      <c r="H800" s="34"/>
      <c r="L800" s="34"/>
      <c r="M800" s="35"/>
      <c r="N800" s="35"/>
      <c r="O800" s="35"/>
      <c r="P800" s="35"/>
    </row>
    <row r="801">
      <c r="A801" s="34"/>
      <c r="B801" s="34"/>
      <c r="C801" s="34"/>
      <c r="D801" s="34"/>
      <c r="E801" s="34"/>
      <c r="F801" s="34"/>
      <c r="G801" s="34"/>
      <c r="H801" s="34"/>
      <c r="L801" s="34"/>
      <c r="M801" s="35"/>
      <c r="N801" s="35"/>
      <c r="O801" s="35"/>
      <c r="P801" s="35"/>
    </row>
    <row r="802">
      <c r="A802" s="34"/>
      <c r="B802" s="34"/>
      <c r="C802" s="34"/>
      <c r="D802" s="34"/>
      <c r="E802" s="34"/>
      <c r="F802" s="34"/>
      <c r="G802" s="34"/>
      <c r="H802" s="34"/>
      <c r="L802" s="34"/>
      <c r="M802" s="35"/>
      <c r="N802" s="35"/>
      <c r="O802" s="35"/>
      <c r="P802" s="35"/>
    </row>
    <row r="803">
      <c r="A803" s="34"/>
      <c r="B803" s="34"/>
      <c r="C803" s="34"/>
      <c r="D803" s="34"/>
      <c r="E803" s="34"/>
      <c r="F803" s="34"/>
      <c r="G803" s="34"/>
      <c r="H803" s="34"/>
      <c r="L803" s="34"/>
      <c r="M803" s="35"/>
      <c r="N803" s="35"/>
      <c r="O803" s="35"/>
      <c r="P803" s="35"/>
    </row>
    <row r="804">
      <c r="A804" s="34"/>
      <c r="B804" s="34"/>
      <c r="C804" s="34"/>
      <c r="D804" s="34"/>
      <c r="E804" s="34"/>
      <c r="F804" s="34"/>
      <c r="G804" s="34"/>
      <c r="H804" s="34"/>
      <c r="L804" s="34"/>
      <c r="M804" s="35"/>
      <c r="N804" s="35"/>
      <c r="O804" s="35"/>
      <c r="P804" s="35"/>
    </row>
    <row r="805">
      <c r="A805" s="34"/>
      <c r="B805" s="34"/>
      <c r="C805" s="34"/>
      <c r="D805" s="34"/>
      <c r="E805" s="34"/>
      <c r="F805" s="34"/>
      <c r="G805" s="34"/>
      <c r="H805" s="34"/>
      <c r="L805" s="34"/>
      <c r="M805" s="35"/>
      <c r="N805" s="35"/>
      <c r="O805" s="35"/>
      <c r="P805" s="35"/>
    </row>
    <row r="806">
      <c r="A806" s="34"/>
      <c r="B806" s="34"/>
      <c r="C806" s="34"/>
      <c r="D806" s="34"/>
      <c r="E806" s="34"/>
      <c r="F806" s="34"/>
      <c r="G806" s="34"/>
      <c r="H806" s="34"/>
      <c r="L806" s="34"/>
      <c r="M806" s="35"/>
      <c r="N806" s="35"/>
      <c r="O806" s="35"/>
      <c r="P806" s="35"/>
    </row>
    <row r="807">
      <c r="A807" s="34"/>
      <c r="B807" s="34"/>
      <c r="C807" s="34"/>
      <c r="D807" s="34"/>
      <c r="E807" s="34"/>
      <c r="F807" s="34"/>
      <c r="G807" s="34"/>
      <c r="H807" s="34"/>
      <c r="L807" s="34"/>
      <c r="M807" s="35"/>
      <c r="N807" s="35"/>
      <c r="O807" s="35"/>
      <c r="P807" s="35"/>
    </row>
    <row r="808">
      <c r="A808" s="34"/>
      <c r="B808" s="34"/>
      <c r="C808" s="34"/>
      <c r="D808" s="34"/>
      <c r="E808" s="34"/>
      <c r="F808" s="34"/>
      <c r="G808" s="34"/>
      <c r="H808" s="34"/>
      <c r="L808" s="34"/>
      <c r="M808" s="35"/>
      <c r="N808" s="35"/>
      <c r="O808" s="35"/>
      <c r="P808" s="35"/>
    </row>
    <row r="809">
      <c r="A809" s="34"/>
      <c r="B809" s="34"/>
      <c r="C809" s="34"/>
      <c r="D809" s="34"/>
      <c r="E809" s="34"/>
      <c r="F809" s="34"/>
      <c r="G809" s="34"/>
      <c r="H809" s="34"/>
      <c r="L809" s="34"/>
      <c r="M809" s="35"/>
      <c r="N809" s="35"/>
      <c r="O809" s="35"/>
      <c r="P809" s="35"/>
    </row>
    <row r="810">
      <c r="A810" s="34"/>
      <c r="B810" s="34"/>
      <c r="C810" s="34"/>
      <c r="D810" s="34"/>
      <c r="E810" s="34"/>
      <c r="F810" s="34"/>
      <c r="G810" s="34"/>
      <c r="H810" s="34"/>
      <c r="L810" s="34"/>
      <c r="M810" s="35"/>
      <c r="N810" s="35"/>
      <c r="O810" s="35"/>
      <c r="P810" s="35"/>
    </row>
    <row r="811">
      <c r="A811" s="34"/>
      <c r="B811" s="34"/>
      <c r="C811" s="34"/>
      <c r="D811" s="34"/>
      <c r="E811" s="34"/>
      <c r="F811" s="34"/>
      <c r="G811" s="34"/>
      <c r="H811" s="34"/>
      <c r="L811" s="34"/>
      <c r="M811" s="35"/>
      <c r="N811" s="35"/>
      <c r="O811" s="35"/>
      <c r="P811" s="35"/>
    </row>
    <row r="812">
      <c r="A812" s="34"/>
      <c r="B812" s="34"/>
      <c r="C812" s="34"/>
      <c r="D812" s="34"/>
      <c r="E812" s="34"/>
      <c r="F812" s="34"/>
      <c r="G812" s="34"/>
      <c r="H812" s="34"/>
      <c r="L812" s="34"/>
      <c r="M812" s="35"/>
      <c r="N812" s="35"/>
      <c r="O812" s="35"/>
      <c r="P812" s="35"/>
    </row>
    <row r="813">
      <c r="A813" s="34"/>
      <c r="B813" s="34"/>
      <c r="C813" s="34"/>
      <c r="D813" s="34"/>
      <c r="E813" s="34"/>
      <c r="F813" s="34"/>
      <c r="G813" s="34"/>
      <c r="H813" s="34"/>
      <c r="L813" s="34"/>
      <c r="M813" s="35"/>
      <c r="N813" s="35"/>
      <c r="O813" s="35"/>
      <c r="P813" s="35"/>
    </row>
    <row r="814">
      <c r="A814" s="34"/>
      <c r="B814" s="34"/>
      <c r="C814" s="34"/>
      <c r="D814" s="34"/>
      <c r="E814" s="34"/>
      <c r="F814" s="34"/>
      <c r="G814" s="34"/>
      <c r="H814" s="34"/>
      <c r="L814" s="34"/>
      <c r="M814" s="35"/>
      <c r="N814" s="35"/>
      <c r="O814" s="35"/>
      <c r="P814" s="35"/>
    </row>
    <row r="815">
      <c r="A815" s="34"/>
      <c r="B815" s="34"/>
      <c r="C815" s="34"/>
      <c r="D815" s="34"/>
      <c r="E815" s="34"/>
      <c r="F815" s="34"/>
      <c r="G815" s="34"/>
      <c r="H815" s="34"/>
      <c r="L815" s="34"/>
      <c r="M815" s="35"/>
      <c r="N815" s="35"/>
      <c r="O815" s="35"/>
      <c r="P815" s="35"/>
    </row>
    <row r="816">
      <c r="A816" s="34"/>
      <c r="B816" s="34"/>
      <c r="C816" s="34"/>
      <c r="D816" s="34"/>
      <c r="E816" s="34"/>
      <c r="F816" s="34"/>
      <c r="G816" s="34"/>
      <c r="H816" s="34"/>
      <c r="L816" s="34"/>
      <c r="M816" s="35"/>
      <c r="N816" s="35"/>
      <c r="O816" s="35"/>
      <c r="P816" s="35"/>
    </row>
    <row r="817">
      <c r="A817" s="34"/>
      <c r="B817" s="34"/>
      <c r="C817" s="34"/>
      <c r="D817" s="34"/>
      <c r="E817" s="34"/>
      <c r="F817" s="34"/>
      <c r="G817" s="34"/>
      <c r="H817" s="34"/>
      <c r="L817" s="34"/>
      <c r="M817" s="35"/>
      <c r="N817" s="35"/>
      <c r="O817" s="35"/>
      <c r="P817" s="35"/>
    </row>
    <row r="818">
      <c r="A818" s="34"/>
      <c r="B818" s="34"/>
      <c r="C818" s="34"/>
      <c r="D818" s="34"/>
      <c r="E818" s="34"/>
      <c r="F818" s="34"/>
      <c r="G818" s="34"/>
      <c r="H818" s="34"/>
      <c r="L818" s="34"/>
      <c r="M818" s="35"/>
      <c r="N818" s="35"/>
      <c r="O818" s="35"/>
      <c r="P818" s="35"/>
    </row>
    <row r="819">
      <c r="A819" s="34"/>
      <c r="B819" s="34"/>
      <c r="C819" s="34"/>
      <c r="D819" s="34"/>
      <c r="E819" s="34"/>
      <c r="F819" s="34"/>
      <c r="G819" s="34"/>
      <c r="H819" s="34"/>
      <c r="L819" s="34"/>
      <c r="M819" s="35"/>
      <c r="N819" s="35"/>
      <c r="O819" s="35"/>
      <c r="P819" s="35"/>
    </row>
    <row r="820">
      <c r="A820" s="34"/>
      <c r="B820" s="34"/>
      <c r="C820" s="34"/>
      <c r="D820" s="34"/>
      <c r="E820" s="34"/>
      <c r="F820" s="34"/>
      <c r="G820" s="34"/>
      <c r="H820" s="34"/>
      <c r="L820" s="34"/>
      <c r="M820" s="35"/>
      <c r="N820" s="35"/>
      <c r="O820" s="35"/>
      <c r="P820" s="35"/>
    </row>
    <row r="821">
      <c r="A821" s="34"/>
      <c r="B821" s="34"/>
      <c r="C821" s="34"/>
      <c r="D821" s="34"/>
      <c r="E821" s="34"/>
      <c r="F821" s="34"/>
      <c r="G821" s="34"/>
      <c r="H821" s="34"/>
      <c r="L821" s="34"/>
      <c r="M821" s="35"/>
      <c r="N821" s="35"/>
      <c r="O821" s="35"/>
      <c r="P821" s="35"/>
    </row>
    <row r="822">
      <c r="A822" s="34"/>
      <c r="B822" s="34"/>
      <c r="C822" s="34"/>
      <c r="D822" s="34"/>
      <c r="E822" s="34"/>
      <c r="F822" s="34"/>
      <c r="G822" s="34"/>
      <c r="H822" s="34"/>
      <c r="L822" s="34"/>
      <c r="M822" s="35"/>
      <c r="N822" s="35"/>
      <c r="O822" s="35"/>
      <c r="P822" s="35"/>
    </row>
    <row r="823">
      <c r="A823" s="34"/>
      <c r="B823" s="34"/>
      <c r="C823" s="34"/>
      <c r="D823" s="34"/>
      <c r="E823" s="34"/>
      <c r="F823" s="34"/>
      <c r="G823" s="34"/>
      <c r="H823" s="34"/>
      <c r="L823" s="34"/>
      <c r="M823" s="35"/>
      <c r="N823" s="35"/>
      <c r="O823" s="35"/>
      <c r="P823" s="35"/>
    </row>
    <row r="824">
      <c r="A824" s="34"/>
      <c r="B824" s="34"/>
      <c r="C824" s="34"/>
      <c r="D824" s="34"/>
      <c r="E824" s="34"/>
      <c r="F824" s="34"/>
      <c r="G824" s="34"/>
      <c r="H824" s="34"/>
      <c r="L824" s="34"/>
      <c r="M824" s="35"/>
      <c r="N824" s="35"/>
      <c r="O824" s="35"/>
      <c r="P824" s="35"/>
    </row>
    <row r="825">
      <c r="A825" s="34"/>
      <c r="B825" s="34"/>
      <c r="C825" s="34"/>
      <c r="D825" s="34"/>
      <c r="E825" s="34"/>
      <c r="F825" s="34"/>
      <c r="G825" s="34"/>
      <c r="H825" s="34"/>
      <c r="L825" s="34"/>
      <c r="M825" s="35"/>
      <c r="N825" s="35"/>
      <c r="O825" s="35"/>
      <c r="P825" s="35"/>
    </row>
    <row r="826">
      <c r="A826" s="34"/>
      <c r="B826" s="34"/>
      <c r="C826" s="34"/>
      <c r="D826" s="34"/>
      <c r="E826" s="34"/>
      <c r="F826" s="34"/>
      <c r="G826" s="34"/>
      <c r="H826" s="34"/>
      <c r="L826" s="34"/>
      <c r="M826" s="35"/>
      <c r="N826" s="35"/>
      <c r="O826" s="35"/>
      <c r="P826" s="35"/>
    </row>
    <row r="827">
      <c r="A827" s="34"/>
      <c r="B827" s="34"/>
      <c r="C827" s="34"/>
      <c r="D827" s="34"/>
      <c r="E827" s="34"/>
      <c r="F827" s="34"/>
      <c r="G827" s="34"/>
      <c r="H827" s="34"/>
      <c r="L827" s="34"/>
      <c r="M827" s="35"/>
      <c r="N827" s="35"/>
      <c r="O827" s="35"/>
      <c r="P827" s="35"/>
    </row>
    <row r="828">
      <c r="A828" s="34"/>
      <c r="B828" s="34"/>
      <c r="C828" s="34"/>
      <c r="D828" s="34"/>
      <c r="E828" s="34"/>
      <c r="F828" s="34"/>
      <c r="G828" s="34"/>
      <c r="H828" s="34"/>
      <c r="L828" s="34"/>
      <c r="M828" s="35"/>
      <c r="N828" s="35"/>
      <c r="O828" s="35"/>
      <c r="P828" s="35"/>
    </row>
    <row r="829">
      <c r="A829" s="34"/>
      <c r="B829" s="34"/>
      <c r="C829" s="34"/>
      <c r="D829" s="34"/>
      <c r="E829" s="34"/>
      <c r="F829" s="34"/>
      <c r="G829" s="34"/>
      <c r="H829" s="34"/>
      <c r="L829" s="34"/>
      <c r="M829" s="35"/>
      <c r="N829" s="35"/>
      <c r="O829" s="35"/>
      <c r="P829" s="35"/>
    </row>
    <row r="830">
      <c r="A830" s="34"/>
      <c r="B830" s="34"/>
      <c r="C830" s="34"/>
      <c r="D830" s="34"/>
      <c r="E830" s="34"/>
      <c r="F830" s="34"/>
      <c r="G830" s="34"/>
      <c r="H830" s="34"/>
      <c r="L830" s="34"/>
      <c r="M830" s="35"/>
      <c r="N830" s="35"/>
      <c r="O830" s="35"/>
      <c r="P830" s="35"/>
    </row>
    <row r="831">
      <c r="A831" s="34"/>
      <c r="B831" s="34"/>
      <c r="C831" s="34"/>
      <c r="D831" s="34"/>
      <c r="E831" s="34"/>
      <c r="F831" s="34"/>
      <c r="G831" s="34"/>
      <c r="H831" s="34"/>
      <c r="L831" s="34"/>
      <c r="M831" s="35"/>
      <c r="N831" s="35"/>
      <c r="O831" s="35"/>
      <c r="P831" s="35"/>
    </row>
    <row r="832">
      <c r="A832" s="34"/>
      <c r="B832" s="34"/>
      <c r="C832" s="34"/>
      <c r="D832" s="34"/>
      <c r="E832" s="34"/>
      <c r="F832" s="34"/>
      <c r="G832" s="34"/>
      <c r="H832" s="34"/>
      <c r="L832" s="34"/>
      <c r="M832" s="35"/>
      <c r="N832" s="35"/>
      <c r="O832" s="35"/>
      <c r="P832" s="35"/>
    </row>
    <row r="833">
      <c r="A833" s="34"/>
      <c r="B833" s="34"/>
      <c r="C833" s="34"/>
      <c r="D833" s="34"/>
      <c r="E833" s="34"/>
      <c r="F833" s="34"/>
      <c r="G833" s="34"/>
      <c r="H833" s="34"/>
      <c r="L833" s="34"/>
      <c r="M833" s="35"/>
      <c r="N833" s="35"/>
      <c r="O833" s="35"/>
      <c r="P833" s="35"/>
    </row>
    <row r="834">
      <c r="A834" s="34"/>
      <c r="B834" s="34"/>
      <c r="C834" s="34"/>
      <c r="D834" s="34"/>
      <c r="E834" s="34"/>
      <c r="F834" s="34"/>
      <c r="G834" s="34"/>
      <c r="H834" s="34"/>
      <c r="L834" s="34"/>
      <c r="M834" s="35"/>
      <c r="N834" s="35"/>
      <c r="O834" s="35"/>
      <c r="P834" s="35"/>
    </row>
    <row r="835">
      <c r="A835" s="34"/>
      <c r="B835" s="34"/>
      <c r="C835" s="34"/>
      <c r="D835" s="34"/>
      <c r="E835" s="34"/>
      <c r="F835" s="34"/>
      <c r="G835" s="34"/>
      <c r="H835" s="34"/>
      <c r="L835" s="34"/>
      <c r="M835" s="35"/>
      <c r="N835" s="35"/>
      <c r="O835" s="35"/>
      <c r="P835" s="35"/>
    </row>
    <row r="836">
      <c r="A836" s="34"/>
      <c r="B836" s="34"/>
      <c r="C836" s="34"/>
      <c r="D836" s="34"/>
      <c r="E836" s="34"/>
      <c r="F836" s="34"/>
      <c r="G836" s="34"/>
      <c r="H836" s="34"/>
      <c r="L836" s="34"/>
      <c r="M836" s="35"/>
      <c r="N836" s="35"/>
      <c r="O836" s="35"/>
      <c r="P836" s="35"/>
    </row>
    <row r="837">
      <c r="A837" s="34"/>
      <c r="B837" s="34"/>
      <c r="C837" s="34"/>
      <c r="D837" s="34"/>
      <c r="E837" s="34"/>
      <c r="F837" s="34"/>
      <c r="G837" s="34"/>
      <c r="H837" s="34"/>
      <c r="L837" s="34"/>
      <c r="M837" s="35"/>
      <c r="N837" s="35"/>
      <c r="O837" s="35"/>
      <c r="P837" s="35"/>
    </row>
    <row r="838">
      <c r="A838" s="34"/>
      <c r="B838" s="34"/>
      <c r="C838" s="34"/>
      <c r="D838" s="34"/>
      <c r="E838" s="34"/>
      <c r="F838" s="34"/>
      <c r="G838" s="34"/>
      <c r="H838" s="34"/>
      <c r="L838" s="34"/>
      <c r="M838" s="35"/>
      <c r="N838" s="35"/>
      <c r="O838" s="35"/>
      <c r="P838" s="35"/>
    </row>
    <row r="839">
      <c r="A839" s="34"/>
      <c r="B839" s="34"/>
      <c r="C839" s="34"/>
      <c r="D839" s="34"/>
      <c r="E839" s="34"/>
      <c r="F839" s="34"/>
      <c r="G839" s="34"/>
      <c r="H839" s="34"/>
      <c r="L839" s="34"/>
      <c r="M839" s="35"/>
      <c r="N839" s="35"/>
      <c r="O839" s="35"/>
      <c r="P839" s="35"/>
    </row>
    <row r="840">
      <c r="A840" s="34"/>
      <c r="B840" s="34"/>
      <c r="C840" s="34"/>
      <c r="D840" s="34"/>
      <c r="E840" s="34"/>
      <c r="F840" s="34"/>
      <c r="G840" s="34"/>
      <c r="H840" s="34"/>
      <c r="L840" s="34"/>
      <c r="M840" s="35"/>
      <c r="N840" s="35"/>
      <c r="O840" s="35"/>
      <c r="P840" s="35"/>
    </row>
    <row r="841">
      <c r="A841" s="34"/>
      <c r="B841" s="34"/>
      <c r="C841" s="34"/>
      <c r="D841" s="34"/>
      <c r="E841" s="34"/>
      <c r="F841" s="34"/>
      <c r="G841" s="34"/>
      <c r="H841" s="34"/>
      <c r="L841" s="34"/>
      <c r="M841" s="35"/>
      <c r="N841" s="35"/>
      <c r="O841" s="35"/>
      <c r="P841" s="35"/>
    </row>
    <row r="842">
      <c r="A842" s="34"/>
      <c r="B842" s="34"/>
      <c r="C842" s="34"/>
      <c r="D842" s="34"/>
      <c r="E842" s="34"/>
      <c r="F842" s="34"/>
      <c r="G842" s="34"/>
      <c r="H842" s="34"/>
      <c r="L842" s="34"/>
      <c r="M842" s="35"/>
      <c r="N842" s="35"/>
      <c r="O842" s="35"/>
      <c r="P842" s="35"/>
    </row>
    <row r="843">
      <c r="A843" s="34"/>
      <c r="B843" s="34"/>
      <c r="C843" s="34"/>
      <c r="D843" s="34"/>
      <c r="E843" s="34"/>
      <c r="F843" s="34"/>
      <c r="G843" s="34"/>
      <c r="H843" s="34"/>
      <c r="L843" s="34"/>
      <c r="M843" s="35"/>
      <c r="N843" s="35"/>
      <c r="O843" s="35"/>
      <c r="P843" s="35"/>
    </row>
    <row r="844">
      <c r="A844" s="34"/>
      <c r="B844" s="34"/>
      <c r="C844" s="34"/>
      <c r="D844" s="34"/>
      <c r="E844" s="34"/>
      <c r="F844" s="34"/>
      <c r="G844" s="34"/>
      <c r="H844" s="34"/>
      <c r="L844" s="34"/>
      <c r="M844" s="35"/>
      <c r="N844" s="35"/>
      <c r="O844" s="35"/>
      <c r="P844" s="35"/>
    </row>
    <row r="845">
      <c r="A845" s="34"/>
      <c r="B845" s="34"/>
      <c r="C845" s="34"/>
      <c r="D845" s="34"/>
      <c r="E845" s="34"/>
      <c r="F845" s="34"/>
      <c r="G845" s="34"/>
      <c r="H845" s="34"/>
      <c r="L845" s="34"/>
      <c r="M845" s="35"/>
      <c r="N845" s="35"/>
      <c r="O845" s="35"/>
      <c r="P845" s="35"/>
    </row>
    <row r="846">
      <c r="A846" s="34"/>
      <c r="B846" s="34"/>
      <c r="C846" s="34"/>
      <c r="D846" s="34"/>
      <c r="E846" s="34"/>
      <c r="F846" s="34"/>
      <c r="G846" s="34"/>
      <c r="H846" s="34"/>
      <c r="L846" s="34"/>
      <c r="M846" s="35"/>
      <c r="N846" s="35"/>
      <c r="O846" s="35"/>
      <c r="P846" s="35"/>
    </row>
    <row r="847">
      <c r="A847" s="34"/>
      <c r="B847" s="34"/>
      <c r="C847" s="34"/>
      <c r="D847" s="34"/>
      <c r="E847" s="34"/>
      <c r="F847" s="34"/>
      <c r="G847" s="34"/>
      <c r="H847" s="34"/>
      <c r="L847" s="34"/>
      <c r="M847" s="35"/>
      <c r="N847" s="35"/>
      <c r="O847" s="35"/>
      <c r="P847" s="35"/>
    </row>
    <row r="848">
      <c r="A848" s="34"/>
      <c r="B848" s="34"/>
      <c r="C848" s="34"/>
      <c r="D848" s="34"/>
      <c r="E848" s="34"/>
      <c r="F848" s="34"/>
      <c r="G848" s="34"/>
      <c r="H848" s="34"/>
      <c r="L848" s="34"/>
      <c r="M848" s="35"/>
      <c r="N848" s="35"/>
      <c r="O848" s="35"/>
      <c r="P848" s="35"/>
    </row>
    <row r="849">
      <c r="A849" s="34"/>
      <c r="B849" s="34"/>
      <c r="C849" s="34"/>
      <c r="D849" s="34"/>
      <c r="E849" s="34"/>
      <c r="F849" s="34"/>
      <c r="G849" s="34"/>
      <c r="H849" s="34"/>
      <c r="L849" s="34"/>
      <c r="M849" s="35"/>
      <c r="N849" s="35"/>
      <c r="O849" s="35"/>
      <c r="P849" s="35"/>
    </row>
    <row r="850">
      <c r="A850" s="34"/>
      <c r="B850" s="34"/>
      <c r="C850" s="34"/>
      <c r="D850" s="34"/>
      <c r="E850" s="34"/>
      <c r="F850" s="34"/>
      <c r="G850" s="34"/>
      <c r="H850" s="34"/>
      <c r="L850" s="34"/>
      <c r="M850" s="35"/>
      <c r="N850" s="35"/>
      <c r="O850" s="35"/>
      <c r="P850" s="35"/>
    </row>
    <row r="851">
      <c r="A851" s="34"/>
      <c r="B851" s="34"/>
      <c r="C851" s="34"/>
      <c r="D851" s="34"/>
      <c r="E851" s="34"/>
      <c r="F851" s="34"/>
      <c r="G851" s="34"/>
      <c r="H851" s="34"/>
      <c r="L851" s="34"/>
      <c r="M851" s="35"/>
      <c r="N851" s="35"/>
      <c r="O851" s="35"/>
      <c r="P851" s="35"/>
    </row>
    <row r="852">
      <c r="A852" s="34"/>
      <c r="B852" s="34"/>
      <c r="C852" s="34"/>
      <c r="D852" s="34"/>
      <c r="E852" s="34"/>
      <c r="F852" s="34"/>
      <c r="G852" s="34"/>
      <c r="H852" s="34"/>
      <c r="L852" s="34"/>
      <c r="M852" s="35"/>
      <c r="N852" s="35"/>
      <c r="O852" s="35"/>
      <c r="P852" s="35"/>
    </row>
    <row r="853">
      <c r="A853" s="34"/>
      <c r="B853" s="34"/>
      <c r="C853" s="34"/>
      <c r="D853" s="34"/>
      <c r="E853" s="34"/>
      <c r="F853" s="34"/>
      <c r="G853" s="34"/>
      <c r="H853" s="34"/>
      <c r="L853" s="34"/>
      <c r="M853" s="35"/>
      <c r="N853" s="35"/>
      <c r="O853" s="35"/>
      <c r="P853" s="35"/>
    </row>
    <row r="854">
      <c r="A854" s="34"/>
      <c r="B854" s="34"/>
      <c r="C854" s="34"/>
      <c r="D854" s="34"/>
      <c r="E854" s="34"/>
      <c r="F854" s="34"/>
      <c r="G854" s="34"/>
      <c r="H854" s="34"/>
      <c r="L854" s="34"/>
      <c r="M854" s="35"/>
      <c r="N854" s="35"/>
      <c r="O854" s="35"/>
      <c r="P854" s="35"/>
    </row>
    <row r="855">
      <c r="A855" s="34"/>
      <c r="B855" s="34"/>
      <c r="C855" s="34"/>
      <c r="D855" s="34"/>
      <c r="E855" s="34"/>
      <c r="F855" s="34"/>
      <c r="G855" s="34"/>
      <c r="H855" s="34"/>
      <c r="L855" s="34"/>
      <c r="M855" s="35"/>
      <c r="N855" s="35"/>
      <c r="O855" s="35"/>
      <c r="P855" s="35"/>
    </row>
    <row r="856">
      <c r="A856" s="34"/>
      <c r="B856" s="34"/>
      <c r="C856" s="34"/>
      <c r="D856" s="34"/>
      <c r="E856" s="34"/>
      <c r="F856" s="34"/>
      <c r="G856" s="34"/>
      <c r="H856" s="34"/>
      <c r="L856" s="34"/>
      <c r="M856" s="35"/>
      <c r="N856" s="35"/>
      <c r="O856" s="35"/>
      <c r="P856" s="35"/>
    </row>
    <row r="857">
      <c r="A857" s="34"/>
      <c r="B857" s="34"/>
      <c r="C857" s="34"/>
      <c r="D857" s="34"/>
      <c r="E857" s="34"/>
      <c r="F857" s="34"/>
      <c r="G857" s="34"/>
      <c r="H857" s="34"/>
      <c r="L857" s="34"/>
      <c r="M857" s="35"/>
      <c r="N857" s="35"/>
      <c r="O857" s="35"/>
      <c r="P857" s="35"/>
    </row>
    <row r="858">
      <c r="A858" s="34"/>
      <c r="B858" s="34"/>
      <c r="C858" s="34"/>
      <c r="D858" s="34"/>
      <c r="E858" s="34"/>
      <c r="F858" s="34"/>
      <c r="G858" s="34"/>
      <c r="H858" s="34"/>
      <c r="L858" s="34"/>
      <c r="M858" s="35"/>
      <c r="N858" s="35"/>
      <c r="O858" s="35"/>
      <c r="P858" s="35"/>
    </row>
    <row r="859">
      <c r="A859" s="34"/>
      <c r="B859" s="34"/>
      <c r="C859" s="34"/>
      <c r="D859" s="34"/>
      <c r="E859" s="34"/>
      <c r="F859" s="34"/>
      <c r="G859" s="34"/>
      <c r="H859" s="34"/>
      <c r="L859" s="34"/>
      <c r="M859" s="35"/>
      <c r="N859" s="35"/>
      <c r="O859" s="35"/>
      <c r="P859" s="35"/>
    </row>
    <row r="860">
      <c r="A860" s="34"/>
      <c r="B860" s="34"/>
      <c r="C860" s="34"/>
      <c r="D860" s="34"/>
      <c r="E860" s="34"/>
      <c r="F860" s="34"/>
      <c r="G860" s="34"/>
      <c r="H860" s="34"/>
      <c r="L860" s="34"/>
      <c r="M860" s="35"/>
      <c r="N860" s="35"/>
      <c r="O860" s="35"/>
      <c r="P860" s="35"/>
    </row>
    <row r="861">
      <c r="A861" s="34"/>
      <c r="B861" s="34"/>
      <c r="C861" s="34"/>
      <c r="D861" s="34"/>
      <c r="E861" s="34"/>
      <c r="F861" s="34"/>
      <c r="G861" s="34"/>
      <c r="H861" s="34"/>
      <c r="L861" s="34"/>
      <c r="M861" s="35"/>
      <c r="N861" s="35"/>
      <c r="O861" s="35"/>
      <c r="P861" s="35"/>
    </row>
    <row r="862">
      <c r="A862" s="34"/>
      <c r="B862" s="34"/>
      <c r="C862" s="34"/>
      <c r="D862" s="34"/>
      <c r="E862" s="34"/>
      <c r="F862" s="34"/>
      <c r="G862" s="34"/>
      <c r="H862" s="34"/>
      <c r="L862" s="34"/>
      <c r="M862" s="35"/>
      <c r="N862" s="35"/>
      <c r="O862" s="35"/>
      <c r="P862" s="35"/>
    </row>
    <row r="863">
      <c r="A863" s="34"/>
      <c r="B863" s="34"/>
      <c r="C863" s="34"/>
      <c r="D863" s="34"/>
      <c r="E863" s="34"/>
      <c r="F863" s="34"/>
      <c r="G863" s="34"/>
      <c r="H863" s="34"/>
      <c r="L863" s="34"/>
      <c r="M863" s="35"/>
      <c r="N863" s="35"/>
      <c r="O863" s="35"/>
      <c r="P863" s="35"/>
    </row>
    <row r="864">
      <c r="A864" s="34"/>
      <c r="B864" s="34"/>
      <c r="C864" s="34"/>
      <c r="D864" s="34"/>
      <c r="E864" s="34"/>
      <c r="F864" s="34"/>
      <c r="G864" s="34"/>
      <c r="H864" s="34"/>
      <c r="L864" s="34"/>
      <c r="M864" s="35"/>
      <c r="N864" s="35"/>
      <c r="O864" s="35"/>
      <c r="P864" s="35"/>
    </row>
    <row r="865">
      <c r="A865" s="34"/>
      <c r="B865" s="34"/>
      <c r="C865" s="34"/>
      <c r="D865" s="34"/>
      <c r="E865" s="34"/>
      <c r="F865" s="34"/>
      <c r="G865" s="34"/>
      <c r="H865" s="34"/>
      <c r="L865" s="34"/>
      <c r="M865" s="35"/>
      <c r="N865" s="35"/>
      <c r="O865" s="35"/>
      <c r="P865" s="35"/>
    </row>
    <row r="866">
      <c r="A866" s="34"/>
      <c r="B866" s="34"/>
      <c r="C866" s="34"/>
      <c r="D866" s="34"/>
      <c r="E866" s="34"/>
      <c r="F866" s="34"/>
      <c r="G866" s="34"/>
      <c r="H866" s="34"/>
      <c r="L866" s="34"/>
      <c r="M866" s="35"/>
      <c r="N866" s="35"/>
      <c r="O866" s="35"/>
      <c r="P866" s="35"/>
    </row>
    <row r="867">
      <c r="A867" s="34"/>
      <c r="B867" s="34"/>
      <c r="C867" s="34"/>
      <c r="D867" s="34"/>
      <c r="E867" s="34"/>
      <c r="F867" s="34"/>
      <c r="G867" s="34"/>
      <c r="H867" s="34"/>
      <c r="L867" s="34"/>
      <c r="M867" s="35"/>
      <c r="N867" s="35"/>
      <c r="O867" s="35"/>
      <c r="P867" s="35"/>
    </row>
    <row r="868">
      <c r="A868" s="34"/>
      <c r="B868" s="34"/>
      <c r="C868" s="34"/>
      <c r="D868" s="34"/>
      <c r="E868" s="34"/>
      <c r="F868" s="34"/>
      <c r="G868" s="34"/>
      <c r="H868" s="34"/>
      <c r="L868" s="34"/>
      <c r="M868" s="35"/>
      <c r="N868" s="35"/>
      <c r="O868" s="35"/>
      <c r="P868" s="35"/>
    </row>
    <row r="869">
      <c r="A869" s="34"/>
      <c r="B869" s="34"/>
      <c r="C869" s="34"/>
      <c r="D869" s="34"/>
      <c r="E869" s="34"/>
      <c r="F869" s="34"/>
      <c r="G869" s="34"/>
      <c r="H869" s="34"/>
      <c r="L869" s="34"/>
      <c r="M869" s="35"/>
      <c r="N869" s="35"/>
      <c r="O869" s="35"/>
      <c r="P869" s="35"/>
    </row>
    <row r="870">
      <c r="A870" s="34"/>
      <c r="B870" s="34"/>
      <c r="C870" s="34"/>
      <c r="D870" s="34"/>
      <c r="E870" s="34"/>
      <c r="F870" s="34"/>
      <c r="G870" s="34"/>
      <c r="H870" s="34"/>
      <c r="L870" s="34"/>
      <c r="M870" s="35"/>
      <c r="N870" s="35"/>
      <c r="O870" s="35"/>
      <c r="P870" s="35"/>
    </row>
    <row r="871">
      <c r="A871" s="34"/>
      <c r="B871" s="34"/>
      <c r="C871" s="34"/>
      <c r="D871" s="34"/>
      <c r="E871" s="34"/>
      <c r="F871" s="34"/>
      <c r="G871" s="34"/>
      <c r="H871" s="34"/>
      <c r="L871" s="34"/>
      <c r="M871" s="35"/>
      <c r="N871" s="35"/>
      <c r="O871" s="35"/>
      <c r="P871" s="35"/>
    </row>
    <row r="872">
      <c r="A872" s="34"/>
      <c r="B872" s="34"/>
      <c r="C872" s="34"/>
      <c r="D872" s="34"/>
      <c r="E872" s="34"/>
      <c r="F872" s="34"/>
      <c r="G872" s="34"/>
      <c r="H872" s="34"/>
      <c r="L872" s="34"/>
      <c r="M872" s="35"/>
      <c r="N872" s="35"/>
      <c r="O872" s="35"/>
      <c r="P872" s="35"/>
    </row>
    <row r="873">
      <c r="A873" s="34"/>
      <c r="B873" s="34"/>
      <c r="C873" s="34"/>
      <c r="D873" s="34"/>
      <c r="E873" s="34"/>
      <c r="F873" s="34"/>
      <c r="G873" s="34"/>
      <c r="H873" s="34"/>
      <c r="L873" s="34"/>
      <c r="M873" s="35"/>
      <c r="N873" s="35"/>
      <c r="O873" s="35"/>
      <c r="P873" s="35"/>
    </row>
    <row r="874">
      <c r="A874" s="34"/>
      <c r="B874" s="34"/>
      <c r="C874" s="34"/>
      <c r="D874" s="34"/>
      <c r="E874" s="34"/>
      <c r="F874" s="34"/>
      <c r="G874" s="34"/>
      <c r="H874" s="34"/>
      <c r="L874" s="34"/>
      <c r="M874" s="35"/>
      <c r="N874" s="35"/>
      <c r="O874" s="35"/>
      <c r="P874" s="35"/>
    </row>
    <row r="875">
      <c r="A875" s="34"/>
      <c r="B875" s="34"/>
      <c r="C875" s="34"/>
      <c r="D875" s="34"/>
      <c r="E875" s="34"/>
      <c r="F875" s="34"/>
      <c r="G875" s="34"/>
      <c r="H875" s="34"/>
      <c r="L875" s="34"/>
      <c r="M875" s="35"/>
      <c r="N875" s="35"/>
      <c r="O875" s="35"/>
      <c r="P875" s="35"/>
    </row>
    <row r="876">
      <c r="A876" s="34"/>
      <c r="B876" s="34"/>
      <c r="C876" s="34"/>
      <c r="D876" s="34"/>
      <c r="E876" s="34"/>
      <c r="F876" s="34"/>
      <c r="G876" s="34"/>
      <c r="H876" s="34"/>
      <c r="L876" s="34"/>
      <c r="M876" s="35"/>
      <c r="N876" s="35"/>
      <c r="O876" s="35"/>
      <c r="P876" s="35"/>
    </row>
    <row r="877">
      <c r="A877" s="34"/>
      <c r="B877" s="34"/>
      <c r="C877" s="34"/>
      <c r="D877" s="34"/>
      <c r="E877" s="34"/>
      <c r="F877" s="34"/>
      <c r="G877" s="34"/>
      <c r="H877" s="34"/>
      <c r="L877" s="34"/>
      <c r="M877" s="35"/>
      <c r="N877" s="35"/>
      <c r="O877" s="35"/>
      <c r="P877" s="35"/>
    </row>
    <row r="878">
      <c r="A878" s="34"/>
      <c r="B878" s="34"/>
      <c r="C878" s="34"/>
      <c r="D878" s="34"/>
      <c r="E878" s="34"/>
      <c r="F878" s="34"/>
      <c r="G878" s="34"/>
      <c r="H878" s="34"/>
      <c r="L878" s="34"/>
      <c r="M878" s="35"/>
      <c r="N878" s="35"/>
      <c r="O878" s="35"/>
      <c r="P878" s="35"/>
    </row>
    <row r="879">
      <c r="A879" s="34"/>
      <c r="B879" s="34"/>
      <c r="C879" s="34"/>
      <c r="D879" s="34"/>
      <c r="E879" s="34"/>
      <c r="F879" s="34"/>
      <c r="G879" s="34"/>
      <c r="H879" s="34"/>
      <c r="L879" s="34"/>
      <c r="M879" s="35"/>
      <c r="N879" s="35"/>
      <c r="O879" s="35"/>
      <c r="P879" s="35"/>
    </row>
    <row r="880">
      <c r="A880" s="34"/>
      <c r="B880" s="34"/>
      <c r="C880" s="34"/>
      <c r="D880" s="34"/>
      <c r="E880" s="34"/>
      <c r="F880" s="34"/>
      <c r="G880" s="34"/>
      <c r="H880" s="34"/>
      <c r="L880" s="34"/>
      <c r="M880" s="35"/>
      <c r="N880" s="35"/>
      <c r="O880" s="35"/>
      <c r="P880" s="35"/>
    </row>
    <row r="881">
      <c r="A881" s="34"/>
      <c r="B881" s="34"/>
      <c r="C881" s="34"/>
      <c r="D881" s="34"/>
      <c r="E881" s="34"/>
      <c r="F881" s="34"/>
      <c r="G881" s="34"/>
      <c r="H881" s="34"/>
      <c r="L881" s="34"/>
      <c r="M881" s="35"/>
      <c r="N881" s="35"/>
      <c r="O881" s="35"/>
      <c r="P881" s="35"/>
    </row>
    <row r="882">
      <c r="A882" s="34"/>
      <c r="B882" s="34"/>
      <c r="C882" s="34"/>
      <c r="D882" s="34"/>
      <c r="E882" s="34"/>
      <c r="F882" s="34"/>
      <c r="G882" s="34"/>
      <c r="H882" s="34"/>
      <c r="L882" s="34"/>
      <c r="M882" s="35"/>
      <c r="N882" s="35"/>
      <c r="O882" s="35"/>
      <c r="P882" s="35"/>
    </row>
    <row r="883">
      <c r="A883" s="34"/>
      <c r="B883" s="34"/>
      <c r="C883" s="34"/>
      <c r="D883" s="34"/>
      <c r="E883" s="34"/>
      <c r="F883" s="34"/>
      <c r="G883" s="34"/>
      <c r="H883" s="34"/>
      <c r="L883" s="34"/>
      <c r="M883" s="35"/>
      <c r="N883" s="35"/>
      <c r="O883" s="35"/>
      <c r="P883" s="35"/>
    </row>
    <row r="884">
      <c r="A884" s="34"/>
      <c r="B884" s="34"/>
      <c r="C884" s="34"/>
      <c r="D884" s="34"/>
      <c r="E884" s="34"/>
      <c r="F884" s="34"/>
      <c r="G884" s="34"/>
      <c r="H884" s="34"/>
      <c r="L884" s="34"/>
      <c r="M884" s="35"/>
      <c r="N884" s="35"/>
      <c r="O884" s="35"/>
      <c r="P884" s="35"/>
    </row>
    <row r="885">
      <c r="A885" s="34"/>
      <c r="B885" s="34"/>
      <c r="C885" s="34"/>
      <c r="D885" s="34"/>
      <c r="E885" s="34"/>
      <c r="F885" s="34"/>
      <c r="G885" s="34"/>
      <c r="H885" s="34"/>
      <c r="L885" s="34"/>
      <c r="M885" s="35"/>
      <c r="N885" s="35"/>
      <c r="O885" s="35"/>
      <c r="P885" s="35"/>
    </row>
    <row r="886">
      <c r="A886" s="34"/>
      <c r="B886" s="34"/>
      <c r="C886" s="34"/>
      <c r="D886" s="34"/>
      <c r="E886" s="34"/>
      <c r="F886" s="34"/>
      <c r="G886" s="34"/>
      <c r="H886" s="34"/>
      <c r="L886" s="34"/>
      <c r="M886" s="35"/>
      <c r="N886" s="35"/>
      <c r="O886" s="35"/>
      <c r="P886" s="35"/>
    </row>
    <row r="887">
      <c r="A887" s="34"/>
      <c r="B887" s="34"/>
      <c r="C887" s="34"/>
      <c r="D887" s="34"/>
      <c r="E887" s="34"/>
      <c r="F887" s="34"/>
      <c r="G887" s="34"/>
      <c r="H887" s="34"/>
      <c r="L887" s="34"/>
      <c r="M887" s="35"/>
      <c r="N887" s="35"/>
      <c r="O887" s="35"/>
      <c r="P887" s="35"/>
    </row>
    <row r="888">
      <c r="A888" s="34"/>
      <c r="B888" s="34"/>
      <c r="C888" s="34"/>
      <c r="D888" s="34"/>
      <c r="E888" s="34"/>
      <c r="F888" s="34"/>
      <c r="G888" s="34"/>
      <c r="H888" s="34"/>
      <c r="L888" s="34"/>
      <c r="M888" s="35"/>
      <c r="N888" s="35"/>
      <c r="O888" s="35"/>
      <c r="P888" s="35"/>
    </row>
    <row r="889">
      <c r="A889" s="34"/>
      <c r="B889" s="34"/>
      <c r="C889" s="34"/>
      <c r="D889" s="34"/>
      <c r="E889" s="34"/>
      <c r="F889" s="34"/>
      <c r="G889" s="34"/>
      <c r="H889" s="34"/>
      <c r="L889" s="34"/>
      <c r="M889" s="35"/>
      <c r="N889" s="35"/>
      <c r="O889" s="35"/>
      <c r="P889" s="35"/>
    </row>
    <row r="890">
      <c r="A890" s="34"/>
      <c r="B890" s="34"/>
      <c r="C890" s="34"/>
      <c r="D890" s="34"/>
      <c r="E890" s="34"/>
      <c r="F890" s="34"/>
      <c r="G890" s="34"/>
      <c r="H890" s="34"/>
      <c r="L890" s="34"/>
      <c r="M890" s="35"/>
      <c r="N890" s="35"/>
      <c r="O890" s="35"/>
      <c r="P890" s="35"/>
    </row>
    <row r="891">
      <c r="A891" s="34"/>
      <c r="B891" s="34"/>
      <c r="C891" s="34"/>
      <c r="D891" s="34"/>
      <c r="E891" s="34"/>
      <c r="F891" s="34"/>
      <c r="G891" s="34"/>
      <c r="H891" s="34"/>
      <c r="L891" s="34"/>
      <c r="M891" s="35"/>
      <c r="N891" s="35"/>
      <c r="O891" s="35"/>
      <c r="P891" s="35"/>
    </row>
    <row r="892">
      <c r="A892" s="34"/>
      <c r="B892" s="34"/>
      <c r="C892" s="34"/>
      <c r="D892" s="34"/>
      <c r="E892" s="34"/>
      <c r="F892" s="34"/>
      <c r="G892" s="34"/>
      <c r="H892" s="34"/>
      <c r="L892" s="34"/>
      <c r="M892" s="35"/>
      <c r="N892" s="35"/>
      <c r="O892" s="35"/>
      <c r="P892" s="35"/>
    </row>
    <row r="893">
      <c r="A893" s="34"/>
      <c r="B893" s="34"/>
      <c r="C893" s="34"/>
      <c r="D893" s="34"/>
      <c r="E893" s="34"/>
      <c r="F893" s="34"/>
      <c r="G893" s="34"/>
      <c r="H893" s="34"/>
      <c r="L893" s="34"/>
      <c r="M893" s="35"/>
      <c r="N893" s="35"/>
      <c r="O893" s="35"/>
      <c r="P893" s="35"/>
    </row>
    <row r="894">
      <c r="A894" s="34"/>
      <c r="B894" s="34"/>
      <c r="C894" s="34"/>
      <c r="D894" s="34"/>
      <c r="E894" s="34"/>
      <c r="F894" s="34"/>
      <c r="G894" s="34"/>
      <c r="H894" s="34"/>
      <c r="L894" s="34"/>
      <c r="M894" s="35"/>
      <c r="N894" s="35"/>
      <c r="O894" s="35"/>
      <c r="P894" s="35"/>
    </row>
    <row r="895">
      <c r="A895" s="34"/>
      <c r="B895" s="34"/>
      <c r="C895" s="34"/>
      <c r="D895" s="34"/>
      <c r="E895" s="34"/>
      <c r="F895" s="34"/>
      <c r="G895" s="34"/>
      <c r="H895" s="34"/>
      <c r="L895" s="34"/>
      <c r="M895" s="35"/>
      <c r="N895" s="35"/>
      <c r="O895" s="35"/>
      <c r="P895" s="35"/>
    </row>
    <row r="896">
      <c r="A896" s="34"/>
      <c r="B896" s="34"/>
      <c r="C896" s="34"/>
      <c r="D896" s="34"/>
      <c r="E896" s="34"/>
      <c r="F896" s="34"/>
      <c r="G896" s="34"/>
      <c r="H896" s="34"/>
      <c r="L896" s="34"/>
      <c r="M896" s="35"/>
      <c r="N896" s="35"/>
      <c r="O896" s="35"/>
      <c r="P896" s="35"/>
    </row>
    <row r="897">
      <c r="A897" s="34"/>
      <c r="B897" s="34"/>
      <c r="C897" s="34"/>
      <c r="D897" s="34"/>
      <c r="E897" s="34"/>
      <c r="F897" s="34"/>
      <c r="G897" s="34"/>
      <c r="H897" s="34"/>
      <c r="L897" s="34"/>
      <c r="M897" s="35"/>
      <c r="N897" s="35"/>
      <c r="O897" s="35"/>
      <c r="P897" s="35"/>
    </row>
    <row r="898">
      <c r="A898" s="34"/>
      <c r="B898" s="34"/>
      <c r="C898" s="34"/>
      <c r="D898" s="34"/>
      <c r="E898" s="34"/>
      <c r="F898" s="34"/>
      <c r="G898" s="34"/>
      <c r="H898" s="34"/>
      <c r="L898" s="34"/>
      <c r="M898" s="35"/>
      <c r="N898" s="35"/>
      <c r="O898" s="35"/>
      <c r="P898" s="35"/>
    </row>
    <row r="899">
      <c r="A899" s="34"/>
      <c r="B899" s="34"/>
      <c r="C899" s="34"/>
      <c r="D899" s="34"/>
      <c r="E899" s="34"/>
      <c r="F899" s="34"/>
      <c r="G899" s="34"/>
      <c r="H899" s="34"/>
      <c r="L899" s="34"/>
      <c r="M899" s="35"/>
      <c r="N899" s="35"/>
      <c r="O899" s="35"/>
      <c r="P899" s="35"/>
    </row>
    <row r="900">
      <c r="A900" s="34"/>
      <c r="B900" s="34"/>
      <c r="C900" s="34"/>
      <c r="D900" s="34"/>
      <c r="E900" s="34"/>
      <c r="F900" s="34"/>
      <c r="G900" s="34"/>
      <c r="H900" s="34"/>
      <c r="L900" s="34"/>
      <c r="M900" s="35"/>
      <c r="N900" s="35"/>
      <c r="O900" s="35"/>
      <c r="P900" s="35"/>
    </row>
    <row r="901">
      <c r="A901" s="34"/>
      <c r="B901" s="34"/>
      <c r="C901" s="34"/>
      <c r="D901" s="34"/>
      <c r="E901" s="34"/>
      <c r="F901" s="34"/>
      <c r="G901" s="34"/>
      <c r="H901" s="34"/>
      <c r="L901" s="34"/>
      <c r="M901" s="35"/>
      <c r="N901" s="35"/>
      <c r="O901" s="35"/>
      <c r="P901" s="35"/>
    </row>
    <row r="902">
      <c r="A902" s="34"/>
      <c r="B902" s="34"/>
      <c r="C902" s="34"/>
      <c r="D902" s="34"/>
      <c r="E902" s="34"/>
      <c r="F902" s="34"/>
      <c r="G902" s="34"/>
      <c r="H902" s="34"/>
      <c r="L902" s="34"/>
      <c r="M902" s="35"/>
      <c r="N902" s="35"/>
      <c r="O902" s="35"/>
      <c r="P902" s="35"/>
    </row>
    <row r="903">
      <c r="A903" s="34"/>
      <c r="B903" s="34"/>
      <c r="C903" s="34"/>
      <c r="D903" s="34"/>
      <c r="E903" s="34"/>
      <c r="F903" s="34"/>
      <c r="G903" s="34"/>
      <c r="H903" s="34"/>
      <c r="L903" s="34"/>
      <c r="M903" s="35"/>
      <c r="N903" s="35"/>
      <c r="O903" s="35"/>
      <c r="P903" s="35"/>
    </row>
    <row r="904">
      <c r="A904" s="34"/>
      <c r="B904" s="34"/>
      <c r="C904" s="34"/>
      <c r="D904" s="34"/>
      <c r="E904" s="34"/>
      <c r="F904" s="34"/>
      <c r="G904" s="34"/>
      <c r="H904" s="34"/>
      <c r="L904" s="34"/>
      <c r="M904" s="35"/>
      <c r="N904" s="35"/>
      <c r="O904" s="35"/>
      <c r="P904" s="35"/>
    </row>
    <row r="905">
      <c r="A905" s="34"/>
      <c r="B905" s="34"/>
      <c r="C905" s="34"/>
      <c r="D905" s="34"/>
      <c r="E905" s="34"/>
      <c r="F905" s="34"/>
      <c r="G905" s="34"/>
      <c r="H905" s="34"/>
      <c r="L905" s="34"/>
      <c r="M905" s="35"/>
      <c r="N905" s="35"/>
      <c r="O905" s="35"/>
      <c r="P905" s="35"/>
    </row>
    <row r="906">
      <c r="A906" s="34"/>
      <c r="B906" s="34"/>
      <c r="C906" s="34"/>
      <c r="D906" s="34"/>
      <c r="E906" s="34"/>
      <c r="F906" s="34"/>
      <c r="G906" s="34"/>
      <c r="H906" s="34"/>
      <c r="L906" s="34"/>
      <c r="M906" s="35"/>
      <c r="N906" s="35"/>
      <c r="O906" s="35"/>
      <c r="P906" s="35"/>
    </row>
    <row r="907">
      <c r="A907" s="34"/>
      <c r="B907" s="34"/>
      <c r="C907" s="34"/>
      <c r="D907" s="34"/>
      <c r="E907" s="34"/>
      <c r="F907" s="34"/>
      <c r="G907" s="34"/>
      <c r="H907" s="34"/>
      <c r="L907" s="34"/>
      <c r="M907" s="35"/>
      <c r="N907" s="35"/>
      <c r="O907" s="35"/>
      <c r="P907" s="35"/>
    </row>
    <row r="908">
      <c r="A908" s="34"/>
      <c r="B908" s="34"/>
      <c r="C908" s="34"/>
      <c r="D908" s="34"/>
      <c r="E908" s="34"/>
      <c r="F908" s="34"/>
      <c r="G908" s="34"/>
      <c r="H908" s="34"/>
      <c r="L908" s="34"/>
      <c r="M908" s="35"/>
      <c r="N908" s="35"/>
      <c r="O908" s="35"/>
      <c r="P908" s="35"/>
    </row>
    <row r="909">
      <c r="A909" s="34"/>
      <c r="B909" s="34"/>
      <c r="C909" s="34"/>
      <c r="D909" s="34"/>
      <c r="E909" s="34"/>
      <c r="F909" s="34"/>
      <c r="G909" s="34"/>
      <c r="H909" s="34"/>
      <c r="L909" s="34"/>
      <c r="M909" s="35"/>
      <c r="N909" s="35"/>
      <c r="O909" s="35"/>
      <c r="P909" s="35"/>
    </row>
    <row r="910">
      <c r="A910" s="34"/>
      <c r="B910" s="34"/>
      <c r="C910" s="34"/>
      <c r="D910" s="34"/>
      <c r="E910" s="34"/>
      <c r="F910" s="34"/>
      <c r="G910" s="34"/>
      <c r="H910" s="34"/>
      <c r="L910" s="34"/>
      <c r="M910" s="35"/>
      <c r="N910" s="35"/>
      <c r="O910" s="35"/>
      <c r="P910" s="35"/>
    </row>
    <row r="911">
      <c r="A911" s="34"/>
      <c r="B911" s="34"/>
      <c r="C911" s="34"/>
      <c r="D911" s="34"/>
      <c r="E911" s="34"/>
      <c r="F911" s="34"/>
      <c r="G911" s="34"/>
      <c r="H911" s="34"/>
      <c r="L911" s="34"/>
      <c r="M911" s="35"/>
      <c r="N911" s="35"/>
      <c r="O911" s="35"/>
      <c r="P911" s="35"/>
    </row>
    <row r="912">
      <c r="A912" s="34"/>
      <c r="B912" s="34"/>
      <c r="C912" s="34"/>
      <c r="D912" s="34"/>
      <c r="E912" s="34"/>
      <c r="F912" s="34"/>
      <c r="G912" s="34"/>
      <c r="H912" s="34"/>
      <c r="L912" s="34"/>
      <c r="M912" s="35"/>
      <c r="N912" s="35"/>
      <c r="O912" s="35"/>
      <c r="P912" s="35"/>
    </row>
    <row r="913">
      <c r="A913" s="34"/>
      <c r="B913" s="34"/>
      <c r="C913" s="34"/>
      <c r="D913" s="34"/>
      <c r="E913" s="34"/>
      <c r="F913" s="34"/>
      <c r="G913" s="34"/>
      <c r="H913" s="34"/>
      <c r="L913" s="34"/>
      <c r="M913" s="35"/>
      <c r="N913" s="35"/>
      <c r="O913" s="35"/>
      <c r="P913" s="35"/>
    </row>
    <row r="914">
      <c r="A914" s="34"/>
      <c r="B914" s="34"/>
      <c r="C914" s="34"/>
      <c r="D914" s="34"/>
      <c r="E914" s="34"/>
      <c r="F914" s="34"/>
      <c r="G914" s="34"/>
      <c r="H914" s="34"/>
      <c r="L914" s="34"/>
      <c r="M914" s="35"/>
      <c r="N914" s="35"/>
      <c r="O914" s="35"/>
      <c r="P914" s="35"/>
    </row>
    <row r="915">
      <c r="A915" s="34"/>
      <c r="B915" s="34"/>
      <c r="C915" s="34"/>
      <c r="D915" s="34"/>
      <c r="E915" s="34"/>
      <c r="F915" s="34"/>
      <c r="G915" s="34"/>
      <c r="H915" s="34"/>
      <c r="L915" s="34"/>
      <c r="M915" s="35"/>
      <c r="N915" s="35"/>
      <c r="O915" s="35"/>
      <c r="P915" s="35"/>
    </row>
    <row r="916">
      <c r="A916" s="34"/>
      <c r="B916" s="34"/>
      <c r="C916" s="34"/>
      <c r="D916" s="34"/>
      <c r="E916" s="34"/>
      <c r="F916" s="34"/>
      <c r="G916" s="34"/>
      <c r="H916" s="34"/>
      <c r="L916" s="34"/>
      <c r="M916" s="35"/>
      <c r="N916" s="35"/>
      <c r="O916" s="35"/>
      <c r="P916" s="35"/>
    </row>
    <row r="917">
      <c r="A917" s="34"/>
      <c r="B917" s="34"/>
      <c r="C917" s="34"/>
      <c r="D917" s="34"/>
      <c r="E917" s="34"/>
      <c r="F917" s="34"/>
      <c r="G917" s="34"/>
      <c r="H917" s="34"/>
      <c r="L917" s="34"/>
      <c r="M917" s="35"/>
      <c r="N917" s="35"/>
      <c r="O917" s="35"/>
      <c r="P917" s="35"/>
    </row>
    <row r="918">
      <c r="A918" s="34"/>
      <c r="B918" s="34"/>
      <c r="C918" s="34"/>
      <c r="D918" s="34"/>
      <c r="E918" s="34"/>
      <c r="F918" s="34"/>
      <c r="G918" s="34"/>
      <c r="H918" s="34"/>
      <c r="L918" s="34"/>
      <c r="M918" s="35"/>
      <c r="N918" s="35"/>
      <c r="O918" s="35"/>
      <c r="P918" s="35"/>
    </row>
    <row r="919">
      <c r="A919" s="34"/>
      <c r="B919" s="34"/>
      <c r="C919" s="34"/>
      <c r="D919" s="34"/>
      <c r="E919" s="34"/>
      <c r="F919" s="34"/>
      <c r="G919" s="34"/>
      <c r="H919" s="34"/>
      <c r="L919" s="34"/>
      <c r="M919" s="35"/>
      <c r="N919" s="35"/>
      <c r="O919" s="35"/>
      <c r="P919" s="35"/>
    </row>
    <row r="920">
      <c r="A920" s="34"/>
      <c r="B920" s="34"/>
      <c r="C920" s="34"/>
      <c r="D920" s="34"/>
      <c r="E920" s="34"/>
      <c r="F920" s="34"/>
      <c r="G920" s="34"/>
      <c r="H920" s="34"/>
      <c r="L920" s="34"/>
      <c r="M920" s="35"/>
      <c r="N920" s="35"/>
      <c r="O920" s="35"/>
      <c r="P920" s="35"/>
    </row>
    <row r="921">
      <c r="A921" s="34"/>
      <c r="B921" s="34"/>
      <c r="C921" s="34"/>
      <c r="D921" s="34"/>
      <c r="E921" s="34"/>
      <c r="F921" s="34"/>
      <c r="G921" s="34"/>
      <c r="H921" s="34"/>
      <c r="L921" s="34"/>
      <c r="M921" s="35"/>
      <c r="N921" s="35"/>
      <c r="O921" s="35"/>
      <c r="P921" s="35"/>
    </row>
    <row r="922">
      <c r="A922" s="34"/>
      <c r="B922" s="34"/>
      <c r="C922" s="34"/>
      <c r="D922" s="34"/>
      <c r="E922" s="34"/>
      <c r="F922" s="34"/>
      <c r="G922" s="34"/>
      <c r="H922" s="34"/>
      <c r="L922" s="34"/>
      <c r="M922" s="35"/>
      <c r="N922" s="35"/>
      <c r="O922" s="35"/>
      <c r="P922" s="35"/>
    </row>
    <row r="923">
      <c r="A923" s="34"/>
      <c r="B923" s="34"/>
      <c r="C923" s="34"/>
      <c r="D923" s="34"/>
      <c r="E923" s="34"/>
      <c r="F923" s="34"/>
      <c r="G923" s="34"/>
      <c r="H923" s="34"/>
      <c r="L923" s="34"/>
      <c r="M923" s="35"/>
      <c r="N923" s="35"/>
      <c r="O923" s="35"/>
      <c r="P923" s="35"/>
    </row>
    <row r="924">
      <c r="A924" s="34"/>
      <c r="B924" s="34"/>
      <c r="C924" s="34"/>
      <c r="D924" s="34"/>
      <c r="E924" s="34"/>
      <c r="F924" s="34"/>
      <c r="G924" s="34"/>
      <c r="H924" s="34"/>
      <c r="L924" s="34"/>
      <c r="M924" s="35"/>
      <c r="N924" s="35"/>
      <c r="O924" s="35"/>
      <c r="P924" s="35"/>
    </row>
    <row r="925">
      <c r="A925" s="34"/>
      <c r="B925" s="34"/>
      <c r="C925" s="34"/>
      <c r="D925" s="34"/>
      <c r="E925" s="34"/>
      <c r="F925" s="34"/>
      <c r="G925" s="34"/>
      <c r="H925" s="34"/>
      <c r="L925" s="34"/>
      <c r="M925" s="35"/>
      <c r="N925" s="35"/>
      <c r="O925" s="35"/>
      <c r="P925" s="35"/>
    </row>
    <row r="926">
      <c r="A926" s="34"/>
      <c r="B926" s="34"/>
      <c r="C926" s="34"/>
      <c r="D926" s="34"/>
      <c r="E926" s="34"/>
      <c r="F926" s="34"/>
      <c r="G926" s="34"/>
      <c r="H926" s="34"/>
      <c r="L926" s="34"/>
      <c r="M926" s="35"/>
      <c r="N926" s="35"/>
      <c r="O926" s="35"/>
      <c r="P926" s="35"/>
    </row>
    <row r="927">
      <c r="A927" s="34"/>
      <c r="B927" s="34"/>
      <c r="C927" s="34"/>
      <c r="D927" s="34"/>
      <c r="E927" s="34"/>
      <c r="F927" s="34"/>
      <c r="G927" s="34"/>
      <c r="H927" s="34"/>
      <c r="L927" s="34"/>
      <c r="M927" s="35"/>
      <c r="N927" s="35"/>
      <c r="O927" s="35"/>
      <c r="P927" s="35"/>
    </row>
    <row r="928">
      <c r="A928" s="34"/>
      <c r="B928" s="34"/>
      <c r="C928" s="34"/>
      <c r="D928" s="34"/>
      <c r="E928" s="34"/>
      <c r="F928" s="34"/>
      <c r="G928" s="34"/>
      <c r="H928" s="34"/>
      <c r="L928" s="34"/>
      <c r="M928" s="35"/>
      <c r="N928" s="35"/>
      <c r="O928" s="35"/>
      <c r="P928" s="35"/>
    </row>
    <row r="929">
      <c r="A929" s="34"/>
      <c r="B929" s="34"/>
      <c r="C929" s="34"/>
      <c r="D929" s="34"/>
      <c r="E929" s="34"/>
      <c r="F929" s="34"/>
      <c r="G929" s="34"/>
      <c r="H929" s="34"/>
      <c r="L929" s="34"/>
      <c r="M929" s="35"/>
      <c r="N929" s="35"/>
      <c r="O929" s="35"/>
      <c r="P929" s="35"/>
    </row>
    <row r="930">
      <c r="A930" s="34"/>
      <c r="B930" s="34"/>
      <c r="C930" s="34"/>
      <c r="D930" s="34"/>
      <c r="E930" s="34"/>
      <c r="F930" s="34"/>
      <c r="G930" s="34"/>
      <c r="H930" s="34"/>
      <c r="L930" s="34"/>
      <c r="M930" s="35"/>
      <c r="N930" s="35"/>
      <c r="O930" s="35"/>
      <c r="P930" s="35"/>
    </row>
    <row r="931">
      <c r="A931" s="34"/>
      <c r="B931" s="34"/>
      <c r="C931" s="34"/>
      <c r="D931" s="34"/>
      <c r="E931" s="34"/>
      <c r="F931" s="34"/>
      <c r="G931" s="34"/>
      <c r="H931" s="34"/>
      <c r="L931" s="34"/>
      <c r="M931" s="35"/>
      <c r="N931" s="35"/>
      <c r="O931" s="35"/>
      <c r="P931" s="35"/>
    </row>
    <row r="932">
      <c r="A932" s="34"/>
      <c r="B932" s="34"/>
      <c r="C932" s="34"/>
      <c r="D932" s="34"/>
      <c r="E932" s="34"/>
      <c r="F932" s="34"/>
      <c r="G932" s="34"/>
      <c r="H932" s="34"/>
      <c r="L932" s="34"/>
      <c r="M932" s="35"/>
      <c r="N932" s="35"/>
      <c r="O932" s="35"/>
      <c r="P932" s="35"/>
    </row>
    <row r="933">
      <c r="A933" s="34"/>
      <c r="B933" s="34"/>
      <c r="C933" s="34"/>
      <c r="D933" s="34"/>
      <c r="E933" s="34"/>
      <c r="F933" s="34"/>
      <c r="G933" s="34"/>
      <c r="H933" s="34"/>
      <c r="L933" s="34"/>
      <c r="M933" s="35"/>
      <c r="N933" s="35"/>
      <c r="O933" s="35"/>
      <c r="P933" s="35"/>
    </row>
    <row r="934">
      <c r="A934" s="34"/>
      <c r="B934" s="34"/>
      <c r="C934" s="34"/>
      <c r="D934" s="34"/>
      <c r="E934" s="34"/>
      <c r="F934" s="34"/>
      <c r="G934" s="34"/>
      <c r="H934" s="34"/>
      <c r="L934" s="34"/>
      <c r="M934" s="35"/>
      <c r="N934" s="35"/>
      <c r="O934" s="35"/>
      <c r="P934" s="35"/>
    </row>
    <row r="935">
      <c r="A935" s="34"/>
      <c r="B935" s="34"/>
      <c r="C935" s="34"/>
      <c r="D935" s="34"/>
      <c r="E935" s="34"/>
      <c r="F935" s="34"/>
      <c r="G935" s="34"/>
      <c r="H935" s="34"/>
      <c r="L935" s="34"/>
      <c r="M935" s="35"/>
      <c r="N935" s="35"/>
      <c r="O935" s="35"/>
      <c r="P935" s="35"/>
    </row>
    <row r="936">
      <c r="A936" s="34"/>
      <c r="B936" s="34"/>
      <c r="C936" s="34"/>
      <c r="D936" s="34"/>
      <c r="E936" s="34"/>
      <c r="F936" s="34"/>
      <c r="G936" s="34"/>
      <c r="H936" s="34"/>
      <c r="L936" s="34"/>
      <c r="M936" s="35"/>
      <c r="N936" s="35"/>
      <c r="O936" s="35"/>
      <c r="P936" s="35"/>
    </row>
    <row r="937">
      <c r="A937" s="34"/>
      <c r="B937" s="34"/>
      <c r="C937" s="34"/>
      <c r="D937" s="34"/>
      <c r="E937" s="34"/>
      <c r="F937" s="34"/>
      <c r="G937" s="34"/>
      <c r="H937" s="34"/>
      <c r="L937" s="34"/>
      <c r="M937" s="35"/>
      <c r="N937" s="35"/>
      <c r="O937" s="35"/>
      <c r="P937" s="35"/>
    </row>
    <row r="938">
      <c r="A938" s="34"/>
      <c r="B938" s="34"/>
      <c r="C938" s="34"/>
      <c r="D938" s="34"/>
      <c r="E938" s="34"/>
      <c r="F938" s="34"/>
      <c r="G938" s="34"/>
      <c r="H938" s="34"/>
      <c r="L938" s="34"/>
      <c r="M938" s="35"/>
      <c r="N938" s="35"/>
      <c r="O938" s="35"/>
      <c r="P938" s="35"/>
    </row>
    <row r="939">
      <c r="A939" s="34"/>
      <c r="B939" s="34"/>
      <c r="C939" s="34"/>
      <c r="D939" s="34"/>
      <c r="E939" s="34"/>
      <c r="F939" s="34"/>
      <c r="G939" s="34"/>
      <c r="H939" s="34"/>
      <c r="L939" s="34"/>
      <c r="M939" s="35"/>
      <c r="N939" s="35"/>
      <c r="O939" s="35"/>
      <c r="P939" s="35"/>
    </row>
    <row r="940">
      <c r="A940" s="34"/>
      <c r="B940" s="34"/>
      <c r="C940" s="34"/>
      <c r="D940" s="34"/>
      <c r="E940" s="34"/>
      <c r="F940" s="34"/>
      <c r="G940" s="34"/>
      <c r="H940" s="34"/>
      <c r="L940" s="34"/>
      <c r="M940" s="35"/>
      <c r="N940" s="35"/>
      <c r="O940" s="35"/>
      <c r="P940" s="35"/>
    </row>
    <row r="941">
      <c r="A941" s="34"/>
      <c r="B941" s="34"/>
      <c r="C941" s="34"/>
      <c r="D941" s="34"/>
      <c r="E941" s="34"/>
      <c r="F941" s="34"/>
      <c r="G941" s="34"/>
      <c r="H941" s="34"/>
      <c r="L941" s="34"/>
      <c r="M941" s="35"/>
      <c r="N941" s="35"/>
      <c r="O941" s="35"/>
      <c r="P941" s="35"/>
    </row>
    <row r="942">
      <c r="A942" s="34"/>
      <c r="B942" s="34"/>
      <c r="C942" s="34"/>
      <c r="D942" s="34"/>
      <c r="E942" s="34"/>
      <c r="F942" s="34"/>
      <c r="G942" s="34"/>
      <c r="H942" s="34"/>
      <c r="L942" s="34"/>
      <c r="M942" s="35"/>
      <c r="N942" s="35"/>
      <c r="O942" s="35"/>
      <c r="P942" s="35"/>
    </row>
    <row r="943">
      <c r="A943" s="34"/>
      <c r="B943" s="34"/>
      <c r="C943" s="34"/>
      <c r="D943" s="34"/>
      <c r="E943" s="34"/>
      <c r="F943" s="34"/>
      <c r="G943" s="34"/>
      <c r="H943" s="34"/>
      <c r="L943" s="34"/>
      <c r="M943" s="35"/>
      <c r="N943" s="35"/>
      <c r="O943" s="35"/>
      <c r="P943" s="35"/>
    </row>
    <row r="944">
      <c r="A944" s="34"/>
      <c r="B944" s="34"/>
      <c r="C944" s="34"/>
      <c r="D944" s="34"/>
      <c r="E944" s="34"/>
      <c r="F944" s="34"/>
      <c r="G944" s="34"/>
      <c r="H944" s="34"/>
      <c r="L944" s="34"/>
      <c r="M944" s="35"/>
      <c r="N944" s="35"/>
      <c r="O944" s="35"/>
      <c r="P944" s="35"/>
    </row>
    <row r="945">
      <c r="A945" s="34"/>
      <c r="B945" s="34"/>
      <c r="C945" s="34"/>
      <c r="D945" s="34"/>
      <c r="E945" s="34"/>
      <c r="F945" s="34"/>
      <c r="G945" s="34"/>
      <c r="H945" s="34"/>
      <c r="L945" s="34"/>
      <c r="M945" s="35"/>
      <c r="N945" s="35"/>
      <c r="O945" s="35"/>
      <c r="P945" s="35"/>
    </row>
    <row r="946">
      <c r="A946" s="34"/>
      <c r="B946" s="34"/>
      <c r="C946" s="34"/>
      <c r="D946" s="34"/>
      <c r="E946" s="34"/>
      <c r="F946" s="34"/>
      <c r="G946" s="34"/>
      <c r="H946" s="34"/>
      <c r="L946" s="34"/>
      <c r="M946" s="35"/>
      <c r="N946" s="35"/>
      <c r="O946" s="35"/>
      <c r="P946" s="35"/>
    </row>
    <row r="947">
      <c r="A947" s="34"/>
      <c r="B947" s="34"/>
      <c r="C947" s="34"/>
      <c r="D947" s="34"/>
      <c r="E947" s="34"/>
      <c r="F947" s="34"/>
      <c r="G947" s="34"/>
      <c r="H947" s="34"/>
      <c r="L947" s="34"/>
      <c r="M947" s="35"/>
      <c r="N947" s="35"/>
      <c r="O947" s="35"/>
      <c r="P947" s="35"/>
    </row>
    <row r="948">
      <c r="A948" s="34"/>
      <c r="B948" s="34"/>
      <c r="C948" s="34"/>
      <c r="D948" s="34"/>
      <c r="E948" s="34"/>
      <c r="F948" s="34"/>
      <c r="G948" s="34"/>
      <c r="H948" s="34"/>
      <c r="L948" s="34"/>
      <c r="M948" s="35"/>
      <c r="N948" s="35"/>
      <c r="O948" s="35"/>
      <c r="P948" s="35"/>
    </row>
    <row r="949">
      <c r="A949" s="34"/>
      <c r="B949" s="34"/>
      <c r="C949" s="34"/>
      <c r="D949" s="34"/>
      <c r="E949" s="34"/>
      <c r="F949" s="34"/>
      <c r="G949" s="34"/>
      <c r="H949" s="34"/>
      <c r="L949" s="34"/>
      <c r="M949" s="35"/>
      <c r="N949" s="35"/>
      <c r="O949" s="35"/>
      <c r="P949" s="35"/>
    </row>
    <row r="950">
      <c r="A950" s="34"/>
      <c r="B950" s="34"/>
      <c r="C950" s="34"/>
      <c r="D950" s="34"/>
      <c r="E950" s="34"/>
      <c r="F950" s="34"/>
      <c r="G950" s="34"/>
      <c r="H950" s="34"/>
      <c r="L950" s="34"/>
      <c r="M950" s="35"/>
      <c r="N950" s="35"/>
      <c r="O950" s="35"/>
      <c r="P950" s="35"/>
    </row>
    <row r="951">
      <c r="A951" s="34"/>
      <c r="B951" s="34"/>
      <c r="C951" s="34"/>
      <c r="D951" s="34"/>
      <c r="E951" s="34"/>
      <c r="F951" s="34"/>
      <c r="G951" s="34"/>
      <c r="H951" s="34"/>
      <c r="L951" s="34"/>
      <c r="M951" s="35"/>
      <c r="N951" s="35"/>
      <c r="O951" s="35"/>
      <c r="P951" s="35"/>
    </row>
    <row r="952">
      <c r="A952" s="34"/>
      <c r="B952" s="34"/>
      <c r="C952" s="34"/>
      <c r="D952" s="34"/>
      <c r="E952" s="34"/>
      <c r="F952" s="34"/>
      <c r="G952" s="34"/>
      <c r="H952" s="34"/>
      <c r="L952" s="34"/>
      <c r="M952" s="35"/>
      <c r="N952" s="35"/>
      <c r="O952" s="35"/>
      <c r="P952" s="35"/>
    </row>
    <row r="953">
      <c r="A953" s="34"/>
      <c r="B953" s="34"/>
      <c r="C953" s="34"/>
      <c r="D953" s="34"/>
      <c r="E953" s="34"/>
      <c r="F953" s="34"/>
      <c r="G953" s="34"/>
      <c r="H953" s="34"/>
      <c r="L953" s="34"/>
      <c r="M953" s="35"/>
      <c r="N953" s="35"/>
      <c r="O953" s="35"/>
      <c r="P953" s="35"/>
    </row>
    <row r="954">
      <c r="A954" s="34"/>
      <c r="B954" s="34"/>
      <c r="C954" s="34"/>
      <c r="D954" s="34"/>
      <c r="E954" s="34"/>
      <c r="F954" s="34"/>
      <c r="G954" s="34"/>
      <c r="H954" s="34"/>
      <c r="L954" s="34"/>
      <c r="M954" s="35"/>
      <c r="N954" s="35"/>
      <c r="O954" s="35"/>
      <c r="P954" s="35"/>
    </row>
    <row r="955">
      <c r="A955" s="34"/>
      <c r="B955" s="34"/>
      <c r="C955" s="34"/>
      <c r="D955" s="34"/>
      <c r="E955" s="34"/>
      <c r="F955" s="34"/>
      <c r="G955" s="34"/>
      <c r="H955" s="34"/>
      <c r="L955" s="34"/>
      <c r="M955" s="35"/>
      <c r="N955" s="35"/>
      <c r="O955" s="35"/>
      <c r="P955" s="35"/>
    </row>
    <row r="956">
      <c r="A956" s="34"/>
      <c r="B956" s="34"/>
      <c r="C956" s="34"/>
      <c r="D956" s="34"/>
      <c r="E956" s="34"/>
      <c r="F956" s="34"/>
      <c r="G956" s="34"/>
      <c r="H956" s="34"/>
      <c r="L956" s="34"/>
      <c r="M956" s="35"/>
      <c r="N956" s="35"/>
      <c r="O956" s="35"/>
      <c r="P956" s="35"/>
    </row>
    <row r="957">
      <c r="A957" s="34"/>
      <c r="B957" s="34"/>
      <c r="C957" s="34"/>
      <c r="D957" s="34"/>
      <c r="E957" s="34"/>
      <c r="F957" s="34"/>
      <c r="G957" s="34"/>
      <c r="H957" s="34"/>
      <c r="L957" s="34"/>
      <c r="M957" s="35"/>
      <c r="N957" s="35"/>
      <c r="O957" s="35"/>
      <c r="P957" s="35"/>
    </row>
    <row r="958">
      <c r="A958" s="34"/>
      <c r="B958" s="34"/>
      <c r="C958" s="34"/>
      <c r="D958" s="34"/>
      <c r="E958" s="34"/>
      <c r="F958" s="34"/>
      <c r="G958" s="34"/>
      <c r="H958" s="34"/>
      <c r="L958" s="34"/>
      <c r="M958" s="35"/>
      <c r="N958" s="35"/>
      <c r="O958" s="35"/>
      <c r="P958" s="35"/>
    </row>
    <row r="959">
      <c r="A959" s="34"/>
      <c r="B959" s="34"/>
      <c r="C959" s="34"/>
      <c r="D959" s="34"/>
      <c r="E959" s="34"/>
      <c r="F959" s="34"/>
      <c r="G959" s="34"/>
      <c r="H959" s="34"/>
      <c r="L959" s="34"/>
      <c r="M959" s="35"/>
      <c r="N959" s="35"/>
      <c r="O959" s="35"/>
      <c r="P959" s="35"/>
    </row>
    <row r="960">
      <c r="A960" s="34"/>
      <c r="B960" s="34"/>
      <c r="C960" s="34"/>
      <c r="D960" s="34"/>
      <c r="E960" s="34"/>
      <c r="F960" s="34"/>
      <c r="G960" s="34"/>
      <c r="H960" s="34"/>
      <c r="L960" s="34"/>
      <c r="M960" s="35"/>
      <c r="N960" s="35"/>
      <c r="O960" s="35"/>
      <c r="P960" s="35"/>
    </row>
    <row r="961">
      <c r="A961" s="34"/>
      <c r="B961" s="34"/>
      <c r="C961" s="34"/>
      <c r="D961" s="34"/>
      <c r="E961" s="34"/>
      <c r="F961" s="34"/>
      <c r="G961" s="34"/>
      <c r="H961" s="34"/>
      <c r="L961" s="34"/>
      <c r="M961" s="35"/>
      <c r="N961" s="35"/>
      <c r="O961" s="35"/>
      <c r="P961" s="35"/>
    </row>
    <row r="962">
      <c r="A962" s="34"/>
      <c r="B962" s="34"/>
      <c r="C962" s="34"/>
      <c r="D962" s="34"/>
      <c r="E962" s="34"/>
      <c r="F962" s="34"/>
      <c r="G962" s="34"/>
      <c r="H962" s="34"/>
      <c r="L962" s="34"/>
      <c r="M962" s="35"/>
      <c r="N962" s="35"/>
      <c r="O962" s="35"/>
      <c r="P962" s="35"/>
    </row>
    <row r="963">
      <c r="A963" s="34"/>
      <c r="B963" s="34"/>
      <c r="C963" s="34"/>
      <c r="D963" s="34"/>
      <c r="E963" s="34"/>
      <c r="F963" s="34"/>
      <c r="G963" s="34"/>
      <c r="H963" s="34"/>
      <c r="L963" s="34"/>
      <c r="M963" s="35"/>
      <c r="N963" s="35"/>
      <c r="O963" s="35"/>
      <c r="P963" s="35"/>
    </row>
    <row r="964">
      <c r="A964" s="34"/>
      <c r="B964" s="34"/>
      <c r="C964" s="34"/>
      <c r="D964" s="34"/>
      <c r="E964" s="34"/>
      <c r="F964" s="34"/>
      <c r="G964" s="34"/>
      <c r="H964" s="34"/>
      <c r="L964" s="34"/>
      <c r="M964" s="35"/>
      <c r="N964" s="35"/>
      <c r="O964" s="35"/>
      <c r="P964" s="35"/>
    </row>
    <row r="965">
      <c r="A965" s="34"/>
      <c r="B965" s="34"/>
      <c r="C965" s="34"/>
      <c r="D965" s="34"/>
      <c r="E965" s="34"/>
      <c r="F965" s="34"/>
      <c r="G965" s="34"/>
      <c r="H965" s="34"/>
      <c r="L965" s="34"/>
      <c r="M965" s="35"/>
      <c r="N965" s="35"/>
      <c r="O965" s="35"/>
      <c r="P965" s="35"/>
    </row>
    <row r="966">
      <c r="A966" s="34"/>
      <c r="B966" s="34"/>
      <c r="C966" s="34"/>
      <c r="D966" s="34"/>
      <c r="E966" s="34"/>
      <c r="F966" s="34"/>
      <c r="G966" s="34"/>
      <c r="H966" s="34"/>
      <c r="L966" s="34"/>
      <c r="M966" s="35"/>
      <c r="N966" s="35"/>
      <c r="O966" s="35"/>
      <c r="P966" s="35"/>
    </row>
    <row r="967">
      <c r="A967" s="34"/>
      <c r="B967" s="34"/>
      <c r="C967" s="34"/>
      <c r="D967" s="34"/>
      <c r="E967" s="34"/>
      <c r="F967" s="34"/>
      <c r="G967" s="34"/>
      <c r="H967" s="34"/>
      <c r="L967" s="34"/>
      <c r="M967" s="35"/>
      <c r="N967" s="35"/>
      <c r="O967" s="35"/>
      <c r="P967" s="35"/>
    </row>
    <row r="968">
      <c r="A968" s="34"/>
      <c r="B968" s="34"/>
      <c r="C968" s="34"/>
      <c r="D968" s="34"/>
      <c r="E968" s="34"/>
      <c r="F968" s="34"/>
      <c r="G968" s="34"/>
      <c r="H968" s="34"/>
      <c r="L968" s="34"/>
      <c r="M968" s="35"/>
      <c r="N968" s="35"/>
      <c r="O968" s="35"/>
      <c r="P968" s="35"/>
    </row>
    <row r="969">
      <c r="A969" s="34"/>
      <c r="B969" s="34"/>
      <c r="C969" s="34"/>
      <c r="D969" s="34"/>
      <c r="E969" s="34"/>
      <c r="F969" s="34"/>
      <c r="G969" s="34"/>
      <c r="H969" s="34"/>
      <c r="L969" s="34"/>
      <c r="M969" s="35"/>
      <c r="N969" s="35"/>
      <c r="O969" s="35"/>
      <c r="P969" s="35"/>
    </row>
    <row r="970">
      <c r="A970" s="34"/>
      <c r="B970" s="34"/>
      <c r="C970" s="34"/>
      <c r="D970" s="34"/>
      <c r="E970" s="34"/>
      <c r="F970" s="34"/>
      <c r="G970" s="34"/>
      <c r="H970" s="34"/>
      <c r="L970" s="34"/>
      <c r="M970" s="35"/>
      <c r="N970" s="35"/>
      <c r="O970" s="35"/>
      <c r="P970" s="35"/>
    </row>
    <row r="971">
      <c r="A971" s="34"/>
      <c r="B971" s="34"/>
      <c r="C971" s="34"/>
      <c r="D971" s="34"/>
      <c r="E971" s="34"/>
      <c r="F971" s="34"/>
      <c r="G971" s="34"/>
      <c r="H971" s="34"/>
      <c r="L971" s="34"/>
      <c r="M971" s="35"/>
      <c r="N971" s="35"/>
      <c r="O971" s="35"/>
      <c r="P971" s="35"/>
    </row>
    <row r="972">
      <c r="A972" s="34"/>
      <c r="B972" s="34"/>
      <c r="C972" s="34"/>
      <c r="D972" s="34"/>
      <c r="E972" s="34"/>
      <c r="F972" s="34"/>
      <c r="G972" s="34"/>
      <c r="H972" s="34"/>
      <c r="L972" s="34"/>
      <c r="M972" s="35"/>
      <c r="N972" s="35"/>
      <c r="O972" s="35"/>
      <c r="P972" s="35"/>
    </row>
    <row r="973">
      <c r="A973" s="34"/>
      <c r="B973" s="34"/>
      <c r="C973" s="34"/>
      <c r="D973" s="34"/>
      <c r="E973" s="34"/>
      <c r="F973" s="34"/>
      <c r="G973" s="34"/>
      <c r="H973" s="34"/>
      <c r="L973" s="34"/>
      <c r="M973" s="35"/>
      <c r="N973" s="35"/>
      <c r="O973" s="35"/>
      <c r="P973" s="35"/>
    </row>
    <row r="974">
      <c r="A974" s="34"/>
      <c r="B974" s="34"/>
      <c r="C974" s="34"/>
      <c r="D974" s="34"/>
      <c r="E974" s="34"/>
      <c r="F974" s="34"/>
      <c r="G974" s="34"/>
      <c r="H974" s="34"/>
      <c r="L974" s="34"/>
      <c r="M974" s="35"/>
      <c r="N974" s="35"/>
      <c r="O974" s="35"/>
      <c r="P974" s="35"/>
    </row>
    <row r="975">
      <c r="A975" s="34"/>
      <c r="B975" s="34"/>
      <c r="C975" s="34"/>
      <c r="D975" s="34"/>
      <c r="E975" s="34"/>
      <c r="F975" s="34"/>
      <c r="G975" s="34"/>
      <c r="H975" s="34"/>
      <c r="L975" s="34"/>
      <c r="M975" s="35"/>
      <c r="N975" s="35"/>
      <c r="O975" s="35"/>
      <c r="P975" s="35"/>
    </row>
    <row r="976">
      <c r="A976" s="34"/>
      <c r="B976" s="34"/>
      <c r="C976" s="34"/>
      <c r="D976" s="34"/>
      <c r="E976" s="34"/>
      <c r="F976" s="34"/>
      <c r="G976" s="34"/>
      <c r="H976" s="34"/>
      <c r="L976" s="34"/>
      <c r="M976" s="35"/>
      <c r="N976" s="35"/>
      <c r="O976" s="35"/>
      <c r="P976" s="35"/>
    </row>
    <row r="977">
      <c r="A977" s="34"/>
      <c r="B977" s="34"/>
      <c r="C977" s="34"/>
      <c r="D977" s="34"/>
      <c r="E977" s="34"/>
      <c r="F977" s="34"/>
      <c r="G977" s="34"/>
      <c r="H977" s="34"/>
      <c r="L977" s="34"/>
      <c r="M977" s="35"/>
      <c r="N977" s="35"/>
      <c r="O977" s="35"/>
      <c r="P977" s="35"/>
    </row>
    <row r="978">
      <c r="A978" s="34"/>
      <c r="B978" s="34"/>
      <c r="C978" s="34"/>
      <c r="D978" s="34"/>
      <c r="E978" s="34"/>
      <c r="F978" s="34"/>
      <c r="G978" s="34"/>
      <c r="H978" s="34"/>
      <c r="L978" s="34"/>
      <c r="M978" s="35"/>
      <c r="N978" s="35"/>
      <c r="O978" s="35"/>
      <c r="P978" s="35"/>
    </row>
    <row r="979">
      <c r="A979" s="34"/>
      <c r="B979" s="34"/>
      <c r="C979" s="34"/>
      <c r="D979" s="34"/>
      <c r="E979" s="34"/>
      <c r="F979" s="34"/>
      <c r="G979" s="34"/>
      <c r="H979" s="34"/>
      <c r="L979" s="34"/>
      <c r="M979" s="35"/>
      <c r="N979" s="35"/>
      <c r="O979" s="35"/>
      <c r="P979" s="35"/>
    </row>
    <row r="980">
      <c r="A980" s="34"/>
      <c r="B980" s="34"/>
      <c r="C980" s="34"/>
      <c r="D980" s="34"/>
      <c r="E980" s="34"/>
      <c r="F980" s="34"/>
      <c r="G980" s="34"/>
      <c r="H980" s="34"/>
      <c r="L980" s="34"/>
      <c r="M980" s="35"/>
      <c r="N980" s="35"/>
      <c r="O980" s="35"/>
      <c r="P980" s="35"/>
    </row>
    <row r="981">
      <c r="A981" s="34"/>
      <c r="B981" s="34"/>
      <c r="C981" s="34"/>
      <c r="D981" s="34"/>
      <c r="E981" s="34"/>
      <c r="F981" s="34"/>
      <c r="G981" s="34"/>
      <c r="H981" s="34"/>
      <c r="L981" s="34"/>
      <c r="M981" s="35"/>
      <c r="N981" s="35"/>
      <c r="O981" s="35"/>
      <c r="P981" s="35"/>
    </row>
    <row r="982">
      <c r="A982" s="34"/>
      <c r="B982" s="34"/>
      <c r="C982" s="34"/>
      <c r="D982" s="34"/>
      <c r="E982" s="34"/>
      <c r="F982" s="34"/>
      <c r="G982" s="34"/>
      <c r="H982" s="34"/>
      <c r="L982" s="34"/>
      <c r="M982" s="35"/>
      <c r="N982" s="35"/>
      <c r="O982" s="35"/>
      <c r="P982" s="35"/>
    </row>
    <row r="983">
      <c r="A983" s="34"/>
      <c r="B983" s="34"/>
      <c r="C983" s="34"/>
      <c r="D983" s="34"/>
      <c r="E983" s="34"/>
      <c r="F983" s="34"/>
      <c r="G983" s="34"/>
      <c r="H983" s="34"/>
      <c r="L983" s="34"/>
      <c r="M983" s="35"/>
      <c r="N983" s="35"/>
      <c r="O983" s="35"/>
      <c r="P983" s="35"/>
    </row>
    <row r="984">
      <c r="A984" s="34"/>
      <c r="B984" s="34"/>
      <c r="C984" s="34"/>
      <c r="D984" s="34"/>
      <c r="E984" s="34"/>
      <c r="F984" s="34"/>
      <c r="G984" s="34"/>
      <c r="H984" s="34"/>
      <c r="L984" s="34"/>
      <c r="M984" s="35"/>
      <c r="N984" s="35"/>
      <c r="O984" s="35"/>
      <c r="P984" s="35"/>
    </row>
    <row r="985">
      <c r="A985" s="34"/>
      <c r="B985" s="34"/>
      <c r="C985" s="34"/>
      <c r="D985" s="34"/>
      <c r="E985" s="34"/>
      <c r="F985" s="34"/>
      <c r="G985" s="34"/>
      <c r="H985" s="34"/>
      <c r="L985" s="34"/>
      <c r="M985" s="35"/>
      <c r="N985" s="35"/>
      <c r="O985" s="35"/>
      <c r="P985" s="35"/>
    </row>
    <row r="986">
      <c r="A986" s="34"/>
      <c r="B986" s="34"/>
      <c r="C986" s="34"/>
      <c r="D986" s="34"/>
      <c r="E986" s="34"/>
      <c r="F986" s="34"/>
      <c r="G986" s="34"/>
      <c r="H986" s="34"/>
      <c r="L986" s="34"/>
      <c r="M986" s="35"/>
      <c r="N986" s="35"/>
      <c r="O986" s="35"/>
      <c r="P986" s="35"/>
    </row>
    <row r="987">
      <c r="A987" s="34"/>
      <c r="B987" s="34"/>
      <c r="C987" s="34"/>
      <c r="D987" s="34"/>
      <c r="E987" s="34"/>
      <c r="F987" s="34"/>
      <c r="G987" s="34"/>
      <c r="H987" s="34"/>
      <c r="L987" s="34"/>
      <c r="M987" s="35"/>
      <c r="N987" s="35"/>
      <c r="O987" s="35"/>
      <c r="P987" s="35"/>
    </row>
    <row r="988">
      <c r="A988" s="34"/>
      <c r="B988" s="34"/>
      <c r="C988" s="34"/>
      <c r="D988" s="34"/>
      <c r="E988" s="34"/>
      <c r="F988" s="34"/>
      <c r="G988" s="34"/>
      <c r="H988" s="34"/>
      <c r="L988" s="34"/>
      <c r="M988" s="35"/>
      <c r="N988" s="35"/>
      <c r="O988" s="35"/>
      <c r="P988" s="35"/>
    </row>
    <row r="989">
      <c r="A989" s="34"/>
      <c r="B989" s="34"/>
      <c r="C989" s="34"/>
      <c r="D989" s="34"/>
      <c r="E989" s="34"/>
      <c r="F989" s="34"/>
      <c r="G989" s="34"/>
      <c r="H989" s="34"/>
      <c r="L989" s="34"/>
      <c r="M989" s="35"/>
      <c r="N989" s="35"/>
      <c r="O989" s="35"/>
      <c r="P989" s="35"/>
    </row>
    <row r="990">
      <c r="A990" s="34"/>
      <c r="B990" s="34"/>
      <c r="C990" s="34"/>
      <c r="D990" s="34"/>
      <c r="E990" s="34"/>
      <c r="F990" s="34"/>
      <c r="G990" s="34"/>
      <c r="H990" s="34"/>
      <c r="L990" s="34"/>
      <c r="M990" s="35"/>
      <c r="N990" s="35"/>
      <c r="O990" s="35"/>
      <c r="P990" s="35"/>
    </row>
    <row r="991">
      <c r="A991" s="34"/>
      <c r="B991" s="34"/>
      <c r="C991" s="34"/>
      <c r="D991" s="34"/>
      <c r="E991" s="34"/>
      <c r="F991" s="34"/>
      <c r="G991" s="34"/>
      <c r="H991" s="34"/>
      <c r="L991" s="34"/>
      <c r="M991" s="35"/>
      <c r="N991" s="35"/>
      <c r="O991" s="35"/>
      <c r="P991" s="35"/>
    </row>
    <row r="992">
      <c r="A992" s="34"/>
      <c r="B992" s="34"/>
      <c r="C992" s="34"/>
      <c r="D992" s="34"/>
      <c r="E992" s="34"/>
      <c r="F992" s="34"/>
      <c r="G992" s="34"/>
      <c r="H992" s="34"/>
      <c r="L992" s="34"/>
      <c r="M992" s="35"/>
      <c r="N992" s="35"/>
      <c r="O992" s="35"/>
      <c r="P992" s="35"/>
    </row>
    <row r="993">
      <c r="A993" s="34"/>
      <c r="B993" s="34"/>
      <c r="C993" s="34"/>
      <c r="D993" s="34"/>
      <c r="E993" s="34"/>
      <c r="F993" s="34"/>
      <c r="G993" s="34"/>
      <c r="H993" s="34"/>
      <c r="L993" s="34"/>
      <c r="M993" s="35"/>
      <c r="N993" s="35"/>
      <c r="O993" s="35"/>
      <c r="P993" s="35"/>
    </row>
    <row r="994">
      <c r="A994" s="34"/>
      <c r="B994" s="34"/>
      <c r="C994" s="34"/>
      <c r="D994" s="34"/>
      <c r="E994" s="34"/>
      <c r="F994" s="34"/>
      <c r="G994" s="34"/>
      <c r="H994" s="34"/>
      <c r="L994" s="34"/>
      <c r="M994" s="35"/>
      <c r="N994" s="35"/>
      <c r="O994" s="35"/>
      <c r="P994" s="35"/>
    </row>
    <row r="995">
      <c r="A995" s="34"/>
      <c r="B995" s="34"/>
      <c r="C995" s="34"/>
      <c r="D995" s="34"/>
      <c r="E995" s="34"/>
      <c r="F995" s="34"/>
      <c r="G995" s="34"/>
      <c r="H995" s="34"/>
      <c r="L995" s="34"/>
      <c r="M995" s="35"/>
      <c r="N995" s="35"/>
      <c r="O995" s="35"/>
      <c r="P995" s="35"/>
    </row>
    <row r="996">
      <c r="A996" s="34"/>
      <c r="B996" s="34"/>
      <c r="C996" s="34"/>
      <c r="D996" s="34"/>
      <c r="E996" s="34"/>
      <c r="F996" s="34"/>
      <c r="G996" s="34"/>
      <c r="H996" s="34"/>
      <c r="L996" s="34"/>
      <c r="M996" s="35"/>
      <c r="N996" s="35"/>
      <c r="O996" s="35"/>
      <c r="P996" s="35"/>
    </row>
    <row r="997">
      <c r="A997" s="34"/>
      <c r="B997" s="34"/>
      <c r="C997" s="34"/>
      <c r="D997" s="34"/>
      <c r="E997" s="34"/>
      <c r="F997" s="34"/>
      <c r="G997" s="34"/>
      <c r="H997" s="34"/>
      <c r="L997" s="34"/>
      <c r="M997" s="35"/>
      <c r="N997" s="35"/>
      <c r="O997" s="35"/>
      <c r="P997" s="35"/>
    </row>
    <row r="998">
      <c r="A998" s="34"/>
      <c r="B998" s="34"/>
      <c r="C998" s="34"/>
      <c r="D998" s="34"/>
      <c r="E998" s="34"/>
      <c r="F998" s="34"/>
      <c r="G998" s="34"/>
      <c r="H998" s="34"/>
      <c r="L998" s="34"/>
      <c r="M998" s="35"/>
      <c r="N998" s="35"/>
      <c r="O998" s="35"/>
      <c r="P998" s="35"/>
    </row>
    <row r="999">
      <c r="A999" s="34"/>
      <c r="B999" s="34"/>
      <c r="C999" s="34"/>
      <c r="D999" s="34"/>
      <c r="E999" s="34"/>
      <c r="F999" s="34"/>
      <c r="G999" s="34"/>
      <c r="H999" s="34"/>
      <c r="L999" s="34"/>
      <c r="M999" s="35"/>
      <c r="N999" s="35"/>
      <c r="O999" s="35"/>
      <c r="P999" s="35"/>
    </row>
    <row r="1000">
      <c r="A1000" s="34"/>
      <c r="B1000" s="34"/>
      <c r="C1000" s="34"/>
      <c r="D1000" s="34"/>
      <c r="E1000" s="34"/>
      <c r="F1000" s="34"/>
      <c r="G1000" s="34"/>
      <c r="H1000" s="34"/>
      <c r="L1000" s="34"/>
      <c r="M1000" s="35"/>
      <c r="N1000" s="35"/>
      <c r="O1000" s="35"/>
      <c r="P1000" s="35"/>
    </row>
    <row r="1001">
      <c r="A1001" s="34"/>
      <c r="B1001" s="34"/>
      <c r="C1001" s="34"/>
      <c r="D1001" s="34"/>
      <c r="E1001" s="34"/>
      <c r="F1001" s="34"/>
      <c r="G1001" s="34"/>
      <c r="H1001" s="34"/>
      <c r="L1001" s="34"/>
      <c r="M1001" s="35"/>
      <c r="N1001" s="35"/>
      <c r="O1001" s="35"/>
      <c r="P1001" s="35"/>
    </row>
    <row r="1002">
      <c r="A1002" s="34"/>
      <c r="B1002" s="34"/>
      <c r="C1002" s="34"/>
      <c r="D1002" s="34"/>
      <c r="E1002" s="34"/>
      <c r="F1002" s="34"/>
      <c r="G1002" s="34"/>
      <c r="H1002" s="34"/>
      <c r="L1002" s="34"/>
      <c r="M1002" s="35"/>
      <c r="N1002" s="35"/>
      <c r="O1002" s="35"/>
      <c r="P1002" s="35"/>
    </row>
    <row r="1003">
      <c r="A1003" s="34"/>
      <c r="B1003" s="34"/>
      <c r="C1003" s="34"/>
      <c r="D1003" s="34"/>
      <c r="E1003" s="34"/>
      <c r="F1003" s="34"/>
      <c r="G1003" s="34"/>
      <c r="H1003" s="34"/>
      <c r="L1003" s="34"/>
      <c r="M1003" s="35"/>
      <c r="N1003" s="35"/>
      <c r="O1003" s="35"/>
      <c r="P1003" s="35"/>
    </row>
    <row r="1004">
      <c r="A1004" s="34"/>
      <c r="B1004" s="34"/>
      <c r="C1004" s="34"/>
      <c r="D1004" s="34"/>
      <c r="E1004" s="34"/>
      <c r="F1004" s="34"/>
      <c r="G1004" s="34"/>
      <c r="H1004" s="34"/>
      <c r="L1004" s="34"/>
      <c r="M1004" s="35"/>
      <c r="N1004" s="35"/>
      <c r="O1004" s="35"/>
      <c r="P1004" s="35"/>
    </row>
    <row r="1005">
      <c r="A1005" s="34"/>
      <c r="B1005" s="34"/>
      <c r="C1005" s="34"/>
      <c r="D1005" s="34"/>
      <c r="E1005" s="34"/>
      <c r="F1005" s="34"/>
      <c r="G1005" s="34"/>
      <c r="H1005" s="34"/>
      <c r="L1005" s="34"/>
      <c r="M1005" s="35"/>
      <c r="N1005" s="35"/>
      <c r="O1005" s="35"/>
      <c r="P1005" s="35"/>
    </row>
    <row r="1006">
      <c r="A1006" s="34"/>
      <c r="B1006" s="34"/>
      <c r="C1006" s="34"/>
      <c r="D1006" s="34"/>
      <c r="E1006" s="34"/>
      <c r="F1006" s="34"/>
      <c r="G1006" s="34"/>
      <c r="H1006" s="34"/>
      <c r="L1006" s="34"/>
      <c r="M1006" s="35"/>
      <c r="N1006" s="35"/>
      <c r="O1006" s="35"/>
      <c r="P1006" s="35"/>
    </row>
    <row r="1007">
      <c r="A1007" s="34"/>
      <c r="B1007" s="34"/>
      <c r="C1007" s="34"/>
      <c r="D1007" s="34"/>
      <c r="E1007" s="34"/>
      <c r="F1007" s="34"/>
      <c r="G1007" s="34"/>
      <c r="H1007" s="34"/>
      <c r="L1007" s="34"/>
      <c r="M1007" s="35"/>
      <c r="N1007" s="35"/>
      <c r="O1007" s="35"/>
      <c r="P1007" s="35"/>
    </row>
    <row r="1008">
      <c r="A1008" s="34"/>
      <c r="B1008" s="34"/>
      <c r="C1008" s="34"/>
      <c r="D1008" s="34"/>
      <c r="E1008" s="34"/>
      <c r="F1008" s="34"/>
      <c r="G1008" s="34"/>
      <c r="H1008" s="34"/>
      <c r="L1008" s="34"/>
      <c r="M1008" s="35"/>
      <c r="N1008" s="35"/>
      <c r="O1008" s="35"/>
      <c r="P1008" s="35"/>
    </row>
  </sheetData>
  <drawing r:id="rId1"/>
</worksheet>
</file>